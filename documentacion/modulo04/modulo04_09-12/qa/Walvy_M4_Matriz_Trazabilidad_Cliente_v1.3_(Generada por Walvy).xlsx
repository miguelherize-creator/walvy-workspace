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Trazabilidad" sheetId="1" r:id="rId4"/>
    <sheet state="visible" name="Historias y CA" sheetId="2" r:id="rId5"/>
    <sheet state="visible" name="Reglas de Negocio" sheetId="3" r:id="rId6"/>
    <sheet state="visible" name="Fuentes" sheetId="4" r:id="rId7"/>
    <sheet state="visible" name="Pendientes Cliente" sheetId="5" r:id="rId8"/>
    <sheet state="visible" name="Resumen" sheetId="6" r:id="rId9"/>
  </sheets>
  <definedNames>
    <definedName hidden="1" localSheetId="0" name="_xlnm._FilterDatabase">'Matriz Trazabilidad'!$A$4:$T$90</definedName>
  </definedNames>
  <calcPr/>
  <extLst>
    <ext uri="GoogleSheetsCustomDataVersion2">
      <go:sheetsCustomData xmlns:go="http://customooxmlschemas.google.com/" r:id="rId10" roundtripDataChecksum="gTVx5JVGWVQ8qnQXuCsP3S77g8A7rxX+mM0Cq6l9jLk="/>
    </ext>
  </extLst>
</workbook>
</file>

<file path=xl/sharedStrings.xml><?xml version="1.0" encoding="utf-8"?>
<sst xmlns="http://schemas.openxmlformats.org/spreadsheetml/2006/main" count="2227" uniqueCount="1072">
  <si>
    <t>WALVY | M4 – Fuentes documentales utilizadas</t>
  </si>
  <si>
    <t>WALVY | M4 – Matriz consolidada de Reglas de Negocio</t>
  </si>
  <si>
    <t>WALVY | M4 – Matriz de Trazabilidad Cliente v1.3</t>
  </si>
  <si>
    <t>WALVY | M4 – Historias de Usuario y Criterios de Aceptación</t>
  </si>
  <si>
    <t>Código</t>
  </si>
  <si>
    <t>ID</t>
  </si>
  <si>
    <t>Fuente</t>
  </si>
  <si>
    <t>Tipo</t>
  </si>
  <si>
    <t>Uso / cobertura</t>
  </si>
  <si>
    <t>URL / referencia</t>
  </si>
  <si>
    <t>Matriz funcional consolidada para revisión de Producto. Incluye variantes, HU, criterios de aceptación, reglas de negocio, fuentes, caso de prueba de trazabilidad, evidencia y referencia Figma. No incorpora plan de ejecución QA ni registro de brechas.</t>
  </si>
  <si>
    <t>S1</t>
  </si>
  <si>
    <t>Walvy_Modulo4_Fase1_Flujo_Funcional_v1_0</t>
  </si>
  <si>
    <t>Flujo funcional</t>
  </si>
  <si>
    <t>Historia</t>
  </si>
  <si>
    <t>Activación, entradas, validación, derivación, bloqueos, dependencias y datos mínimos.</t>
  </si>
  <si>
    <t>https://docs.google.com/document/d/1OdP-9JxAPmYMAx8FYlb7jmkzMGsYy4W3/edit</t>
  </si>
  <si>
    <t>Redacción</t>
  </si>
  <si>
    <t>Criterios de aceptación</t>
  </si>
  <si>
    <t>S2</t>
  </si>
  <si>
    <t>Walvy_Modulo4_Fase2_Matriz_Pantallas_Modales_Acciones_v1_0</t>
  </si>
  <si>
    <t>Matriz funcional/UX</t>
  </si>
  <si>
    <t>Pantallas núcleo/condicionadas, estados, modales, acciones, componentes, fallback y criterios por pantalla.</t>
  </si>
  <si>
    <t>https://docs.google.com/document/d/1oZX_BEG552qxA76pZSbVsr3iKpca5i6f/edit</t>
  </si>
  <si>
    <t>S3</t>
  </si>
  <si>
    <t>Walvy_Modulo4_Fase3_Reglas_Contextuales_Severidad_v1_0</t>
  </si>
  <si>
    <t>Reglas funcionales</t>
  </si>
  <si>
    <t>Gatillos, severidad S0-S4, activación, transiciones, recomendaciones y guardrails.</t>
  </si>
  <si>
    <t>https://docs.google.com/document/d/1fxwZgDcqVa8FaYb5bwP32ITqijO1JStx/edit</t>
  </si>
  <si>
    <t>S4</t>
  </si>
  <si>
    <t>Walvy_Modulo4_Fase3_Anexo_BDD_Reglas_Productivas_v1_0</t>
  </si>
  <si>
    <t>M4-HU-001</t>
  </si>
  <si>
    <t>Anexo BDD / reglas productivas</t>
  </si>
  <si>
    <t>Parámetros MVP, fórmulas, entidades, campos, estados, enums, vigencia y reglas implementables.</t>
  </si>
  <si>
    <t>Acceder desde Perfil Financiero</t>
  </si>
  <si>
    <t>https://drive.google.com/file/d/1cQWC0LGcY3_XJH5_6SClbYeq7CrUR2le/view</t>
  </si>
  <si>
    <t>Como usuario, quiero acceder al tratamiento de deuda desde Perfil Financiero según mi estado, para completar, revisar o avanzar sin convertir Perfil en el módulo de deuda.</t>
  </si>
  <si>
    <t>S5</t>
  </si>
  <si>
    <t>Walvy_Anexo_Transversal_TC_M04_M05_M06_v1_0</t>
  </si>
  <si>
    <t>CA1. Perfil muestra estado/señal/acción contextual y no ejecuta la Ruta Despeje completa.
CA2. La derivación depende de confirmación, completitud y severidad.
CA3. Si no corresponde deuda, se mantiene el flujo principal de Perfil.</t>
  </si>
  <si>
    <t>Anexo transversal TC/CMF</t>
  </si>
  <si>
    <t>Lectura TC/CMF, precedencia documental, pago/mora, dispatch M04-M06 y reglas R-TC/R-CMF.</t>
  </si>
  <si>
    <t>https://docs.google.com/document/d/1PzSuKzyTy2CiWfk4HoHtfoHe1A1pnAMo/edit</t>
  </si>
  <si>
    <t>ID Variante</t>
  </si>
  <si>
    <t>S6</t>
  </si>
  <si>
    <t>Walvy_Modulo4_Fase4_COPY_UX_v1_0</t>
  </si>
  <si>
    <t>Copy UX</t>
  </si>
  <si>
    <t>Títulos, bajadas, CTA, mensajes de fallback, estimaciones y guardrails de lenguaje.</t>
  </si>
  <si>
    <t>M4-HU-002</t>
  </si>
  <si>
    <t>Flujo / Subflujo</t>
  </si>
  <si>
    <t>https://drive.google.com/file/d/1z5RPnxKZQwLcPvjk8b3wJlhBEl263Pzw/view</t>
  </si>
  <si>
    <t>Recibir acción contextual desde Home</t>
  </si>
  <si>
    <t>Variante / Escenario</t>
  </si>
  <si>
    <t>S7</t>
  </si>
  <si>
    <t>Condición / Disparador</t>
  </si>
  <si>
    <t>Como usuario que vuelve a Home, quiero recibir una acción de deuda solo cuando sea relevante para mi mes, para mantener una única prioridad operativa.</t>
  </si>
  <si>
    <t>Walvy_Modulo4_Fase5_Briefing_UX_v1_0</t>
  </si>
  <si>
    <t>Comportamiento esperado</t>
  </si>
  <si>
    <t>Briefing UX</t>
  </si>
  <si>
    <t>HU asociada</t>
  </si>
  <si>
    <t>Restricciones visuales, requerimientos por pantalla, mobile-first y criterios de aceptación UX.</t>
  </si>
  <si>
    <t>CA1. Si deuda no es señal dominante, Home no fuerza CTA principal de deuda.
CA2. Si deuda domina, deriva según confirmación, datos y gatillo.
CA3. Home actúa como superficie consumidora, no como panel de deuda.</t>
  </si>
  <si>
    <t>CA asociado</t>
  </si>
  <si>
    <t>Regla de negocio asociada</t>
  </si>
  <si>
    <t>M4-HU-003</t>
  </si>
  <si>
    <t>Origen / Estado RN</t>
  </si>
  <si>
    <t>Registrar deuda manual</t>
  </si>
  <si>
    <t>Código fuente RN</t>
  </si>
  <si>
    <t>Como usuario, quiero registrar una deuda desde cero, para incorporarla aunque aún no tenga todos los datos.</t>
  </si>
  <si>
    <t>Descripción fuente RN</t>
  </si>
  <si>
    <t>CA1. Puede guardarse información básica como pendiente/incompleta.
CA2. La falta de datos no bloquea el registro inicial.
CA3. Sin mínimos no se evalúa presión ni se activa Ruta Despeje completa.</t>
  </si>
  <si>
    <t>Caso de Prueba</t>
  </si>
  <si>
    <t>Nombre / Grupo</t>
  </si>
  <si>
    <t>Evidencia QA</t>
  </si>
  <si>
    <t>M4-HU-004</t>
  </si>
  <si>
    <t>Regla</t>
  </si>
  <si>
    <t>Registrar deuda informal</t>
  </si>
  <si>
    <t>Estado evidencia</t>
  </si>
  <si>
    <t>Estado / Origen</t>
  </si>
  <si>
    <t>Nodo Figma</t>
  </si>
  <si>
    <t>Como usuario, quiero registrar una deuda informal o préstamo personal, para incluir compromisos que no provienen de una institución financiera.</t>
  </si>
  <si>
    <t>URL Figma</t>
  </si>
  <si>
    <t>CA1. Se captura con variante manual y lenguaje no estigmatizante.
CA2. Para presión se requiere compromiso mensual/frecuencia y confirmación.
CA3. Si está incompleta queda pendiente y no genera conclusiones fuertes.</t>
  </si>
  <si>
    <t>https://drive.google.com/file/d/18vJ4OJ8AZ5z-gZfXPinElhcpGFHxoU9y/view</t>
  </si>
  <si>
    <t>Clasificación de soporte</t>
  </si>
  <si>
    <t>M4-HU-005</t>
  </si>
  <si>
    <t>Validación Cliente</t>
  </si>
  <si>
    <t>S8</t>
  </si>
  <si>
    <t>Cargar documento de deuda</t>
  </si>
  <si>
    <t>Walvy_Modulo4_Consolidado_Final_Diagramas_Matrices_v1_0</t>
  </si>
  <si>
    <t>M4-RN-001</t>
  </si>
  <si>
    <t>Consolidado</t>
  </si>
  <si>
    <t>Como usuario, quiero cargar un documento de deuda, para que el sistema lea información y me permita revisarla antes de usarla.</t>
  </si>
  <si>
    <t>Decisión PO / Comentarios</t>
  </si>
  <si>
    <t>Lectura integrada: diagramas, inventario, reglas principales, dependencias, fallback y relación entre fases.</t>
  </si>
  <si>
    <t>Superficies consumidoras</t>
  </si>
  <si>
    <t>CA1. La carga puede detectar una o varias deudas.
CA2. El dato extraído queda sujeto a revisión/confirmación individual.
CA3. Un documento no usable ofrece alternativa manual u otro archivo.</t>
  </si>
  <si>
    <t>https://drive.google.com/file/d/1EwgU4VAZHMRuucY1k9sl2gFPkqwvN13C/view</t>
  </si>
  <si>
    <t>Perfil Financiero y Home consumen señales/estados de M4, pero no ejecutan el flujo completo del módulo.</t>
  </si>
  <si>
    <t>ID Pendiente Cliente</t>
  </si>
  <si>
    <t>Documentado v1.0</t>
  </si>
  <si>
    <t>S9</t>
  </si>
  <si>
    <t>M4-HU-006</t>
  </si>
  <si>
    <t>S1/S2/S9</t>
  </si>
  <si>
    <t>Indicaciones paquete documental Modulo 4</t>
  </si>
  <si>
    <t>Resolver documento protegido o no procesable</t>
  </si>
  <si>
    <t>Rector de paquete</t>
  </si>
  <si>
    <t>Como usuario, quiero recibir una salida recuperable cuando un documento requiere clave o no puede procesarse, para continuar por otra vía.</t>
  </si>
  <si>
    <t>Orden de lectura, autoridad documental por área y criterios importantes para desarrollo.</t>
  </si>
  <si>
    <t>M4-V01</t>
  </si>
  <si>
    <t>https://docs.google.com/document/d/17C8z8Hb3OX9YNa-L7UgdYPGEJWJYjb_YDcsZ_nfmCVI/edit</t>
  </si>
  <si>
    <t>CA1. La clave se solicita solo si el documento se detecta protegido.
CA2. Clave incorrecta permite reintento; sin clave ofrece otra carga/manual.
CA3. Un documento no procesable no se marca como procesado exitosamente.</t>
  </si>
  <si>
    <t>S1 – Walvy_Modulo4_Fase1_Flujo_Funcional_v1_0: Activación, entradas, validación, derivación, bloqueos, dependencias y datos mínimos.
S2 – Walvy_Modulo4_Fase2_Matriz_Pantallas_Modales_Acciones_v1_0: Pantallas núcleo/condicionadas, estados, modales, acciones, componentes, fallback y criterios por pantalla.
S9 – Indicaciones paquete documental Modulo 4: Orden de lectura, autoridad documental por área y criterios importantes para desarrollo.</t>
  </si>
  <si>
    <t>S10</t>
  </si>
  <si>
    <t>M4-HU-007</t>
  </si>
  <si>
    <t>Walvy_Modulo4_informe_deudas_CMF_usuario_x_pepito.xlsx</t>
  </si>
  <si>
    <t>Validar y completar deuda</t>
  </si>
  <si>
    <t>Ejemplo / dato de prueba</t>
  </si>
  <si>
    <t>Perfil Financiero</t>
  </si>
  <si>
    <t>Como usuario, quiero revisar los datos de una deuda y completar lo faltante, para decidir si puedo evaluarla.</t>
  </si>
  <si>
    <t>Ejemplo de informe de deudas CMF. Se usa como referencia de datos, no como fuente normativa de RN.</t>
  </si>
  <si>
    <t>Sin señal/estado de deuda</t>
  </si>
  <si>
    <t>https://docs.google.com/spreadsheets/d/1BRgCtToIzzJnclwkXYoEIl2bKLMduZuV/edit</t>
  </si>
  <si>
    <t>CA1. Se distinguen dato suficiente, faltante, desactualizado y baja confianza.
CA2. Se solicitan solo datos críticos necesarios según el uso.
CA3. Deuda no confirmada o incompleta no habilita conclusiones fuertes.</t>
  </si>
  <si>
    <t>Perfil no identifica señal de deuda relevante</t>
  </si>
  <si>
    <t>Mantener flujo principal de Perfil; M4 no se ejecuta dentro de la superficie.</t>
  </si>
  <si>
    <t>S11</t>
  </si>
  <si>
    <t>M4-HU-008</t>
  </si>
  <si>
    <t>Revisar posible duplicado</t>
  </si>
  <si>
    <t>CA1-CA3</t>
  </si>
  <si>
    <t>Figma · Walvi APP - Edificate Inteligente · Nodo M4 5897:11184</t>
  </si>
  <si>
    <t>M4-RN-002</t>
  </si>
  <si>
    <t>Diseño UX/UI</t>
  </si>
  <si>
    <t>Home prioriza deuda solo si domina</t>
  </si>
  <si>
    <t>Documento v1.0</t>
  </si>
  <si>
    <t>Nodo maestro oficial del Módulo 4. Se usa como referencia macro de diseño para las variantes; el mapeo a subnodos específicos queda sujeto a identificación explícita.</t>
  </si>
  <si>
    <t>S1/S2</t>
  </si>
  <si>
    <t>Home no debe forzar una acción principal de deuda cuando la deuda no es señal dominante del mes.</t>
  </si>
  <si>
    <t>https://www.figma.com/design/v45c4HTKnPnU0XABMa5vjY/Walvi-APP---Edificate-Inteligente?node-id=5897-11184&amp;t=MbYXTevtHjInQ9dh-4</t>
  </si>
  <si>
    <t>S1 – Walvy_Modulo4_Fase1_Flujo_Funcional_v1_0: Activación, entradas, validación, derivación, bloqueos, dependencias y datos mínimos.
S2 – Walvy_Modulo4_Fase2_Matriz_Pantallas_Modales_Acciones_v1_0: Pantallas núcleo/condicionadas, estados, modales, acciones, componentes, fallback y criterios por pantalla.</t>
  </si>
  <si>
    <t>CP-M4-001</t>
  </si>
  <si>
    <t>M4-RN-003</t>
  </si>
  <si>
    <t>Onboarding reutilizable</t>
  </si>
  <si>
    <t>Onboarding de Deudas es la ruta guiada reutilizable para registrar, validar o completar información; no se crean formularios paralelos por superficie.</t>
  </si>
  <si>
    <t>Pendiente de evidencia QA ejecutada</t>
  </si>
  <si>
    <t>Pendiente</t>
  </si>
  <si>
    <t>M4-RN-004</t>
  </si>
  <si>
    <t>M4 · Nodo maestro 5897:11184</t>
  </si>
  <si>
    <t>Gate Ruta Despeje completa</t>
  </si>
  <si>
    <t>Ruta Despeje completa exige deuda confirmada, gatillo suficiente/presión y datos mínimos completos.</t>
  </si>
  <si>
    <t>Confirmado documental</t>
  </si>
  <si>
    <t>S1/S2/S3/S4/S9</t>
  </si>
  <si>
    <t>Como usuario, quiero revisar deudas posiblemente duplicadas, para evitar consolidaciones automáticas incorrectas.</t>
  </si>
  <si>
    <t>S1 – Walvy_Modulo4_Fase1_Flujo_Funcional_v1_0: Activación, entradas, validación, derivación, bloqueos, dependencias y datos mínimos.
S2 – Walvy_Modulo4_Fase2_Matriz_Pantallas_Modales_Acciones_v1_0: Pantallas núcleo/condicionadas, estados, modales, acciones, componentes, fallback y criterios por pantalla.
S3 – Walvy_Modulo4_Fase3_Reglas_Contextuales_Severidad_v1_0: Gatillos, severidad S0-S4, activación, transiciones, recomendaciones y guardrails.
S4 – Walvy_Modulo4_Fase3_Anexo_BDD_Reglas_Productivas_v1_0: Parámetros MVP, fórmulas, entidades, campos, estados, enums, vigencia y reglas implementables.
S9 – Indicaciones paquete documental Modulo 4: Orden de lectura, autoridad documental por área y criterios importantes para desarrollo.</t>
  </si>
  <si>
    <t>M4-RN-005</t>
  </si>
  <si>
    <t>Deuda no confirmada no impacta Salud</t>
  </si>
  <si>
    <t>M4-V02</t>
  </si>
  <si>
    <t>Deuda detectada, inferida o leída desde documento no afecta Salud de Deuda ni activa Ruta Despeje completa sin confirmación individual.</t>
  </si>
  <si>
    <t>Datos insuficientes</t>
  </si>
  <si>
    <t>S2/S3/S9</t>
  </si>
  <si>
    <t>CA1. El sistema puede marcar posible duplicado.
CA2. No se fusionan deudas automáticamente.
CA3. El usuario puede confirmar/corregir/descartar según corresponda.</t>
  </si>
  <si>
    <t>Existe señal de deuda, pero faltan datos mínimos para evaluar</t>
  </si>
  <si>
    <t>Derivar a completar información en Onboarding de Deudas; no afirmar deuda manejable/presionada.</t>
  </si>
  <si>
    <t>M4-HU-001 / M4-HU-007</t>
  </si>
  <si>
    <t>S2 – Walvy_Modulo4_Fase2_Matriz_Pantallas_Modales_Acciones_v1_0: Pantallas núcleo/condicionadas, estados, modales, acciones, componentes, fallback y criterios por pantalla.
S3 – Walvy_Modulo4_Fase3_Reglas_Contextuales_Severidad_v1_0: Gatillos, severidad S0-S4, activación, transiciones, recomendaciones y guardrails.
S9 – Indicaciones paquete documental Modulo 4: Orden de lectura, autoridad documental por área y criterios importantes para desarrollo.</t>
  </si>
  <si>
    <t>M4-RN-003 / M4-RN-006</t>
  </si>
  <si>
    <t>M4-RN-006</t>
  </si>
  <si>
    <t>Datos mínimos por uso</t>
  </si>
  <si>
    <t>M4-HU-009</t>
  </si>
  <si>
    <t>La falta de datos puede permitir registro inicial, pero bloquea evaluación de presión, Ruta Despeje completa, priorización fuerte, simulación fuerte y cronograma con fecha.</t>
  </si>
  <si>
    <t>Revisar múltiples deudas de un documento</t>
  </si>
  <si>
    <t>CP-M4-002</t>
  </si>
  <si>
    <t>S1/S2/S4</t>
  </si>
  <si>
    <t>Como usuario, quiero revisar individualmente las deudas obtenidas desde un documento con múltiples registros, para confirmar cuáles me corresponden.</t>
  </si>
  <si>
    <t>CA1. Cada deuda mantiene estado individual.
CA2. Cada deuda requiere confirmación individual antes de afectar Salud de Deuda.
CA3. El lote puede quedar pendiente sin bloquear las demás rutas.</t>
  </si>
  <si>
    <t>S1 – Walvy_Modulo4_Fase1_Flujo_Funcional_v1_0: Activación, entradas, validación, derivación, bloqueos, dependencias y datos mínimos.
S2 – Walvy_Modulo4_Fase2_Matriz_Pantallas_Modales_Acciones_v1_0: Pantallas núcleo/condicionadas, estados, modales, acciones, componentes, fallback y criterios por pantalla.
S4 – Walvy_Modulo4_Fase3_Anexo_BDD_Reglas_Productivas_v1_0: Parámetros MVP, fórmulas, entidades, campos, estados, enums, vigencia y reglas implementables.</t>
  </si>
  <si>
    <t>M4-RN-007</t>
  </si>
  <si>
    <t>M4-HU-010</t>
  </si>
  <si>
    <t>Registro pendiente permitido</t>
  </si>
  <si>
    <t>Descartar deuda no reconocida</t>
  </si>
  <si>
    <t>Una deuda manual puede guardarse pendiente/incompleta sin quedar lista para evaluación o priorización.</t>
  </si>
  <si>
    <t>Como usuario, quiero marcar una deuda como No corresponde/No reconozco, para que no afecte mi diagnóstico.</t>
  </si>
  <si>
    <t>CA1. La deuda descartada no afecta Salud de Deuda.
CA2. No activa Ruta Despeje.
CA3. La fuente/historial se conserva con trazabilidad según criterio técnico.</t>
  </si>
  <si>
    <t>S2/S4</t>
  </si>
  <si>
    <t>M4-V03</t>
  </si>
  <si>
    <t>M4-HU-011</t>
  </si>
  <si>
    <t>S2 – Walvy_Modulo4_Fase2_Matriz_Pantallas_Modales_Acciones_v1_0: Pantallas núcleo/condicionadas, estados, modales, acciones, componentes, fallback y criterios por pantalla.
S4 – Walvy_Modulo4_Fase3_Anexo_BDD_Reglas_Productivas_v1_0: Parámetros MVP, fórmulas, entidades, campos, estados, enums, vigencia y reglas implementables.</t>
  </si>
  <si>
    <t>Obtener resultado y derivación</t>
  </si>
  <si>
    <t>Deuda detectada no confirmada</t>
  </si>
  <si>
    <t>Existe deuda detectada/inferida sin confirmación individual</t>
  </si>
  <si>
    <t>Como usuario, quiero que el resultado de validación me dirija a seguimiento, Perfil o Ruta Despeje, para continuar según mi situación.</t>
  </si>
  <si>
    <t>M4-RN-008</t>
  </si>
  <si>
    <t>Solicitar confirmación/corrección/descarte en OD; no afectar Salud de Deuda.</t>
  </si>
  <si>
    <t>Clave solo si documento protegido</t>
  </si>
  <si>
    <t>CA1. La salida depende de confirmación, datos mínimos y severidad.
CA2. Deuda manejable deriva a seguimiento/Perfil.
CA3. Ruta Despeje completa solo se activa cuando se cumplen sus condiciones.</t>
  </si>
  <si>
    <t>M4-HU-001 / M4-HU-010</t>
  </si>
  <si>
    <t>El campo de contraseña se presenta solo cuando el sistema detecta que el documento está protegido.</t>
  </si>
  <si>
    <t>M4-RN-005 / M4-RN-014</t>
  </si>
  <si>
    <t>M4-HU-012</t>
  </si>
  <si>
    <t>Consultar detalle de deuda manejable</t>
  </si>
  <si>
    <t>S1/S2/S3</t>
  </si>
  <si>
    <t>S2 – Walvy_Modulo4_Fase2_Matriz_Pantallas_Modales_Acciones_v1_0: Pantallas núcleo/condicionadas, estados, modales, acciones, componentes, fallback y criterios por pantalla.</t>
  </si>
  <si>
    <t>Como usuario, quiero revisar una deuda manejable o prioritaria sin activar un plan completo, para mantener seguimiento contextual.</t>
  </si>
  <si>
    <t>CA1. DD-01 es una vista secundaria/condicionada.
CA2. Permite revisar y corregir datos puntuales.
CA3. No convierte deuda al día en situación de presión.</t>
  </si>
  <si>
    <t>M4-RN-009</t>
  </si>
  <si>
    <t>S1 – Walvy_Modulo4_Fase1_Flujo_Funcional_v1_0: Activación, entradas, validación, derivación, bloqueos, dependencias y datos mínimos.
S2 – Walvy_Modulo4_Fase2_Matriz_Pantallas_Modales_Acciones_v1_0: Pantallas núcleo/condicionadas, estados, modales, acciones, componentes, fallback y criterios por pantalla.
S3 – Walvy_Modulo4_Fase3_Reglas_Contextuales_Severidad_v1_0: Gatillos, severidad S0-S4, activación, transiciones, recomendaciones y guardrails.</t>
  </si>
  <si>
    <t>Fallback documento protegido</t>
  </si>
  <si>
    <t>CP-M4-003</t>
  </si>
  <si>
    <t>Si la clave es incorrecta se permite reintento; si el usuario no la tiene, debe poder cargar otro documento o ingresar datos manualmente.</t>
  </si>
  <si>
    <t>S2/S6</t>
  </si>
  <si>
    <t>S2 – Walvy_Modulo4_Fase2_Matriz_Pantallas_Modales_Acciones_v1_0: Pantallas núcleo/condicionadas, estados, modales, acciones, componentes, fallback y criterios por pantalla.
S6 – Walvy_Modulo4_Fase4_COPY_UX_v1_0: Títulos, bajadas, CTA, mensajes de fallback, estimaciones y guardrails de lenguaje.</t>
  </si>
  <si>
    <t>M4-RN-010</t>
  </si>
  <si>
    <t>Carga manual es variante</t>
  </si>
  <si>
    <t>La carga manual no crea una pantalla núcleo adicional; se resuelve como variante de OD-01 o subestado de OD-02.</t>
  </si>
  <si>
    <t>M4-V04</t>
  </si>
  <si>
    <t>M4-HU-013</t>
  </si>
  <si>
    <t>Deuda confirmada pero incompleta</t>
  </si>
  <si>
    <t>Conocer severidad de deuda</t>
  </si>
  <si>
    <t>La deuda está confirmada y falta dato crítico</t>
  </si>
  <si>
    <t>M4-RN-011</t>
  </si>
  <si>
    <t>Solicitar solo el dato crítico faltante en OD/edición puntual; no activar Ruta Despeje completa.</t>
  </si>
  <si>
    <t>Como usuario, quiero que las señales de deuda se clasifiquen de S0 a S4, para entender el nivel de atención sin falsas certezas.</t>
  </si>
  <si>
    <t>Deuda informal sin estigma</t>
  </si>
  <si>
    <t>La deuda informal se registra/evalúa con lenguaje neutral y requiere datos suficientes para medir presión.</t>
  </si>
  <si>
    <t>M4-RN-006 / M4-RN-004</t>
  </si>
  <si>
    <t>S2/S3/S6</t>
  </si>
  <si>
    <t>CA1. S0 representa insuficiencia/no confirmación; S1 manejable; S2 atención; S3 entrada a rojo; S4 rojo activo.
CA2. La severidad se recalcula al confirmar/corregir datos.
CA3. Etiquetas descriptivas no reemplazan la severidad.</t>
  </si>
  <si>
    <t>S2 – Walvy_Modulo4_Fase2_Matriz_Pantallas_Modales_Acciones_v1_0: Pantallas núcleo/condicionadas, estados, modales, acciones, componentes, fallback y criterios por pantalla.
S3 – Walvy_Modulo4_Fase3_Reglas_Contextuales_Severidad_v1_0: Gatillos, severidad S0-S4, activación, transiciones, recomendaciones y guardrails.
S6 – Walvy_Modulo4_Fase4_COPY_UX_v1_0: Títulos, bajadas, CTA, mensajes de fallback, estimaciones y guardrails de lenguaje.</t>
  </si>
  <si>
    <t>CP-M4-004</t>
  </si>
  <si>
    <t>M4-HU-014</t>
  </si>
  <si>
    <t>M4-RN-012</t>
  </si>
  <si>
    <t>Activar Ruta Despeje solo si corresponde</t>
  </si>
  <si>
    <t>Confirmación individual en lote</t>
  </si>
  <si>
    <t>Como usuario, quiero que la Ruta Despeje completa se active solo con evidencia suficiente, para evitar planes basados en datos débiles.</t>
  </si>
  <si>
    <t>Cada deuda detectada en documentos/lotes mantiene revisión y confirmación individual antes de producir efectos fuertes.</t>
  </si>
  <si>
    <t>CA1. Requiere deuda confirmada.
CA2. Requiere datos mínimos completos.
CA3. Requiere gatillo suficiente/presión, típicamente S3/S4 según reglas documentadas.</t>
  </si>
  <si>
    <t>S2/S3</t>
  </si>
  <si>
    <t>M4-HU-015</t>
  </si>
  <si>
    <t>S2 – Walvy_Modulo4_Fase2_Matriz_Pantallas_Modales_Acciones_v1_0: Pantallas núcleo/condicionadas, estados, modales, acciones, componentes, fallback y criterios por pantalla.
S3 – Walvy_Modulo4_Fase3_Reglas_Contextuales_Severidad_v1_0: Gatillos, severidad S0-S4, activación, transiciones, recomendaciones y guardrails.</t>
  </si>
  <si>
    <t>Ver resumen de Ruta Despeje</t>
  </si>
  <si>
    <t>M4-V05</t>
  </si>
  <si>
    <t>M4-RN-013</t>
  </si>
  <si>
    <t>Como usuario elegible, quiero ver un resumen de mi situación y la deuda prioritaria, para comprender por qué debo actuar.</t>
  </si>
  <si>
    <t>Duplicados no se consolidan automáticamente</t>
  </si>
  <si>
    <t>Deuda manejable</t>
  </si>
  <si>
    <t>CA1. RD-01 muestra situación, señal principal, deuda prioritaria y explicación breve.
CA2. La información se basa en datos confirmados y trazables.
CA3. No presenta certeza/promesa indebida.</t>
  </si>
  <si>
    <t>Un posible duplicado se revisa; el sistema no fusiona ni consolida obligaciones automáticamente.</t>
  </si>
  <si>
    <t>Deuda confirmada, pagos al día y presión baja/controlable</t>
  </si>
  <si>
    <t>Mostrar acceso a detalle/seguimiento DD-01 sin activar Ruta Despeje completa.</t>
  </si>
  <si>
    <t>M4-HU-016</t>
  </si>
  <si>
    <t>M4-HU-001 / M4-HU-012</t>
  </si>
  <si>
    <t>Ver plan y priorización</t>
  </si>
  <si>
    <t>Como usuario elegible, quiero ver un orden sugerido y una próxima acción, para organizar el tratamiento de mis deudas.</t>
  </si>
  <si>
    <t>M4-RN-017 / M4-RN-042</t>
  </si>
  <si>
    <t>CA1. RD-02 muestra orden, deuda prioritaria y próxima acción.
CA2. La metodología debe ser reproducible/versionada.
CA3. No ejecuta refinanciamiento, consolidación ni pagos automáticos.</t>
  </si>
  <si>
    <t>M4-RN-014</t>
  </si>
  <si>
    <t>No corresponde excluye diagnóstico</t>
  </si>
  <si>
    <t>M4-HU-017</t>
  </si>
  <si>
    <t>Ver capacidad recuperable</t>
  </si>
  <si>
    <t>Una deuda marcada No corresponde/No reconozco queda fuera de Salud de Deuda y de Ruta Despeje.</t>
  </si>
  <si>
    <t>CP-M4-005</t>
  </si>
  <si>
    <t>Como usuario, quiero conocer una capacidad recuperable estimada cuando existan datos suficientes, para dimensionar el efecto de cerrar compromisos.</t>
  </si>
  <si>
    <t>CA1. Solo usa pagos/cargos mensuales confirmados y recurrentes.
CA2. Si faltan datos, se muestra cualitativo u oculto, no un monto fuerte.
CA3. Se comunica como estimación condicionada.</t>
  </si>
  <si>
    <t>M4-HU-018</t>
  </si>
  <si>
    <t>M4-RN-015</t>
  </si>
  <si>
    <t>Simular pago adicional</t>
  </si>
  <si>
    <t>Origen/confianza/vigencia</t>
  </si>
  <si>
    <t>Como usuario, quiero simular un esfuerzo adicional sostenible, para evaluar escenarios sin convertirlos en instrucciones automáticas.</t>
  </si>
  <si>
    <t>Origen, confianza y vigencia del dato forman parte de la evaluación y trazabilidad.</t>
  </si>
  <si>
    <t>CA1. Se respeta buffer operacional.
CA2. La simulación puede usar monto manual o capacidad sostenible calculada.
CA3. El resultado se presenta como referencial/estimado.</t>
  </si>
  <si>
    <t>M4-V06</t>
  </si>
  <si>
    <t>M4-HU-019</t>
  </si>
  <si>
    <t>Deuda requiere atención</t>
  </si>
  <si>
    <t>Deuda confirmada con señal preventiva o S2</t>
  </si>
  <si>
    <t>M4-RN-016</t>
  </si>
  <si>
    <t>Derivar a revisión/Detalle de Deuda; Ruta Despeje solo si posteriormente cumple gate.</t>
  </si>
  <si>
    <t>Dato crítico desactualizado bloquea</t>
  </si>
  <si>
    <t>M4-HU-001 / M4-HU-013</t>
  </si>
  <si>
    <t>Un dato crítico desactualizado debe corregirse o confirmarse antes de activar Ruta Despeje completa.</t>
  </si>
  <si>
    <t>M4-RN-017 / M4-RN-018</t>
  </si>
  <si>
    <t>BDD v1.0</t>
  </si>
  <si>
    <t>S3/S4</t>
  </si>
  <si>
    <t>Ver cronograma estimado de salida</t>
  </si>
  <si>
    <t>Como usuario, quiero ver una proyección de salida cuando los datos permitan calcularla, para comprender hitos y supuestos.</t>
  </si>
  <si>
    <t>S3 – Walvy_Modulo4_Fase3_Reglas_Contextuales_Severidad_v1_0: Gatillos, severidad S0-S4, activación, transiciones, recomendaciones y guardrails.
S4 – Walvy_Modulo4_Fase3_Anexo_BDD_Reglas_Productivas_v1_0: Parámetros MVP, fórmulas, entidades, campos, estados, enums, vigencia y reglas implementables.</t>
  </si>
  <si>
    <t>CA1. Con datos suficientes puede mostrar hitos/fecha estimada.
CA2. Con datos incompletos o baja confianza no muestra fecha fuerte.
CA3. Incluye supuestos y no se presenta como promesa.</t>
  </si>
  <si>
    <t>CP-M4-006</t>
  </si>
  <si>
    <t>M4-RN-017</t>
  </si>
  <si>
    <t>Escala S0-S4</t>
  </si>
  <si>
    <t>M4-HU-020</t>
  </si>
  <si>
    <t>S0 = insuficiencia/no confirmación; S1 = manejable; S2 = requiere atención; S3 = entrada al rojo; S4 = rojo activo.</t>
  </si>
  <si>
    <t>Ver deudas agrupadas</t>
  </si>
  <si>
    <t>S2/S3/S4</t>
  </si>
  <si>
    <t>S2 – Walvy_Modulo4_Fase2_Matriz_Pantallas_Modales_Acciones_v1_0: Pantallas núcleo/condicionadas, estados, modales, acciones, componentes, fallback y criterios por pantalla.
S3 – Walvy_Modulo4_Fase3_Reglas_Contextuales_Severidad_v1_0: Gatillos, severidad S0-S4, activación, transiciones, recomendaciones y guardrails.
S4 – Walvy_Modulo4_Fase3_Anexo_BDD_Reglas_Productivas_v1_0: Parámetros MVP, fórmulas, entidades, campos, estados, enums, vigencia y reglas implementables.</t>
  </si>
  <si>
    <t>Como usuario, quiero ver deudas agrupadas de forma ordenada, para entender prioridades sin confundirlo con consolidación financiera.</t>
  </si>
  <si>
    <t>M4-RN-018</t>
  </si>
  <si>
    <t>M4-V07</t>
  </si>
  <si>
    <t>Severidad no reemplaza gate</t>
  </si>
  <si>
    <t>CA1. La agrupación es visual/funcional.
CA2. No fusiona obligaciones ni crea un producto de consolidación.
CA3. Mantiene trazabilidad por deuda.</t>
  </si>
  <si>
    <t>Una severidad alta no elimina los requisitos de confirmación y datos mínimos para el plan completo.</t>
  </si>
  <si>
    <t>Deuda presionada elegible</t>
  </si>
  <si>
    <t>Deuda confirmada + gatillo suficiente + datos mínimos</t>
  </si>
  <si>
    <t>M4-HU-021</t>
  </si>
  <si>
    <t>Habilitar acceso a Ruta Despeje completa; Perfil solo muestra señal/CTA contextual.</t>
  </si>
  <si>
    <t>Registrar avance o cierre</t>
  </si>
  <si>
    <t>M4-HU-001 / M4-HU-014</t>
  </si>
  <si>
    <t>Como usuario, quiero confirmar el avance o cierre de una deuda, para recalcular mi situación y el plan restante.</t>
  </si>
  <si>
    <t>M4-RN-001 / M4-RN-004</t>
  </si>
  <si>
    <t>CA1. El cierre requiere confirmación/evidencia suficiente.
CA2. El estado cerrado recalcula señales/capacidad/plan.
CA3. No reasigna automáticamente capacidad liberada.</t>
  </si>
  <si>
    <t>BDD v1.0 / Documento v1.0</t>
  </si>
  <si>
    <t>M4-RN-019</t>
  </si>
  <si>
    <t>S1/S2/S3/S4</t>
  </si>
  <si>
    <t>Deuda con deuda</t>
  </si>
  <si>
    <t>M4-HU-022</t>
  </si>
  <si>
    <t>Deuda usada para pagar otra deuda se evalúa como señal fuerte; puntual puede ser S3 y recurrente/persistente puede escalar a S4 cuando está confirmada.</t>
  </si>
  <si>
    <t>Evaluar tarjeta de crédito por ciclo</t>
  </si>
  <si>
    <t>S1 – Walvy_Modulo4_Fase1_Flujo_Funcional_v1_0: Activación, entradas, validación, derivación, bloqueos, dependencias y datos mínimos.
S2 – Walvy_Modulo4_Fase2_Matriz_Pantallas_Modales_Acciones_v1_0: Pantallas núcleo/condicionadas, estados, modales, acciones, componentes, fallback y criterios por pantalla.
S3 – Walvy_Modulo4_Fase3_Reglas_Contextuales_Severidad_v1_0: Gatillos, severidad S0-S4, activación, transiciones, recomendaciones y guardrails.
S4 – Walvy_Modulo4_Fase3_Anexo_BDD_Reglas_Productivas_v1_0: Parámetros MVP, fórmulas, entidades, campos, estados, enums, vigencia y reglas implementables.</t>
  </si>
  <si>
    <t>Como usuario, quiero que mi tarjeta se evalúe considerando facturación, pago y saldo arrastrado, para evitar falsos positivos de presión.</t>
  </si>
  <si>
    <t>CP-M4-007</t>
  </si>
  <si>
    <t>CA1. Pago total del ciclo se trata como manejable.
CA2. Pago parcial/pre-cierre se interpreta con evidencia posterior antes de escalar.
CA3. Pago mínimo recurrente, mora o saldo arrastrado pueden escalar según regla.</t>
  </si>
  <si>
    <t>M4-HU-023</t>
  </si>
  <si>
    <t>M4-RN-020</t>
  </si>
  <si>
    <t>Evaluar mora y deuda CMF</t>
  </si>
  <si>
    <t>Avance de efectivo/liquidez</t>
  </si>
  <si>
    <t>Como usuario, quiero que los datos CMF se usen de forma consistente para deuda y mora, para activar evaluación solo cuando exista evidencia suficiente.</t>
  </si>
  <si>
    <t>Avance/crédito para liquidez puede ser S2, S3 o S4 según justificación, capacidad, regularidad y recurrencia.</t>
  </si>
  <si>
    <t>CA1. CMF es principal para deuda no TC salvo fuente específica más precisa.
CA2. Mora activa evaluación M4, pero no Ruta Despeje automática.
CA3. Los tramos superiores escalan severidad sin equivalencia externa inventada.</t>
  </si>
  <si>
    <t>M4-HU-024</t>
  </si>
  <si>
    <t>M4-V08</t>
  </si>
  <si>
    <t>Gestionar calidad y vigencia del dato</t>
  </si>
  <si>
    <t>Home</t>
  </si>
  <si>
    <t>Como usuario, quiero que origen, confianza y vigencia se consideren antes de calcular o recomendar, para recibir resultados acordes a la calidad disponible.</t>
  </si>
  <si>
    <t>Deuda no dominante</t>
  </si>
  <si>
    <t>Existe deuda, pero no es la señal dominante del mes</t>
  </si>
  <si>
    <t>CA1. Campos críticos desactualizados obligan corrección/confirmación.
CA2. Regla/fecha/fuentes usadas quedan versionadas y trazables.
CA3. Baja confianza reduce fuerza de la salida.</t>
  </si>
  <si>
    <t>M4-RN-021</t>
  </si>
  <si>
    <t>No forzar CTA principal de deuda; mantener flujo operativo principal y acceso secundario si corresponde.</t>
  </si>
  <si>
    <t>Vencimiento crítico condicionado</t>
  </si>
  <si>
    <t>M4-HU-025</t>
  </si>
  <si>
    <t>Revisar vencimiento crítico</t>
  </si>
  <si>
    <t>El vencimiento por sí solo no implica presión; se evalúa junto con capacidad, mora y evidencia de pago/cierre.</t>
  </si>
  <si>
    <t>Como usuario, quiero recibir una revisión contextual de un vencimiento crítico, para distinguir una fecha próxima de una situación realmente presionada.</t>
  </si>
  <si>
    <t>CA1. Vencimiento por sí solo no activa Ruta Despeje.
CA2. Con capacidad puede quedar en alerta/seguimiento.
CA3. Sin capacidad/mora puede escalar según severidad.</t>
  </si>
  <si>
    <t>CP-M4-008</t>
  </si>
  <si>
    <t>M4-HU-026</t>
  </si>
  <si>
    <t>Evaluar acumulación de cuotas</t>
  </si>
  <si>
    <t>Como usuario, quiero que la acumulación de cuotas se evalúe junto con mi holgura y otras señales, para no confundir rigidez con incumplimiento.</t>
  </si>
  <si>
    <t>CA1. Muchas cuotas solas no activan Ruta Despeje.
CA2. La regla productiva inicial usa cantidad y proporción del ingreso.
CA3. Saldo negativo/mora/pago mínimo/deuda-con-deuda pueden escalar.</t>
  </si>
  <si>
    <t>M4-RN-022</t>
  </si>
  <si>
    <t>Muchas cuotas no basta</t>
  </si>
  <si>
    <t>M4-HU-027</t>
  </si>
  <si>
    <t>Evaluar deuda con deuda y avances</t>
  </si>
  <si>
    <t>La acumulación de cuotas por sí sola no activa Ruta Despeje; se combina con holgura, mora, pago mínimo, saldo negativo u otras señales.</t>
  </si>
  <si>
    <t>Como usuario, quiero que el uso de nueva deuda para sostener liquidez o pagar otra deuda se evalúe por frecuencia y evidencia, para detectar presión real.</t>
  </si>
  <si>
    <t>CA1. Uso puntual puede tener severidad menor según capacidad.
CA2. Uso regular/recurrente escala severidad.
CA3. Deuda con deuda confirmada y recurrente puede llegar a S4.</t>
  </si>
  <si>
    <t>M4-V09</t>
  </si>
  <si>
    <t>Deuda dominante y elegible</t>
  </si>
  <si>
    <t>Deuda es señal dominante, está confirmada, con presión/gatillo y datos mínimos</t>
  </si>
  <si>
    <t>Mostrar CTA principal hacia Ruta Despeje.</t>
  </si>
  <si>
    <t>M4-RN-023</t>
  </si>
  <si>
    <t>M4-HU-002 / M4-HU-014</t>
  </si>
  <si>
    <t>Umbral inicial muchas cuotas</t>
  </si>
  <si>
    <t>M4-RN-002 / M4-RN-004</t>
  </si>
  <si>
    <t>Regla productiva MVP: cuotas activas &gt;= 4 y monto total de cuotas pequeñas &gt;= 8% del ingreso mensual.</t>
  </si>
  <si>
    <t>S4 – Walvy_Modulo4_Fase3_Anexo_BDD_Reglas_Productivas_v1_0: Parámetros MVP, fórmulas, entidades, campos, estados, enums, vigencia y reglas implementables.</t>
  </si>
  <si>
    <t>M4-RN-024</t>
  </si>
  <si>
    <t>CP-M4-009</t>
  </si>
  <si>
    <t>Buffer operacional</t>
  </si>
  <si>
    <t>Buffer operacional = max(monto base configurable, ingreso mensual × porcentaje de buffer); porcentaje inicial documentado 5%.</t>
  </si>
  <si>
    <t>M4-RN-025</t>
  </si>
  <si>
    <t>Holgura baja</t>
  </si>
  <si>
    <t>Holgura baja se evalúa contra max(monto base configurable, ingreso mensual × porcentaje de holgura); porcentaje inicial documentado 5%.</t>
  </si>
  <si>
    <t>M4-V10</t>
  </si>
  <si>
    <t>Deuda pendiente de confirmación</t>
  </si>
  <si>
    <t>Home detecta señal relevante, pero la deuda no está confirmada</t>
  </si>
  <si>
    <t>Derivar a OD para confirmar/corregir/descartar; no activar plan.</t>
  </si>
  <si>
    <t>M4-HU-002 / M4-HU-007</t>
  </si>
  <si>
    <t>M4-RN-005 / M4-RN-003</t>
  </si>
  <si>
    <t>M4-RN-026</t>
  </si>
  <si>
    <t>Espacio disponible</t>
  </si>
  <si>
    <t>Espacio disponible = ingreso mensual - gastos base - gastos recurrentes - pagos/cuotas mínimos obligatorios.</t>
  </si>
  <si>
    <t>CP-M4-010</t>
  </si>
  <si>
    <t>M4-RN-027</t>
  </si>
  <si>
    <t>Pago adicional sostenible</t>
  </si>
  <si>
    <t>Pago adicional sostenible = max(0, espacio disponible - buffer operacional).</t>
  </si>
  <si>
    <t>M4-V11</t>
  </si>
  <si>
    <t>Dato crítico faltante</t>
  </si>
  <si>
    <t>Deuda relevante, pero falta un dato crítico para evaluar</t>
  </si>
  <si>
    <t>Derivar a completar dato en OD o edición puntual; mantener diagnóstico limitado.</t>
  </si>
  <si>
    <t>M4-RN-028</t>
  </si>
  <si>
    <t>Capacidad recuperable</t>
  </si>
  <si>
    <t>Capacidad recuperable mensual considera pago mensual obligatorio confirmado + cargos recurrentes confirmados + intereses/recargos recurrentes confirmados.</t>
  </si>
  <si>
    <t>CP-M4-011</t>
  </si>
  <si>
    <t>M4-RN-029</t>
  </si>
  <si>
    <t>Capacidad solo con dato confirmado</t>
  </si>
  <si>
    <t>No se muestra monto de capacidad recuperable si solo existe saldo o si el compromiso mensual no está confirmado; usar cualitativo/oculto según confianza.</t>
  </si>
  <si>
    <t>M4-RN-030</t>
  </si>
  <si>
    <t>Estimaciones no promesas</t>
  </si>
  <si>
    <t>Capacidad recuperable, pago adicional y cronograma son estimaciones condicionadas, no promesas ni instrucciones automáticas.</t>
  </si>
  <si>
    <t>M4-V12</t>
  </si>
  <si>
    <t>S2/S3/S4/S6/S9</t>
  </si>
  <si>
    <t>Lote pendiente relevante</t>
  </si>
  <si>
    <t>Documento/lote generó varias deudas pendientes de revisión</t>
  </si>
  <si>
    <t>Derivar a OD-02 para revisión individual; no consolidar lote como deuda confirmada.</t>
  </si>
  <si>
    <t>M4-HU-002 / M4-HU-009</t>
  </si>
  <si>
    <t>CP-M4-012</t>
  </si>
  <si>
    <t>S2 – Walvy_Modulo4_Fase2_Matriz_Pantallas_Modales_Acciones_v1_0: Pantallas núcleo/condicionadas, estados, modales, acciones, componentes, fallback y criterios por pantalla.
S3 – Walvy_Modulo4_Fase3_Reglas_Contextuales_Severidad_v1_0: Gatillos, severidad S0-S4, activación, transiciones, recomendaciones y guardrails.
S4 – Walvy_Modulo4_Fase3_Anexo_BDD_Reglas_Productivas_v1_0: Parámetros MVP, fórmulas, entidades, campos, estados, enums, vigencia y reglas implementables.
S6 – Walvy_Modulo4_Fase4_COPY_UX_v1_0: Títulos, bajadas, CTA, mensajes de fallback, estimaciones y guardrails de lenguaje.
S9 – Indicaciones paquete documental Modulo 4: Orden de lectura, autoridad documental por área y criterios importantes para desarrollo.</t>
  </si>
  <si>
    <t>M4-RN-031</t>
  </si>
  <si>
    <t>Vista agrupada no consolida</t>
  </si>
  <si>
    <t>Agrupar deudas es una vista de organización; no constituye refinanciamiento ni consolidación bancaria.</t>
  </si>
  <si>
    <t>M4-V13</t>
  </si>
  <si>
    <t>Vencimiento crítico con capacidad</t>
  </si>
  <si>
    <t>Existe vencimiento relevante y evidencia de capacidad de pago</t>
  </si>
  <si>
    <t>Mostrar alerta/revisión; no activar Ruta Despeje por fecha solamente.</t>
  </si>
  <si>
    <t>M4-HU-002 / M4-HU-025</t>
  </si>
  <si>
    <t>M4-RN-032</t>
  </si>
  <si>
    <t>M4-RN-021 / M4-RN-043</t>
  </si>
  <si>
    <t>Cierre confirmado</t>
  </si>
  <si>
    <t>Una deuda pasa a cerrada solo con confirmación/evidencia suficiente; el cierre provoca recálculo de ruta/capacidad.</t>
  </si>
  <si>
    <t>CP-M4-013</t>
  </si>
  <si>
    <t>M4-RN-033</t>
  </si>
  <si>
    <t>Transiciones controladas</t>
  </si>
  <si>
    <t>Confirmado documental / decisión pendiente</t>
  </si>
  <si>
    <t>Estados y severidad se recalculan mediante transiciones válidas; no se salta de detectada/no confirmada a plan activo.</t>
  </si>
  <si>
    <t>PD-M4-04 / PD-M4-07</t>
  </si>
  <si>
    <t>M4-V14</t>
  </si>
  <si>
    <t>M4-RN-034</t>
  </si>
  <si>
    <t>Vencimiento crítico sin capacidad</t>
  </si>
  <si>
    <t>Tarjeta: pago total sano</t>
  </si>
  <si>
    <t>Existe vencimiento relevante y no hay capacidad clara / hay presión</t>
  </si>
  <si>
    <t>Pago total del ciclo no debe escalar por sí mismo; corresponde seguimiento/manejable.</t>
  </si>
  <si>
    <t>Derivar a revisión de deuda y evaluar severidad; activar RD solo si se cumplen confirmación, mínimos y gatillo.</t>
  </si>
  <si>
    <t>M4-HU-002 / M4-HU-025 / M4-HU-014</t>
  </si>
  <si>
    <t>S3/S4/S5</t>
  </si>
  <si>
    <t>M4-RN-021 / M4-RN-004</t>
  </si>
  <si>
    <t>S3 – Walvy_Modulo4_Fase3_Reglas_Contextuales_Severidad_v1_0: Gatillos, severidad S0-S4, activación, transiciones, recomendaciones y guardrails.
S4 – Walvy_Modulo4_Fase3_Anexo_BDD_Reglas_Productivas_v1_0: Parámetros MVP, fórmulas, entidades, campos, estados, enums, vigencia y reglas implementables.
S5 – Walvy_Anexo_Transversal_TC_M04_M05_M06_v1_0: Lectura TC/CMF, precedencia documental, pago/mora, dispatch M04-M06 y reglas R-TC/R-CMF.</t>
  </si>
  <si>
    <t>M4-RN-035</t>
  </si>
  <si>
    <t>Tarjeta: pago mínimo recurrente</t>
  </si>
  <si>
    <t>CP-M4-014</t>
  </si>
  <si>
    <t>Pago mínimo recurrente constituye señal de presión alta y puede clasificar S4 según evidencia documentada.</t>
  </si>
  <si>
    <t>M4-RN-036</t>
  </si>
  <si>
    <t>Tarjeta: parcial pre-cierre</t>
  </si>
  <si>
    <t>PD-M4-04</t>
  </si>
  <si>
    <t>Pago parcial antes del cierre con evidencia de pago total posterior no debe generar falso positivo de presión.</t>
  </si>
  <si>
    <t>M4-V15</t>
  </si>
  <si>
    <t>OD-01 · Método y captura</t>
  </si>
  <si>
    <t>Registro manual de deuda formal</t>
  </si>
  <si>
    <t>Usuario selecciona agregar deuda manualmente</t>
  </si>
  <si>
    <t>Capturar identificación/tipo, saldo aproximado y demás datos disponibles; permitir guardar pendiente si faltan mínimos.</t>
  </si>
  <si>
    <t>M4-RN-037</t>
  </si>
  <si>
    <t>Cuotas al día son rigidez/seguimiento</t>
  </si>
  <si>
    <t>Compras en cuotas pagadas al día son señal de rigidez/seguimiento, no incumplimiento.</t>
  </si>
  <si>
    <t>M4-RN-007 / M4-RN-010</t>
  </si>
  <si>
    <t>S3/S5</t>
  </si>
  <si>
    <t>S3 – Walvy_Modulo4_Fase3_Reglas_Contextuales_Severidad_v1_0: Gatillos, severidad S0-S4, activación, transiciones, recomendaciones y guardrails.
S5 – Walvy_Anexo_Transversal_TC_M04_M05_M06_v1_0: Lectura TC/CMF, precedencia documental, pago/mora, dispatch M04-M06 y reglas R-TC/R-CMF.</t>
  </si>
  <si>
    <t>M4-RN-038</t>
  </si>
  <si>
    <t>CP-M4-015</t>
  </si>
  <si>
    <t>Intereses/costos no aislados</t>
  </si>
  <si>
    <t>Intereses/costos pueden ser preventivos; escalan al combinarse con pago mínimo, mora, saldo negativo u otras señales.</t>
  </si>
  <si>
    <t>M4-RN-039</t>
  </si>
  <si>
    <t>Vigencia por tipo de dato</t>
  </si>
  <si>
    <t>M4-V16</t>
  </si>
  <si>
    <t>La frescura se evalúa por tipo de dato; el Anexo BDD define ventanas iniciales (p.ej., saldo/pago 30d, deuda documental 60d, ingreso declarado 90d).</t>
  </si>
  <si>
    <t>Registro manual de deuda informal</t>
  </si>
  <si>
    <t>Usuario registra préstamo/deuda informal</t>
  </si>
  <si>
    <t>Usar variante manual con identificación, saldo y datos de compromiso/frecuencia según uso; lenguaje neutral.</t>
  </si>
  <si>
    <t>M4-RN-040</t>
  </si>
  <si>
    <t>M4-RN-011 / M4-RN-010</t>
  </si>
  <si>
    <t>Parámetros configurables y versionados</t>
  </si>
  <si>
    <t>S2/S3/S4/S6</t>
  </si>
  <si>
    <t>Los umbrales productivos deben ser configurables, recalculables y versionados; no hardcodeados en UI.</t>
  </si>
  <si>
    <t>BDD v1.0 · Control técnico/backend</t>
  </si>
  <si>
    <t>S2 – Walvy_Modulo4_Fase2_Matriz_Pantallas_Modales_Acciones_v1_0: Pantallas núcleo/condicionadas, estados, modales, acciones, componentes, fallback y criterios por pantalla.
S3 – Walvy_Modulo4_Fase3_Reglas_Contextuales_Severidad_v1_0: Gatillos, severidad S0-S4, activación, transiciones, recomendaciones y guardrails.
S4 – Walvy_Modulo4_Fase3_Anexo_BDD_Reglas_Productivas_v1_0: Parámetros MVP, fórmulas, entidades, campos, estados, enums, vigencia y reglas implementables.
S6 – Walvy_Modulo4_Fase4_COPY_UX_v1_0: Títulos, bajadas, CTA, mensajes de fallback, estimaciones y guardrails de lenguaje.</t>
  </si>
  <si>
    <t>CP-M4-016</t>
  </si>
  <si>
    <t>M4-RN-041</t>
  </si>
  <si>
    <t>Evaluación trazable</t>
  </si>
  <si>
    <t>Toda evaluación debe conservar rule_version, evaluated_at, source_fields_used, confidence_level y blocking_missing_fields cuando corresponda.</t>
  </si>
  <si>
    <t>M4-RN-042</t>
  </si>
  <si>
    <t>Economía de pantallas</t>
  </si>
  <si>
    <t>M4-V17</t>
  </si>
  <si>
    <t>OD-01, OD-02, OD-03, RD-01 y RD-02 son núcleo; DD-01 y RD-03 son vistas condicionadas/embebidas según resolución UX/técnica.</t>
  </si>
  <si>
    <t>Carga de documento</t>
  </si>
  <si>
    <t>S2/S9</t>
  </si>
  <si>
    <t>Usuario selecciona subir documento de deuda</t>
  </si>
  <si>
    <t>Procesar documento y derivar a revisión/validación; los datos extraídos no quedan confirmados automáticamente.</t>
  </si>
  <si>
    <t>S2 – Walvy_Modulo4_Fase2_Matriz_Pantallas_Modales_Acciones_v1_0: Pantallas núcleo/condicionadas, estados, modales, acciones, componentes, fallback y criterios por pantalla.
S9 – Indicaciones paquete documental Modulo 4: Orden de lectura, autoridad documental por área y criterios importantes para desarrollo.</t>
  </si>
  <si>
    <t>M4-RN-005 / M4-RN-012</t>
  </si>
  <si>
    <t>M4-RN-043</t>
  </si>
  <si>
    <t>Fallback no bloqueante</t>
  </si>
  <si>
    <t>Dependencias de Alertas, Pagos, Presupuesto o detalle no disponible deben tener fallback y no bloquear indebidamente el flujo principal.</t>
  </si>
  <si>
    <t>CP-M4-017</t>
  </si>
  <si>
    <t>M4-RN-044</t>
  </si>
  <si>
    <t>Cronograma condicionado por confianza</t>
  </si>
  <si>
    <t>El cronograma muestra fecha/hitos solo cuando los datos y supuestos lo sostienen; con baja confianza o faltantes se mantiene cualitativo/sin fecha.</t>
  </si>
  <si>
    <t>M4-V18</t>
  </si>
  <si>
    <t>Revisar deuda detectada</t>
  </si>
  <si>
    <t>M4-RN-045</t>
  </si>
  <si>
    <t>Existe una deuda detectada previamente por documento/inferencia</t>
  </si>
  <si>
    <t>Orden preliminar vs plan activo</t>
  </si>
  <si>
    <t>Abrir revisión para confirmar, corregir, completar o marcar No corresponde.</t>
  </si>
  <si>
    <t>Antes de cumplir el gate puede mostrarse información/orden preliminar, pero no un plan activo, fecha fuerte, promesas o capacidad fuerte.</t>
  </si>
  <si>
    <t>M4-HU-005 / M4-HU-007</t>
  </si>
  <si>
    <t>M4-RN-046</t>
  </si>
  <si>
    <t>CP-M4-018</t>
  </si>
  <si>
    <t>Sin buffer, extra solo referencial</t>
  </si>
  <si>
    <t>Si existe espacio positivo pero no se cumple el buffer operacional, cualquier pago adicional debe tratarse como referencial/simulación, no recomendación fuerte.</t>
  </si>
  <si>
    <t>M4-RN-047</t>
  </si>
  <si>
    <t>Prohibición de automatización financiera</t>
  </si>
  <si>
    <t>Walvy no ejecuta pagos, refinancia, consolida deudas ni reasigna dinero automáticamente.</t>
  </si>
  <si>
    <t>M4-V19</t>
  </si>
  <si>
    <t>OD-01 · Documento protegido</t>
  </si>
  <si>
    <t>S2/S3/S6/S9</t>
  </si>
  <si>
    <t>Documento requiere contraseña</t>
  </si>
  <si>
    <t>El procesador detecta que el documento está protegido</t>
  </si>
  <si>
    <t>Mostrar solicitud de contraseña solo en este estado recuperable; no mostrar campo por defecto.</t>
  </si>
  <si>
    <t>S2 – Walvy_Modulo4_Fase2_Matriz_Pantallas_Modales_Acciones_v1_0: Pantallas núcleo/condicionadas, estados, modales, acciones, componentes, fallback y criterios por pantalla.
S3 – Walvy_Modulo4_Fase3_Reglas_Contextuales_Severidad_v1_0: Gatillos, severidad S0-S4, activación, transiciones, recomendaciones y guardrails.
S6 – Walvy_Modulo4_Fase4_COPY_UX_v1_0: Títulos, bajadas, CTA, mensajes de fallback, estimaciones y guardrails de lenguaje.
S9 – Indicaciones paquete documental Modulo 4: Orden de lectura, autoridad documental por área y criterios importantes para desarrollo.</t>
  </si>
  <si>
    <t>M4-RN-048</t>
  </si>
  <si>
    <t>Precedencia fuente TC/CMF</t>
  </si>
  <si>
    <t>Para TC con estado de cuenta cargado prevalece el estado de cuenta; CMF complementa/contrasta. Para deuda no TC, CMF es fuente principal salvo documento específico más preciso.</t>
  </si>
  <si>
    <t>Transversal explícita</t>
  </si>
  <si>
    <t>CP-M4-019</t>
  </si>
  <si>
    <t>S5 – Walvy_Anexo_Transversal_TC_M04_M05_M06_v1_0: Lectura TC/CMF, precedencia documental, pago/mora, dispatch M04-M06 y reglas R-TC/R-CMF.</t>
  </si>
  <si>
    <t>R-TC-002</t>
  </si>
  <si>
    <t>Saldo actual TC</t>
  </si>
  <si>
    <t>En revisión TC, Saldo actual = Monto total facturado a pagar.</t>
  </si>
  <si>
    <t>Regla fuente explícita</t>
  </si>
  <si>
    <t>M4-V20</t>
  </si>
  <si>
    <t>R-TC-003</t>
  </si>
  <si>
    <t>Contraseña correcta</t>
  </si>
  <si>
    <t>Saldo inicial TC</t>
  </si>
  <si>
    <t>Usuario ingresa contraseña válida</t>
  </si>
  <si>
    <t>En revisión TC, Saldo inicial = cupo utilizado/costo monetario prepago/deuda total TC, con label contextual si aplica.</t>
  </si>
  <si>
    <t>Continuar procesamiento y luego llevar a revisión de datos; la clave no se convierte en dato funcional de deuda.</t>
  </si>
  <si>
    <t>R-TC-004</t>
  </si>
  <si>
    <t>Último pago TC</t>
  </si>
  <si>
    <t>CP-M4-020</t>
  </si>
  <si>
    <t>Último pago realizado = monto pagado período anterior; fecha exacta solo si existe MONTO CANCELADO coincidente; si no, usar período.</t>
  </si>
  <si>
    <t>R-TC-007</t>
  </si>
  <si>
    <t>Evaluación M4 por presión TC</t>
  </si>
  <si>
    <t>M4 evalúa cuando existe presión suficiente: pago parcial, mínimo pagado/inferido, mora, intereses, saldo arrastrado, cobranza o presión de flujo asociada a deuda.</t>
  </si>
  <si>
    <t>R-TC-008</t>
  </si>
  <si>
    <t>Cuotas al día</t>
  </si>
  <si>
    <t>M4-V21</t>
  </si>
  <si>
    <t>Compras en cuotas al día son seguimiento/rigidez, no incumplimiento.</t>
  </si>
  <si>
    <t>Contraseña incorrecta</t>
  </si>
  <si>
    <t>Usuario ingresa contraseña inválida</t>
  </si>
  <si>
    <t>Informar error controlado y permitir reintento sin perder el flujo.</t>
  </si>
  <si>
    <t>R-CMF-001</t>
  </si>
  <si>
    <t>Parseo y precedencia CMF</t>
  </si>
  <si>
    <t>El informe CMF debe parsear todos los elementos de deuda; es fuente principal para no TC salvo documento más preciso, y complemento/fallback para TC.</t>
  </si>
  <si>
    <t>R-CMF-002</t>
  </si>
  <si>
    <t>Mapeo no TC CMF</t>
  </si>
  <si>
    <t>CP-M4-021</t>
  </si>
  <si>
    <t>Para deuda no TC: monto actual→saldo actual; monto original→saldo inicial; carga financiera→cuota referencial; mora→estado/severidad.</t>
  </si>
  <si>
    <t>R-CMF-003</t>
  </si>
  <si>
    <t>Mora CMF activa evaluación</t>
  </si>
  <si>
    <t>Si CMF contiene monto en mora o mora actual, activa evaluación M4. Tramos superiores escalan severidad sin implicar Ruta Despeje automática.</t>
  </si>
  <si>
    <t>M4-RN-049</t>
  </si>
  <si>
    <t>M4-V22</t>
  </si>
  <si>
    <t>Frontera Pagos/Alertas → M4</t>
  </si>
  <si>
    <t>Usuario no dispone de contraseña</t>
  </si>
  <si>
    <t>Un pago próximo, al día o vencimiento simple con capacidad suficiente permanece en Pagos/Alertas; solo se eleva a M4 si existe atraso relevante, mora, incapacidad de pago, presión del mes o necesidad real de priorización.</t>
  </si>
  <si>
    <t>Documento está protegido y usuario no conoce la clave</t>
  </si>
  <si>
    <t>Ofrecer cargar otro documento o ingresar deuda manualmente.</t>
  </si>
  <si>
    <t>CP-M4-022</t>
  </si>
  <si>
    <t>M4-RN-050</t>
  </si>
  <si>
    <t>M4-V23</t>
  </si>
  <si>
    <t>OD-01 · Documento</t>
  </si>
  <si>
    <t>Documento no procesable</t>
  </si>
  <si>
    <t>Archivo no permite extracción usable</t>
  </si>
  <si>
    <t>No marcar procesamiento como exitoso; ofrecer otro archivo o registro manual y dejar estado recuperable.</t>
  </si>
  <si>
    <t>Dominancia de señales y bloqueo S0</t>
  </si>
  <si>
    <t>M4-HU-005 / M4-HU-006</t>
  </si>
  <si>
    <t>Si una misma deuda presenta varias señales, se usa el estado/severidad dominante y las señales secundarias solo aportan contexto. Si falta confirmación o un dato crítico, S0 bloquea una conclusión fuerte y la activación de Ruta Despeje.</t>
  </si>
  <si>
    <t>M4-RN-006 / M4-RN-043</t>
  </si>
  <si>
    <t>CP-M4-023</t>
  </si>
  <si>
    <t>WALVY | M4 – Decisiones funcionales pendientes del Cliente / Producto</t>
  </si>
  <si>
    <t>M4-V24</t>
  </si>
  <si>
    <t>OD-01 · Registro manual</t>
  </si>
  <si>
    <t>Registro básico incompleto</t>
  </si>
  <si>
    <t>Se informa identificación/tipo y saldo aproximado, pero faltan datos para presión</t>
  </si>
  <si>
    <t>Guardar como pendiente/incompleta; no habilitar evaluación de presión, RD, priorización fuerte ni cronograma con fecha.</t>
  </si>
  <si>
    <t>M4-HU-003 / M4-HU-007</t>
  </si>
  <si>
    <t>M4-RN-007 / M4-RN-006</t>
  </si>
  <si>
    <t>CP-M4-024</t>
  </si>
  <si>
    <t>M4-V25</t>
  </si>
  <si>
    <t>OD-02 · Validación</t>
  </si>
  <si>
    <t>Datos suficientes</t>
  </si>
  <si>
    <t>Deuda cuenta con datos requeridos para el uso actual</t>
  </si>
  <si>
    <t>Esta pestaña incluye únicamente definiciones, parámetros o comportamientos que la documentación M4 no cierra de forma determinista. No se inventan valores para completar la matriz. La aprobación de cada variante se registra en “Validación Cliente” de la Matriz Trazabilidad.</t>
  </si>
  <si>
    <t>Permitir confirmar y continuar a evaluación/derivación según severidad.</t>
  </si>
  <si>
    <t>M4-RN-006 / M4-RN-033</t>
  </si>
  <si>
    <t>CP-M4-025</t>
  </si>
  <si>
    <t>M4-V26</t>
  </si>
  <si>
    <t>Datos faltantes</t>
  </si>
  <si>
    <t>Falta uno o más datos críticos</t>
  </si>
  <si>
    <t>Mostrar faltantes y solicitar solo lo necesario; mantener estado pendiente/S0 cuando corresponda.</t>
  </si>
  <si>
    <t>M4-RN-006 / M4-RN-017</t>
  </si>
  <si>
    <t>CP-M4-026</t>
  </si>
  <si>
    <t>ID Pendiente</t>
  </si>
  <si>
    <t>M4-V27</t>
  </si>
  <si>
    <t>Dato crítico desactualizado</t>
  </si>
  <si>
    <t>Tipo de decisión</t>
  </si>
  <si>
    <t>Campo crítico supera ventana de vigencia o está marcado desactualizado</t>
  </si>
  <si>
    <t>Variantes / RN afectadas</t>
  </si>
  <si>
    <t>Solicitar corrección/confirmación antes de plan completo; conservar confianza/vigencia.</t>
  </si>
  <si>
    <t>Tema a definir</t>
  </si>
  <si>
    <t>M4-HU-007 / M4-HU-024</t>
  </si>
  <si>
    <t>Motivo / Fuente</t>
  </si>
  <si>
    <t>Nodo(s) Figma</t>
  </si>
  <si>
    <t>M4-RN-015 / M4-RN-016 / M4-RN-039</t>
  </si>
  <si>
    <t>CP-M4-027</t>
  </si>
  <si>
    <t>M4-V28</t>
  </si>
  <si>
    <t>Deuda informal incompleta</t>
  </si>
  <si>
    <t>Deuda informal sin compromiso mensual/frecuencia suficiente para presión</t>
  </si>
  <si>
    <t>Mantener registrada pero incompleta; no concluir presión fuerte hasta completar.</t>
  </si>
  <si>
    <t>M4-HU-004 / M4-HU-007</t>
  </si>
  <si>
    <t>M4-RN-011 / M4-RN-006</t>
  </si>
  <si>
    <t>CP-M4-028</t>
  </si>
  <si>
    <t>M4-V29</t>
  </si>
  <si>
    <t>Estado decisión</t>
  </si>
  <si>
    <t>Posible duplicado</t>
  </si>
  <si>
    <t>El sistema identifica posible coincidencia con otra deuda</t>
  </si>
  <si>
    <t>Solicitar revisión; no fusionar ni consolidar automáticamente.</t>
  </si>
  <si>
    <t>CP-M4-029</t>
  </si>
  <si>
    <t>PD-M4-01</t>
  </si>
  <si>
    <t>Producto / Finanzas</t>
  </si>
  <si>
    <t>M4-V64–V66 | M4-RN-024 / M4-RN-027 / M4-RN-046</t>
  </si>
  <si>
    <t>Definir el monto piso configurable de buffer operacional (operational_buffer_min_amount).</t>
  </si>
  <si>
    <t>El Anexo BDD define fórmula y 5% inicial sobre ingreso, pero deja el monto base como piso configurable sin valor numérico.</t>
  </si>
  <si>
    <t>M4-V30</t>
  </si>
  <si>
    <t>Documento con múltiples deudas</t>
  </si>
  <si>
    <t>Un documento contiene varias obligaciones</t>
  </si>
  <si>
    <t>Crear/revisar registros individuales y confirmar cada uno por separado.</t>
  </si>
  <si>
    <t>S2/S3/S5</t>
  </si>
  <si>
    <t>PD-M4-02</t>
  </si>
  <si>
    <t>S2 – Walvy_Modulo4_Fase2_Matriz_Pantallas_Modales_Acciones_v1_0: Pantallas núcleo/condicionadas, estados, modales, acciones, componentes, fallback y criterios por pantalla.
S3 – Walvy_Modulo4_Fase3_Reglas_Contextuales_Severidad_v1_0: Gatillos, severidad S0-S4, activación, transiciones, recomendaciones y guardrails.
S5 – Walvy_Anexo_Transversal_TC_M04_M05_M06_v1_0: Lectura TC/CMF, precedencia documental, pago/mora, dispatch M04-M06 y reglas R-TC/R-CMF.</t>
  </si>
  <si>
    <t>CP-M4-030</t>
  </si>
  <si>
    <t>M4-V45–V46 | M4-RN-025</t>
  </si>
  <si>
    <t>Definir el monto piso configurable usado para determinar holgura baja (low_available_space_threshold_amount).</t>
  </si>
  <si>
    <t>El Anexo BDD define 5% inicial sobre ingreso y un piso configurable, pero no entrega monto numérico.</t>
  </si>
  <si>
    <t>M4-V31</t>
  </si>
  <si>
    <t>Usuario no reconoce deuda</t>
  </si>
  <si>
    <t>Usuario selecciona No corresponde/No reconozco</t>
  </si>
  <si>
    <t>Marcar deuda como no corresponde/descartada; excluir de diagnóstico y plan.</t>
  </si>
  <si>
    <t>CP-M4-031</t>
  </si>
  <si>
    <t>PD-M4-03</t>
  </si>
  <si>
    <t>Producto</t>
  </si>
  <si>
    <t>M4-V41 / V43–V44 / V48 / V51 / V79 | M4-RN-019 / 020 / 035</t>
  </si>
  <si>
    <t>Definir la ventana exacta que distingue puntual, recurrente y persistente para señales de deuda.</t>
  </si>
  <si>
    <t>M4-V32</t>
  </si>
  <si>
    <t>Confirmar No corresponde</t>
  </si>
  <si>
    <t>Los documentos usan estas frecuencias para escalar severidad, pero no fijan un número común de ciclos/meses para todos los casos.</t>
  </si>
  <si>
    <t>Usuario confirma descarte de una deuda detectada</t>
  </si>
  <si>
    <t>Mantener trazabilidad de la fuente/decisión, sin afectar Salud de Deuda ni Ruta Despeje.</t>
  </si>
  <si>
    <t>M4-RN-014 / M4-RN-041</t>
  </si>
  <si>
    <t>CP-M4-032</t>
  </si>
  <si>
    <t>M4-V13–V14 / V49–V50 | M4-RN-021</t>
  </si>
  <si>
    <t>Definir el horizonte temporal exacto para clasificar un vencimiento como “crítico”.</t>
  </si>
  <si>
    <t>La documentación condiciona severidad a capacidad/mora/evidencia, pero no fija un umbral uniforme de días.</t>
  </si>
  <si>
    <t>M4-V33</t>
  </si>
  <si>
    <t>Deuda detectada sin confirmación</t>
  </si>
  <si>
    <t>Existe señal inferida/detectada con datos parciales</t>
  </si>
  <si>
    <t>Mantener S0/pendiente; no mostrar conclusión fuerte ni capacidad/plan activo.</t>
  </si>
  <si>
    <t>M4-HU-007 / M4-HU-013</t>
  </si>
  <si>
    <t>PD-M4-05</t>
  </si>
  <si>
    <t>M4-RN-005 / M4-RN-017</t>
  </si>
  <si>
    <t>Producto / Riesgo</t>
  </si>
  <si>
    <t>M4-V51 / V82 | R-CMF-003</t>
  </si>
  <si>
    <t>CP-M4-033</t>
  </si>
  <si>
    <t>Definir el mapeo exacto de tramos de mora CMF hacia severidad S0–S4, si Producto requiere una tabla determinista.</t>
  </si>
  <si>
    <t>El anexo establece que tramos superiores escalan severidad y evita asumir equivalencias externas no validadas, pero no entrega tabla S por tramo.</t>
  </si>
  <si>
    <t>M4-V34</t>
  </si>
  <si>
    <t>PD-M4-06</t>
  </si>
  <si>
    <t>Usuario confirma deuda detectada</t>
  </si>
  <si>
    <t>Usuario valida que la deuda le pertenece y corrige/completa lo necesario</t>
  </si>
  <si>
    <t>Cambiar estado a confirmada y recalcular severidad S1-S4 con reglas vigentes.</t>
  </si>
  <si>
    <t>M4-V59–V60 / V67 / V70–V71 | M4-HU-016 / M4-RN-041 / 044</t>
  </si>
  <si>
    <t>M4-RN-033 / M4-RN-041</t>
  </si>
  <si>
    <t>Cerrar el algoritmo final de priorización/orden de deudas dentro de Ruta Despeje y su relación con la metodología Bola de Nieve.</t>
  </si>
  <si>
    <t>La documentación exige orden, deuda prioritaria, supuestos y versión; el Anexo BDD no reemplaza la metodología de priorización con una fórmula completa.</t>
  </si>
  <si>
    <t>CP-M4-034</t>
  </si>
  <si>
    <t>PD-M4-07</t>
  </si>
  <si>
    <t>Producto / Técnica</t>
  </si>
  <si>
    <t>M4-V13 / V49 / V54 | M4-RN-043</t>
  </si>
  <si>
    <t>M4-V35</t>
  </si>
  <si>
    <t>Confirmar qué dependencias estarán disponibles en el MVP de M4 (Alertas, Pagos, Presupuesto) y qué fallback se activa en cada caso.</t>
  </si>
  <si>
    <t>Origen o confianza insuficiente</t>
  </si>
  <si>
    <t>Fase 1/2 define fallbacks para no bloquear el flujo, pero la disponibilidad concreta por ambiente/hito no está cerrada en la carpeta M4.</t>
  </si>
  <si>
    <t>Falta origen del dato o el nivel de confianza es bajo</t>
  </si>
  <si>
    <t>Comunicar precisión limitada; bloquear salidas fuertes cuando los campos críticos no sean confiables.</t>
  </si>
  <si>
    <t>M4-RN-015 / M4-RN-041</t>
  </si>
  <si>
    <t>PD-M4-08</t>
  </si>
  <si>
    <t>Producto / UX</t>
  </si>
  <si>
    <t>CP-M4-035</t>
  </si>
  <si>
    <t>M4-V52 / V58–V60 / V73–V74 | M4-RN-042</t>
  </si>
  <si>
    <t>Confirmar resolución UX final de DD-01 y RD-03 como vistas embebidas/condicionadas y de RD-01/RD-02 como pantallas separadas o vista compacta.</t>
  </si>
  <si>
    <t>El nodo maestro Figma M4 5897:11184 ya está disponible. La decisión pendiente es la resolución final y, si aplica, la asociación de subnodos específicos por vista.</t>
  </si>
  <si>
    <t>5897:11184</t>
  </si>
  <si>
    <t>M4-V36</t>
  </si>
  <si>
    <t>OD-03 · Resultado</t>
  </si>
  <si>
    <t>Deuda confirmada manejable</t>
  </si>
  <si>
    <t>Confirmada, sin presión suficiente y con estado manejable</t>
  </si>
  <si>
    <t>Cerrar OD y derivar a Perfil o DD-01 para seguimiento.</t>
  </si>
  <si>
    <t>M4-HU-011 / M4-HU-012</t>
  </si>
  <si>
    <t>CP-M4-036</t>
  </si>
  <si>
    <t>M4-V37</t>
  </si>
  <si>
    <t>Deuda confirmada requiere atención</t>
  </si>
  <si>
    <t>Confirmada con señales preventivas/S2</t>
  </si>
  <si>
    <t>Derivar a DD-01/revisión; no activar plan completo salvo cambio de severidad y gate.</t>
  </si>
  <si>
    <t>M4-HU-011 / M4-HU-013</t>
  </si>
  <si>
    <t>CP-M4-037</t>
  </si>
  <si>
    <t>M4-V38</t>
  </si>
  <si>
    <t>Deuda confirmada presionada</t>
  </si>
  <si>
    <t>Confirmada + S3/S4 + datos mínimos</t>
  </si>
  <si>
    <t>Derivar a Ruta Despeje completa.</t>
  </si>
  <si>
    <t>M4-HU-011 / M4-HU-014</t>
  </si>
  <si>
    <t>M4-RN-004 / M4-RN-017</t>
  </si>
  <si>
    <t>CP-M4-038</t>
  </si>
  <si>
    <t>WALVY | M4 – Resumen de trazabilidad v1.3</t>
  </si>
  <si>
    <t>M4-V39</t>
  </si>
  <si>
    <t>OD-03 · Deuda con deuda</t>
  </si>
  <si>
    <t>Señal inferida no confirmada</t>
  </si>
  <si>
    <t>Se infiere que una deuda pagó otra, pero no está confirmada</t>
  </si>
  <si>
    <t>Mantener S0/pendiente y solicitar confirmación antes de escalar.</t>
  </si>
  <si>
    <t>M4-RN-005 / M4-RN-019</t>
  </si>
  <si>
    <t>CP-M4-039</t>
  </si>
  <si>
    <t>M4-V40</t>
  </si>
  <si>
    <t>Caso puntual confirmado</t>
  </si>
  <si>
    <t>Uso puntual confirmado de deuda para pagar otra deuda</t>
  </si>
  <si>
    <t>Evaluar como señal fuerte, típicamente S3 según contexto, y revisar elegibilidad de RD.</t>
  </si>
  <si>
    <t>M4-HU-027 / M4-HU-013</t>
  </si>
  <si>
    <t>Indicador</t>
  </si>
  <si>
    <t>CP-M4-040</t>
  </si>
  <si>
    <t>Valor</t>
  </si>
  <si>
    <t>Cómo revisar</t>
  </si>
  <si>
    <t>M4-V41</t>
  </si>
  <si>
    <t>Caso recurrente/persistente confirmado</t>
  </si>
  <si>
    <t>Uso recurrente/persistente de deuda para pagar otra deuda</t>
  </si>
  <si>
    <t>Escalar a S4 y priorizar revisión/RD si se cumplen datos mínimos.</t>
  </si>
  <si>
    <t>M4-HU-027 / M4-HU-014</t>
  </si>
  <si>
    <t>M4-RN-019 / M4-RN-004</t>
  </si>
  <si>
    <t>Variantes</t>
  </si>
  <si>
    <t>CP-M4-041</t>
  </si>
  <si>
    <t>M4-V42</t>
  </si>
  <si>
    <t>OD-03 · Avance/liquidez</t>
  </si>
  <si>
    <t>Avance puntual justificable y pagable</t>
  </si>
  <si>
    <t>Uso puntual de crédito/avance con capacidad de pago</t>
  </si>
  <si>
    <t>Mantener seguimiento/Detalle; severidad preventiva según evidencia, sin RD automática.</t>
  </si>
  <si>
    <t>M4-HU-027 / M4-HU-012</t>
  </si>
  <si>
    <t>CP-M4-042</t>
  </si>
  <si>
    <t>M4-V43</t>
  </si>
  <si>
    <t>Avance regular para gasto del mes</t>
  </si>
  <si>
    <t>Uso regular de avance/crédito para cubrir liquidez mensual</t>
  </si>
  <si>
    <t>Evaluar presión y posible S3; recomendar revisión/RD condicionada al gate.</t>
  </si>
  <si>
    <t>M4-RN-020 / M4-RN-004</t>
  </si>
  <si>
    <t>CP-M4-043</t>
  </si>
  <si>
    <t>M4-V44</t>
  </si>
  <si>
    <t>Avance recurrente o para pagar otra deuda</t>
  </si>
  <si>
    <t>Uso recurrente/persistente o deuda-con-deuda confirmada</t>
  </si>
  <si>
    <t>Escalar severidad, pudiendo llegar a S4, y priorizar RD si se cumplen mínimos.</t>
  </si>
  <si>
    <t>M4-RN-019 / M4-RN-020</t>
  </si>
  <si>
    <t>CP-M4-044</t>
  </si>
  <si>
    <t>1</t>
  </si>
  <si>
    <t>Revisar HU/CA</t>
  </si>
  <si>
    <t>Confirmar que intención y criterios representan el comportamiento esperado.</t>
  </si>
  <si>
    <t>M4-V45</t>
  </si>
  <si>
    <t>Historias de Usuario</t>
  </si>
  <si>
    <t>OD-03 · Muchas cuotas</t>
  </si>
  <si>
    <t>2</t>
  </si>
  <si>
    <t>Muchas cuotas con holgura suficiente</t>
  </si>
  <si>
    <t>Revisar RN</t>
  </si>
  <si>
    <t>Cumple condición de acumulación, pero mantiene balance/holgura aceptable</t>
  </si>
  <si>
    <t>Ratificar reglas y especialmente las asociadas a Pendientes Cliente.</t>
  </si>
  <si>
    <t>Mostrar señal preventiva/seguimiento; no activar Ruta Despeje por este hecho solo.</t>
  </si>
  <si>
    <t>Reglas de Negocio</t>
  </si>
  <si>
    <t>M4-RN-022 / M4-RN-023 / M4-RN-037 / R-TC-008</t>
  </si>
  <si>
    <t>CP-M4-045</t>
  </si>
  <si>
    <t>M4-V46</t>
  </si>
  <si>
    <t>Muchas cuotas + holgura baja</t>
  </si>
  <si>
    <t>3</t>
  </si>
  <si>
    <t>Cumple umbral de cuotas y la holgura está bajo el umbral productivo</t>
  </si>
  <si>
    <t>Revisar variante</t>
  </si>
  <si>
    <t>Clasificar como requiere atención/S2 y revisar compromisos.</t>
  </si>
  <si>
    <t>Aprobar, ajustar, excluir o pedir análisis por escenario.</t>
  </si>
  <si>
    <t>M4-HU-026 / M4-HU-013</t>
  </si>
  <si>
    <t>M4-RN-022 / M4-RN-023 / M4-RN-025</t>
  </si>
  <si>
    <t>Variantes con evidencia Passed</t>
  </si>
  <si>
    <t>CP-M4-046</t>
  </si>
  <si>
    <t>M4-V47</t>
  </si>
  <si>
    <t>Muchas cuotas + incapacidad/saldo negativo</t>
  </si>
  <si>
    <t>Acumulación de cuotas con saldo negativo o incapacidad de cubrir compromisos</t>
  </si>
  <si>
    <t>Escalar a S3 según evidencia y evaluar Ruta Despeje si cumple gate.</t>
  </si>
  <si>
    <t>4</t>
  </si>
  <si>
    <t>Revisar CP/Evidencia</t>
  </si>
  <si>
    <t>M4-RN-022 / M4-RN-017</t>
  </si>
  <si>
    <t>Vincular evidencia real cuando se ejecute la validación correspondiente.</t>
  </si>
  <si>
    <t>Variantes con evidencia pendiente</t>
  </si>
  <si>
    <t>CP-M4-047</t>
  </si>
  <si>
    <t>M4-V48</t>
  </si>
  <si>
    <t>Muchas cuotas + presión recurrente</t>
  </si>
  <si>
    <t>Puntos de decisión Cliente/Producto</t>
  </si>
  <si>
    <t>Acumulación con mora, mínimo recurrente, saldo negativo recurrente o deuda-con-deuda</t>
  </si>
  <si>
    <t>Escalar a S4 según evidencia y priorizar RD si se cumplen mínimos.</t>
  </si>
  <si>
    <t>M4-HU-026 / M4-HU-014</t>
  </si>
  <si>
    <t>CP-M4-048</t>
  </si>
  <si>
    <t>M4-V49</t>
  </si>
  <si>
    <t>OD-03 · Vencimiento</t>
  </si>
  <si>
    <t>Fecha relevante con capacidad de pago y sin mora confirmada</t>
  </si>
  <si>
    <t>Mantener S1/S2 y gestionar alerta/revisión; no activar RD por fecha solamente.</t>
  </si>
  <si>
    <t>M4-HU-025 / M4-HU-013</t>
  </si>
  <si>
    <t>CP-M4-049</t>
  </si>
  <si>
    <t>Los códigos S1–S11 identifican artefactos fuente del paquete M4. Los IDs M4-RN/HU/CP son identificadores de consolidación para revisión de Producto y deben ratificarse junto con el alcance funcional.</t>
  </si>
  <si>
    <t>M4-V50</t>
  </si>
  <si>
    <t>Métrica de revisión del Cliente</t>
  </si>
  <si>
    <t>Fecha relevante sin capacidad clara o con señal de presión</t>
  </si>
  <si>
    <t>Elevar evaluación a S3 según evidencia; RD sigue su gate de confirmación y mínimos.</t>
  </si>
  <si>
    <t>M4-HU-025 / M4-HU-014</t>
  </si>
  <si>
    <t>CP-M4-050</t>
  </si>
  <si>
    <t>Decisiones funcionales pendientes</t>
  </si>
  <si>
    <t>M4-V51</t>
  </si>
  <si>
    <t>Estado de validación</t>
  </si>
  <si>
    <t>OD-03 · Mora</t>
  </si>
  <si>
    <t>Mora recurrente/persistente</t>
  </si>
  <si>
    <t>Existe mora confirmada y patrón recurrente/persistente</t>
  </si>
  <si>
    <t>Escalar severidad hasta S4 según evidencia y evaluar/priorizar RD si cumple gate.</t>
  </si>
  <si>
    <t>M4-HU-013 / M4-HU-014</t>
  </si>
  <si>
    <t>M4-RN-017 / R-TC-007 / R-CMF-003</t>
  </si>
  <si>
    <t>Regla transversal explícita</t>
  </si>
  <si>
    <t>Cantidad</t>
  </si>
  <si>
    <t>% del total</t>
  </si>
  <si>
    <t>CP-M4-051</t>
  </si>
  <si>
    <t>Aprobado</t>
  </si>
  <si>
    <t>PD-M4-03 / PD-M4-05</t>
  </si>
  <si>
    <t>M4-V52</t>
  </si>
  <si>
    <t>DD-01 · Detalle/seguimiento</t>
  </si>
  <si>
    <t>Deuda confirmada en S1 o seguimiento preventivo</t>
  </si>
  <si>
    <t>Mostrar detalle/revisión sin activar Ruta Despeje completa.</t>
  </si>
  <si>
    <t>M4-RN-042 / M4-RN-017</t>
  </si>
  <si>
    <t>CP-M4-052</t>
  </si>
  <si>
    <t>M4-V53</t>
  </si>
  <si>
    <t>Corregir dato puntual</t>
  </si>
  <si>
    <t>Usuario detecta error en cuota, saldo o vencimiento</t>
  </si>
  <si>
    <t>Permitir edición contextual y recalcular estado/severidad con la versión vigente.</t>
  </si>
  <si>
    <t>M4-HU-012 / M4-HU-024</t>
  </si>
  <si>
    <t>CP-M4-053</t>
  </si>
  <si>
    <t>M4-V54</t>
  </si>
  <si>
    <t>Activar/revisar alerta de vencimiento</t>
  </si>
  <si>
    <t>La deuda tiene vencimiento relevante y el módulo de Alertas está disponible o requiere fallback</t>
  </si>
  <si>
    <t>Enviar/activar alerta cuando corresponda; si no está disponible, mantener recordatorio/revisión manual sin bloquear.</t>
  </si>
  <si>
    <t>M4-HU-012 / M4-HU-025</t>
  </si>
  <si>
    <t>CP-M4-054</t>
  </si>
  <si>
    <t>M4-V55</t>
  </si>
  <si>
    <t>Ruta Despeje · Gate</t>
  </si>
  <si>
    <t>Falta confirmación</t>
  </si>
  <si>
    <t>Existe presión/señal, pero deuda no está confirmada</t>
  </si>
  <si>
    <t>No activar Ruta Despeje completa; solicitar confirmación.</t>
  </si>
  <si>
    <t>M4-RN-004 / M4-RN-005</t>
  </si>
  <si>
    <t>CP-M4-055</t>
  </si>
  <si>
    <t>M4-V56</t>
  </si>
  <si>
    <t>Faltan datos mínimos</t>
  </si>
  <si>
    <t>Deuda confirmada con presión, pero falta identificación/saldo/pago/compromiso/origen</t>
  </si>
  <si>
    <t>Mantener RD como recomendación/pendiente y solicitar datos; no activar plan completo ni fecha fuerte.</t>
  </si>
  <si>
    <t>M4-HU-014 / M4-HU-024</t>
  </si>
  <si>
    <t>M4-RN-004 / M4-RN-006 / M4-RN-044</t>
  </si>
  <si>
    <t>CP-M4-056</t>
  </si>
  <si>
    <t>M4-V57</t>
  </si>
  <si>
    <t>Gate completo S3/S4</t>
  </si>
  <si>
    <t>Deuda confirmada + datos mínimos completos + gatillo S3/S4</t>
  </si>
  <si>
    <t>Activar Ruta Despeje completa y generar evaluación versionada.</t>
  </si>
  <si>
    <t>M4-RN-004 / M4-RN-041</t>
  </si>
  <si>
    <t>CP-M4-057</t>
  </si>
  <si>
    <t>M4-V58</t>
  </si>
  <si>
    <t>RD-01 · Resumen</t>
  </si>
  <si>
    <t>Resumen con señal principal</t>
  </si>
  <si>
    <t>Ruta Despeje activa</t>
  </si>
  <si>
    <t>Mostrar situación, señal principal, deuda prioritaria y explicación breve sustentada por datos confirmados.</t>
  </si>
  <si>
    <t>M4-RN-042 / M4-RN-030</t>
  </si>
  <si>
    <t>CP-M4-058</t>
  </si>
  <si>
    <t>M4-V59</t>
  </si>
  <si>
    <t>RD-01/RD-02 · Preliminar</t>
  </si>
  <si>
    <t>Orden preliminar antes del gate</t>
  </si>
  <si>
    <t>Existen deudas y señales, pero aún falta cerrar confirmación/datos/gate</t>
  </si>
  <si>
    <t>Puede mostrarse información/orden preliminar, sin plan activo, fecha fuerte ni capacidad fuerte.</t>
  </si>
  <si>
    <t>M4-HU-015 / M4-HU-016</t>
  </si>
  <si>
    <t>Resuelto</t>
  </si>
  <si>
    <t>CP-M4-059</t>
  </si>
  <si>
    <t>PD-M4-06 / PD-M4-08</t>
  </si>
  <si>
    <t>M4-V60</t>
  </si>
  <si>
    <t>RD-02 · Plan y priorización</t>
  </si>
  <si>
    <t>Ajustar</t>
  </si>
  <si>
    <t>Plan activo</t>
  </si>
  <si>
    <t>Ruta Despeje activa y datos suficientes</t>
  </si>
  <si>
    <t>Mostrar orden sugerido, deuda prioritaria, siguientes deudas y próxima acción; metodología debe quedar trazable/versionada.</t>
  </si>
  <si>
    <t>M4-RN-041 / M4-RN-047</t>
  </si>
  <si>
    <t>CP-M4-060</t>
  </si>
  <si>
    <t>M4-V61</t>
  </si>
  <si>
    <t>RD-02 · Capacidad recuperable</t>
  </si>
  <si>
    <t>Capacidad calculable</t>
  </si>
  <si>
    <t>Existen pagos/cargos mensuales confirmados y recurrentes aplicables</t>
  </si>
  <si>
    <t>Mostrar monto estimado de capacidad recuperable con supuestos/confianza.</t>
  </si>
  <si>
    <t>M4-RN-028 / M4-RN-029 / M4-RN-030</t>
  </si>
  <si>
    <t>CP-M4-061</t>
  </si>
  <si>
    <t>M4-V62</t>
  </si>
  <si>
    <t>Solo existe saldo de deuda</t>
  </si>
  <si>
    <t>No existe pago/cuota/compromiso mensual confirmado</t>
  </si>
  <si>
    <t>No mostrar monto de capacidad recuperable; usar cualitativo/oculto.</t>
  </si>
  <si>
    <t>Requiere análisis</t>
  </si>
  <si>
    <t>CP-M4-062</t>
  </si>
  <si>
    <t>M4-V63</t>
  </si>
  <si>
    <t>Compromiso no confirmado</t>
  </si>
  <si>
    <t>Existe monto inferido/no confirmado</t>
  </si>
  <si>
    <t>No presentar capacidad recuperable como monto fuerte hasta confirmar.</t>
  </si>
  <si>
    <t>M4-HU-017 / M4-HU-024</t>
  </si>
  <si>
    <t>M4-RN-029 / M4-RN-015</t>
  </si>
  <si>
    <t>CP-M4-063</t>
  </si>
  <si>
    <t>Fuera de alcance</t>
  </si>
  <si>
    <t>M4-V64</t>
  </si>
  <si>
    <t>RD-02 · Simulación</t>
  </si>
  <si>
    <t>Pago adicional sostenible positivo</t>
  </si>
  <si>
    <t>Espacio disponible supera buffer operacional</t>
  </si>
  <si>
    <t>Calcular max(0, espacio disponible - buffer) y mostrar como estimación/simulación, no instrucción automática.</t>
  </si>
  <si>
    <t>M4-RN-024 / M4-RN-026 / M4-RN-027 / M4-RN-030</t>
  </si>
  <si>
    <t>CP-M4-064</t>
  </si>
  <si>
    <t>M4-V65</t>
  </si>
  <si>
    <t>Espacio positivo sin buffer suficiente</t>
  </si>
  <si>
    <t>Existe espacio, pero no se supera el buffer operacional</t>
  </si>
  <si>
    <t>No emitir recomendación fuerte de pago adicional; mantener resultado referencial/cualitativo.</t>
  </si>
  <si>
    <t>M4-RN-024 / M4-RN-046</t>
  </si>
  <si>
    <t>CP-M4-065</t>
  </si>
  <si>
    <t>M4-V66</t>
  </si>
  <si>
    <t>Pago adicional sostenible = 0</t>
  </si>
  <si>
    <t>Espacio disponible no supera buffer</t>
  </si>
  <si>
    <t>No sugerir pago adicional; mantener plan base/acción cualitativa.</t>
  </si>
  <si>
    <t>M4-RN-027 / M4-RN-030</t>
  </si>
  <si>
    <t>CP-M4-066</t>
  </si>
  <si>
    <t>M4-V67</t>
  </si>
  <si>
    <t>RD-02 · Cronograma</t>
  </si>
  <si>
    <t>Datos suficientes y confianza adecuada</t>
  </si>
  <si>
    <t>Existe orden, saldos, compromisos, supuestos y reglas suficientes</t>
  </si>
  <si>
    <t>Mostrar cronograma/hitos y fecha estimada con supuestos y versión de regla.</t>
  </si>
  <si>
    <t>M4-RN-044 / M4-RN-041 / M4-RN-030</t>
  </si>
  <si>
    <t>CP-M4-067</t>
  </si>
  <si>
    <t>M4-V68</t>
  </si>
  <si>
    <t>Datos incompletos</t>
  </si>
  <si>
    <t>Falta saldo/pago/compromiso u otra entrada crítica</t>
  </si>
  <si>
    <t>No mostrar fecha estimada; explicar faltantes y mantener salida cualitativa.</t>
  </si>
  <si>
    <t>M4-RN-044 / M4-RN-006</t>
  </si>
  <si>
    <t>CP-M4-068</t>
  </si>
  <si>
    <t>M4-V69</t>
  </si>
  <si>
    <t>Confianza baja</t>
  </si>
  <si>
    <t>Datos existen, pero confianza/origen no sostienen proyección fuerte</t>
  </si>
  <si>
    <t>Mostrar lectura cualitativa o pedir confirmación; no presentar fecha/promesa.</t>
  </si>
  <si>
    <t>M4-HU-019 / M4-HU-024</t>
  </si>
  <si>
    <t>M4-RN-044 / M4-RN-015</t>
  </si>
  <si>
    <t>Variantes revisadas</t>
  </si>
  <si>
    <t>CP-M4-069</t>
  </si>
  <si>
    <t>M4-V70</t>
  </si>
  <si>
    <t>Sin capacidad adicional</t>
  </si>
  <si>
    <t>Pago adicional sostenible es cero</t>
  </si>
  <si>
    <t>Mostrar plan base con compromisos existentes, sin inventar esfuerzo extra.</t>
  </si>
  <si>
    <t>M4-HU-019 / M4-HU-018</t>
  </si>
  <si>
    <t>CP-M4-070</t>
  </si>
  <si>
    <t>M4-V71</t>
  </si>
  <si>
    <t>Avance de revisión</t>
  </si>
  <si>
    <t>Simulación manual de esfuerzo</t>
  </si>
  <si>
    <t>Usuario ingresa un monto de esfuerzo adicional</t>
  </si>
  <si>
    <t>Mostrar impacto estimado como simulación, separado del plan base y sin automatización.</t>
  </si>
  <si>
    <t>M4-HU-018 / M4-HU-019</t>
  </si>
  <si>
    <t>M4-RN-030 / M4-RN-047</t>
  </si>
  <si>
    <t>CP-M4-071</t>
  </si>
  <si>
    <t>M4-V72</t>
  </si>
  <si>
    <t>RD-02 · Vista agrupada</t>
  </si>
  <si>
    <t>Agrupar deudas para lectura</t>
  </si>
  <si>
    <t>Existen múltiples deudas activas</t>
  </si>
  <si>
    <t>Mostrar agrupación/orden manteniendo cada obligación trazable; no consolidar/refinanciar.</t>
  </si>
  <si>
    <t>M4-RN-031 / M4-RN-047</t>
  </si>
  <si>
    <t>Aprobación sobre revisadas</t>
  </si>
  <si>
    <t>CP-M4-072</t>
  </si>
  <si>
    <t>M4-V73</t>
  </si>
  <si>
    <t>Ajuste de Esfuerzo</t>
  </si>
  <si>
    <t>Usuario quiere probar un monto distinto</t>
  </si>
  <si>
    <t>Resolver como componente/modal/subflujo de RD-02; resultado referencial y reversible.</t>
  </si>
  <si>
    <t>M4-RN-030 / M4-RN-042</t>
  </si>
  <si>
    <t>CP-M4-073</t>
  </si>
  <si>
    <t>M4-V74</t>
  </si>
  <si>
    <t>RD-03 · Avance/cierre</t>
  </si>
  <si>
    <t>Confirmar deuda cerrada</t>
  </si>
  <si>
    <t>Usuario confirma cierre con evidencia suficiente</t>
  </si>
  <si>
    <t>Actualizar estado a cerrada y recalcular señales, plan y capacidad estimada; no reasignar automáticamente.</t>
  </si>
  <si>
    <t>M4-RN-032 / M4-RN-047</t>
  </si>
  <si>
    <t>CP-M4-074</t>
  </si>
  <si>
    <t>M4-V75</t>
  </si>
  <si>
    <t>Cierre sin evidencia suficiente</t>
  </si>
  <si>
    <t>Se intenta marcar cerrada sin confirmación/evidencia aplicable</t>
  </si>
  <si>
    <t>No cerrar automáticamente; mantener revisión/estado pendiente hasta confirmación.</t>
  </si>
  <si>
    <t>M4-RN-032 / M4-RN-033</t>
  </si>
  <si>
    <t>CP-M4-075</t>
  </si>
  <si>
    <t>M4-V76</t>
  </si>
  <si>
    <t>Tarjeta de Crédito · Ciclo</t>
  </si>
  <si>
    <t>Pago total del ciclo</t>
  </si>
  <si>
    <t>Monto pagado cubre total facturado del ciclo anterior</t>
  </si>
  <si>
    <t>Clasificar como manejable/seguimiento; no activar M4 por presión solo por existir deuda TC.</t>
  </si>
  <si>
    <t>M4-RN-034 / R-TC-007</t>
  </si>
  <si>
    <t>CP-M4-076</t>
  </si>
  <si>
    <t>M4-V77</t>
  </si>
  <si>
    <t>Pago parcial pre-cierre y pago total posterior</t>
  </si>
  <si>
    <t>Se observa pago parcial antes del cierre y luego evidencia de pago total</t>
  </si>
  <si>
    <t>Evitar falso positivo; mantener S1/no escalar por el parcial aislado.</t>
  </si>
  <si>
    <t>CP-M4-077</t>
  </si>
  <si>
    <t>M4-V78</t>
  </si>
  <si>
    <t>Pago parcial post-cierre / saldo arrastrado</t>
  </si>
  <si>
    <t>Pago no cubre total al cierre y existe saldo arrastrado</t>
  </si>
  <si>
    <t>Evaluar S2/S3 según presión, recurrencia y demás señales; no saltar directamente a plan sin gate.</t>
  </si>
  <si>
    <t>M4-HU-022 / M4-HU-013</t>
  </si>
  <si>
    <t>M4-RN-017 / R-TC-007</t>
  </si>
  <si>
    <t>CP-M4-078</t>
  </si>
  <si>
    <t>M4-V79</t>
  </si>
  <si>
    <t>Pago mínimo recurrente</t>
  </si>
  <si>
    <t>Patrón confirmado de pago mínimo recurrente</t>
  </si>
  <si>
    <t>Clasificar señal de presión alta/S4 según reglas documentadas y evaluar Ruta Despeje si cumple gate.</t>
  </si>
  <si>
    <t>M4-HU-022 / M4-HU-014</t>
  </si>
  <si>
    <t>M4-RN-035 / R-TC-007</t>
  </si>
  <si>
    <t>CP-M4-079</t>
  </si>
  <si>
    <t>M4-V80</t>
  </si>
  <si>
    <t>Brecha de pago período anterior</t>
  </si>
  <si>
    <t>Monto facturado anterior &gt; monto pagado anterior</t>
  </si>
  <si>
    <t>Registrar brecha y evaluar M4 solo si además existe presión, recurrencia, mora, intereses o saldo arrastrado.</t>
  </si>
  <si>
    <t>R-TC-004 / R-TC-007</t>
  </si>
  <si>
    <t>CP-M4-080</t>
  </si>
  <si>
    <t>M4-V81</t>
  </si>
  <si>
    <t>CMF · Deuda no TC</t>
  </si>
  <si>
    <t>Sin mora</t>
  </si>
  <si>
    <t>Informe CMF contiene deuda no TC vigente sin monto en mora/tramos vencidos</t>
  </si>
  <si>
    <t>Registrar como deuda vigente/seguimiento; no activar M4 por mora.</t>
  </si>
  <si>
    <t>R-CMF-001 / R-CMF-002</t>
  </si>
  <si>
    <t>CP-M4-081</t>
  </si>
  <si>
    <t>M4-V82</t>
  </si>
  <si>
    <t>Con mora</t>
  </si>
  <si>
    <t>Informe CMF contiene monto en mora o mora actual</t>
  </si>
  <si>
    <t>Activar evaluación M4; escalar severidad según tramo/evidencia, sin Ruta Despeje automática.</t>
  </si>
  <si>
    <t>M4-HU-023 / M4-HU-013</t>
  </si>
  <si>
    <t>R-CMF-002 / R-CMF-003</t>
  </si>
  <si>
    <t>CP-M4-082</t>
  </si>
  <si>
    <t>M4-V83</t>
  </si>
  <si>
    <t>TC + CMF · Precedencia</t>
  </si>
  <si>
    <t>TC disponible en estado de cuenta y CMF</t>
  </si>
  <si>
    <t>Existen ambas fuentes para la misma TC</t>
  </si>
  <si>
    <t>Usar estado de cuenta como fuente principal de ciclo/TC y CMF como contraste/complemento; evitar duplicación.</t>
  </si>
  <si>
    <t>M4-HU-022 / M4-HU-023</t>
  </si>
  <si>
    <t>M4-RN-048 / R-CMF-001 / R-TC-002 / R-TC-003</t>
  </si>
  <si>
    <t>CP-M4-083</t>
  </si>
  <si>
    <t>M4-V84</t>
  </si>
  <si>
    <t>Intereses/costos aislados</t>
  </si>
  <si>
    <t>Se detectan intereses, comisiones o costos financieros, pero sin mora, pago mínimo recurrente, saldo arrastrado, deuda-con-deuda ni otra señal fuerte.</t>
  </si>
  <si>
    <t>Tratar como señal preventiva/contextual. No activar Ruta Despeje por el costo aislado; escalar solo al combinarse con otras señales documentadas de presión.</t>
  </si>
  <si>
    <t>M4-RN-038 / R-TC-007</t>
  </si>
  <si>
    <t>CP-M4-084</t>
  </si>
  <si>
    <t>M4-V85</t>
  </si>
  <si>
    <t>Frontera Pagos/Alertas ↔ M4</t>
  </si>
  <si>
    <t>Pago próximo/al día sin condición de elevación</t>
  </si>
  <si>
    <t>Existe pago próximo, pago al día o vencimiento simple, con capacidad suficiente y sin atraso relevante, mora, presión o necesidad de priorización.</t>
  </si>
  <si>
    <t>Mantener el caso en Pagos/Alertas o seguimiento. M4 no activa Ruta Despeje ni fuerza una priorización de deuda.</t>
  </si>
  <si>
    <t>CP-M4-085</t>
  </si>
  <si>
    <t>M4-V86</t>
  </si>
  <si>
    <t>Severidad · Señales combinadas</t>
  </si>
  <si>
    <t>Múltiples señales simultáneas</t>
  </si>
  <si>
    <t>Una misma deuda presenta dos o más señales con distinta severidad y/o existe bloqueo S0 por falta de confirmación o dato crítico.</t>
  </si>
  <si>
    <t>Mostrar estado/severidad dominante y señales secundarias solo como contexto. Si falta confirmación o dato crítico, bloquear conclusión fuerte y Ruta Despeje activa.</t>
  </si>
  <si>
    <t>M4-HU-013 / M4-HU-014 / M4-HU-024</t>
  </si>
  <si>
    <t>M4-RN-050 / M4-RN-018</t>
  </si>
  <si>
    <t>CP-M4-086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</si>
</sst>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rlito"/>
      <scheme val="minor"/>
    </font>
    <font>
      <b/>
      <sz val="15.0"/>
      <color rgb="FFFFFFFF"/>
      <name val="Carlito"/>
    </font>
    <font/>
    <font>
      <b/>
      <sz val="11.0"/>
      <color rgb="FFFFFFFF"/>
      <name val="Carlito"/>
    </font>
    <font>
      <sz val="9.0"/>
      <color theme="1"/>
      <name val="Carlito"/>
    </font>
    <font>
      <sz val="10.0"/>
      <color rgb="FF103F43"/>
      <name val="Carlito"/>
    </font>
    <font>
      <sz val="11.0"/>
      <color theme="1"/>
      <name val="Carlito"/>
    </font>
    <font>
      <b/>
      <sz val="9.0"/>
      <color rgb="FFFFFFFF"/>
      <name val="Carlito"/>
    </font>
    <font>
      <sz val="9.0"/>
      <color rgb="FF1F2A33"/>
      <name val="Carlito"/>
    </font>
    <font>
      <b/>
      <sz val="13.0"/>
      <color rgb="FFFFFFFF"/>
      <name val="Carlito"/>
    </font>
    <font>
      <i/>
      <sz val="11.0"/>
      <color rgb="FF334155"/>
      <name val="Carlito"/>
    </font>
    <font>
      <b/>
      <sz val="14.0"/>
      <color rgb="FFFFFFFF"/>
      <name val="Carlito"/>
    </font>
    <font>
      <sz val="10.0"/>
      <color theme="1"/>
      <name val="Carlito"/>
    </font>
    <font>
      <b/>
      <sz val="12.0"/>
      <color rgb="FFFFFFFF"/>
      <name val="Carlito"/>
    </font>
    <font>
      <b/>
      <sz val="11.0"/>
      <color theme="1"/>
      <name val="Carlito"/>
    </font>
  </fonts>
  <fills count="15">
    <fill>
      <patternFill patternType="none"/>
    </fill>
    <fill>
      <patternFill patternType="lightGray"/>
    </fill>
    <fill>
      <patternFill patternType="solid">
        <fgColor rgb="FF0D5C63"/>
        <bgColor rgb="FF0D5C63"/>
      </patternFill>
    </fill>
    <fill>
      <patternFill patternType="solid">
        <fgColor rgb="FF0F666B"/>
        <bgColor rgb="FF0F666B"/>
      </patternFill>
    </fill>
    <fill>
      <patternFill patternType="solid">
        <fgColor rgb="FF126D73"/>
        <bgColor rgb="FF126D73"/>
      </patternFill>
    </fill>
    <fill>
      <patternFill patternType="solid">
        <fgColor rgb="FFE8F3F2"/>
        <bgColor rgb="FFE8F3F2"/>
      </patternFill>
    </fill>
    <fill>
      <patternFill patternType="solid">
        <fgColor rgb="FF167B89"/>
        <bgColor rgb="FF167B89"/>
      </patternFill>
    </fill>
    <fill>
      <patternFill patternType="solid">
        <fgColor rgb="FFEEF6F6"/>
        <bgColor rgb="FFEEF6F6"/>
      </patternFill>
    </fill>
    <fill>
      <patternFill patternType="solid">
        <fgColor rgb="FFB27600"/>
        <bgColor rgb="FFB27600"/>
      </patternFill>
    </fill>
    <fill>
      <patternFill patternType="solid">
        <fgColor rgb="FF1C7B80"/>
        <bgColor rgb="FF1C7B80"/>
      </patternFill>
    </fill>
    <fill>
      <patternFill patternType="solid">
        <fgColor rgb="FFDCFCE7"/>
        <bgColor rgb="FFDCFCE7"/>
      </patternFill>
    </fill>
    <fill>
      <patternFill patternType="solid">
        <fgColor rgb="FFF3F4F6"/>
        <bgColor rgb="FFF3F4F6"/>
      </patternFill>
    </fill>
    <fill>
      <patternFill patternType="solid">
        <fgColor rgb="FFFEF3C7"/>
        <bgColor rgb="FFFEF3C7"/>
      </patternFill>
    </fill>
    <fill>
      <patternFill patternType="solid">
        <fgColor rgb="FFE5E7EB"/>
        <bgColor rgb="FFE5E7EB"/>
      </patternFill>
    </fill>
    <fill>
      <patternFill patternType="solid">
        <fgColor rgb="FFFEE2E2"/>
        <bgColor rgb="FFFEE2E2"/>
      </patternFill>
    </fill>
  </fills>
  <borders count="6">
    <border/>
    <border>
      <left/>
      <top/>
      <bottom/>
    </border>
    <border>
      <top/>
      <bottom/>
    </border>
    <border>
      <right/>
      <top/>
      <bottom/>
    </border>
    <border>
      <left/>
      <right/>
      <top/>
      <bottom/>
    </border>
    <border>
      <bottom style="thin">
        <color rgb="FFD8E2E5"/>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4" fontId="3" numFmtId="0" xfId="0" applyAlignment="1" applyBorder="1" applyFill="1" applyFont="1">
      <alignment shrinkToFit="0" wrapText="1"/>
    </xf>
    <xf borderId="0" fillId="0" fontId="4" numFmtId="0" xfId="0" applyAlignment="1" applyFont="1">
      <alignment shrinkToFit="0" vertical="top" wrapText="1"/>
    </xf>
    <xf borderId="1" fillId="5" fontId="5" numFmtId="0" xfId="0" applyAlignment="1" applyBorder="1" applyFill="1" applyFont="1">
      <alignment shrinkToFit="0" vertical="center" wrapText="1"/>
    </xf>
    <xf borderId="4" fillId="6" fontId="3" numFmtId="0" xfId="0" applyAlignment="1" applyBorder="1" applyFill="1" applyFont="1">
      <alignment shrinkToFit="0" vertical="center" wrapText="1"/>
    </xf>
    <xf borderId="0" fillId="0" fontId="6" numFmtId="0" xfId="0" applyAlignment="1" applyFont="1">
      <alignment shrinkToFit="0" vertical="top" wrapText="1"/>
    </xf>
    <xf borderId="4" fillId="3" fontId="7" numFmtId="0" xfId="0" applyAlignment="1" applyBorder="1" applyFill="1" applyFont="1">
      <alignment horizontal="center" shrinkToFit="0" vertical="center" wrapText="1"/>
    </xf>
    <xf borderId="0" fillId="0" fontId="8" numFmtId="0" xfId="0" applyAlignment="1" applyFont="1">
      <alignment shrinkToFit="0" vertical="top" wrapText="1"/>
    </xf>
    <xf borderId="0" fillId="0" fontId="6" numFmtId="0" xfId="0" applyAlignment="1" applyFont="1">
      <alignment shrinkToFit="0" wrapText="1"/>
    </xf>
    <xf borderId="5" fillId="0" fontId="6" numFmtId="0" xfId="0" applyAlignment="1" applyBorder="1" applyFont="1">
      <alignment shrinkToFit="0" vertical="top" wrapText="1"/>
    </xf>
    <xf borderId="5" fillId="0" fontId="4" numFmtId="0" xfId="0" applyAlignment="1" applyBorder="1" applyFont="1">
      <alignment shrinkToFit="0" vertical="top" wrapText="1"/>
    </xf>
    <xf borderId="1" fillId="3" fontId="9" numFmtId="0" xfId="0" applyAlignment="1" applyBorder="1" applyFill="1" applyFont="1">
      <alignment horizontal="left" shrinkToFit="0" vertical="center" wrapText="1"/>
    </xf>
    <xf borderId="1" fillId="7" fontId="10" numFmtId="0" xfId="0" applyAlignment="1" applyBorder="1" applyFill="1" applyFont="1">
      <alignment shrinkToFit="0" vertical="center" wrapText="1"/>
    </xf>
    <xf borderId="4" fillId="8" fontId="3" numFmtId="0" xfId="0" applyAlignment="1" applyBorder="1" applyFill="1" applyFont="1">
      <alignment shrinkToFit="0" wrapText="1"/>
    </xf>
    <xf borderId="4" fillId="9" fontId="7" numFmtId="0" xfId="0" applyAlignment="1" applyBorder="1" applyFill="1" applyFont="1">
      <alignment horizontal="center" shrinkToFit="0" vertical="center" wrapText="1"/>
    </xf>
    <xf borderId="1" fillId="3" fontId="11" numFmtId="0" xfId="0" applyAlignment="1" applyBorder="1" applyFill="1" applyFont="1">
      <alignment horizontal="left" shrinkToFit="0" vertical="center" wrapText="1"/>
    </xf>
    <xf borderId="0" fillId="0" fontId="6" numFmtId="0" xfId="0" applyAlignment="1" applyFont="1">
      <alignment shrinkToFit="0" vertical="center" wrapText="1"/>
    </xf>
    <xf borderId="1" fillId="3" fontId="3" numFmtId="0" xfId="0" applyAlignment="1" applyBorder="1" applyFill="1" applyFont="1">
      <alignment horizontal="center" shrinkToFit="0" vertical="center" wrapText="1"/>
    </xf>
    <xf borderId="0" fillId="0" fontId="12" numFmtId="0" xfId="0" applyAlignment="1" applyFont="1">
      <alignment shrinkToFit="0" vertical="center" wrapText="1"/>
    </xf>
    <xf borderId="1" fillId="3" fontId="13" numFmtId="0" xfId="0" applyAlignment="1" applyBorder="1" applyFill="1" applyFont="1">
      <alignment horizontal="left" shrinkToFit="0" vertical="center" wrapText="1"/>
    </xf>
    <xf borderId="4" fillId="9" fontId="3" numFmtId="0" xfId="0" applyAlignment="1" applyBorder="1" applyFill="1" applyFont="1">
      <alignment horizontal="center" shrinkToFit="0" vertical="center" wrapText="1"/>
    </xf>
    <xf borderId="4" fillId="10" fontId="6" numFmtId="0" xfId="0" applyAlignment="1" applyBorder="1" applyFill="1" applyFont="1">
      <alignment shrinkToFit="0" vertical="center" wrapText="1"/>
    </xf>
    <xf borderId="4" fillId="10" fontId="6" numFmtId="9" xfId="0" applyAlignment="1" applyBorder="1" applyFill="1" applyFont="1" applyNumberFormat="1">
      <alignment shrinkToFit="0" vertical="center" wrapText="1"/>
    </xf>
    <xf borderId="4" fillId="11" fontId="6" numFmtId="0" xfId="0" applyAlignment="1" applyBorder="1" applyFill="1" applyFont="1">
      <alignment shrinkToFit="0" vertical="center" wrapText="1"/>
    </xf>
    <xf borderId="4" fillId="11" fontId="6" numFmtId="9" xfId="0" applyAlignment="1" applyBorder="1" applyFill="1" applyFont="1" applyNumberFormat="1">
      <alignment shrinkToFit="0" vertical="center" wrapText="1"/>
    </xf>
    <xf borderId="4" fillId="11" fontId="6" numFmtId="164" xfId="0" applyAlignment="1" applyBorder="1" applyFill="1" applyFont="1" applyNumberFormat="1">
      <alignment shrinkToFit="0" vertical="center" wrapText="1"/>
    </xf>
    <xf borderId="4" fillId="12" fontId="6" numFmtId="0" xfId="0" applyAlignment="1" applyBorder="1" applyFill="1" applyFont="1">
      <alignment shrinkToFit="0" vertical="center" wrapText="1"/>
    </xf>
    <xf borderId="4" fillId="12" fontId="6" numFmtId="9" xfId="0" applyAlignment="1" applyBorder="1" applyFill="1" applyFont="1" applyNumberFormat="1">
      <alignment shrinkToFit="0" vertical="center" wrapText="1"/>
    </xf>
    <xf borderId="4" fillId="13" fontId="6" numFmtId="0" xfId="0" applyAlignment="1" applyBorder="1" applyFill="1" applyFont="1">
      <alignment shrinkToFit="0" vertical="center" wrapText="1"/>
    </xf>
    <xf borderId="4" fillId="13" fontId="6" numFmtId="9" xfId="0" applyAlignment="1" applyBorder="1" applyFill="1" applyFont="1" applyNumberFormat="1">
      <alignment shrinkToFit="0" vertical="center" wrapText="1"/>
    </xf>
    <xf borderId="4" fillId="14" fontId="6" numFmtId="0" xfId="0" applyAlignment="1" applyBorder="1" applyFill="1" applyFont="1">
      <alignment shrinkToFit="0" vertical="center" wrapText="1"/>
    </xf>
    <xf borderId="4" fillId="14" fontId="6" numFmtId="9" xfId="0" applyAlignment="1" applyBorder="1" applyFill="1" applyFont="1" applyNumberFormat="1">
      <alignment shrinkToFit="0" vertical="center" wrapText="1"/>
    </xf>
    <xf borderId="4" fillId="7" fontId="14" numFmtId="0" xfId="0" applyAlignment="1" applyBorder="1" applyFill="1" applyFont="1">
      <alignment shrinkToFit="0" vertical="center" wrapText="1"/>
    </xf>
    <xf borderId="4" fillId="7" fontId="6" numFmtId="0" xfId="0" applyAlignment="1" applyBorder="1" applyFill="1" applyFont="1">
      <alignment shrinkToFit="0" vertical="center" wrapText="1"/>
    </xf>
    <xf borderId="4" fillId="7" fontId="6" numFmtId="164" xfId="0" applyAlignment="1" applyBorder="1" applyFill="1" applyFont="1" applyNumberFormat="1">
      <alignment shrinkToFit="0" vertical="center" wrapText="1"/>
    </xf>
    <xf borderId="0" fillId="0" fontId="6" numFmtId="164" xfId="0" applyAlignment="1" applyFont="1" applyNumberFormat="1">
      <alignment shrinkToFit="0" wrapText="1"/>
    </xf>
  </cellXfs>
  <cellStyles count="1">
    <cellStyle xfId="0" name="Normal" builtinId="0"/>
  </cellStyles>
  <dxfs count="12">
    <dxf>
      <font>
        <b/>
        <color rgb="FF166534"/>
      </font>
      <fill>
        <patternFill patternType="solid">
          <fgColor rgb="FFDCFCE7"/>
          <bgColor rgb="FFDCFCE7"/>
        </patternFill>
      </fill>
      <border/>
    </dxf>
    <dxf>
      <font>
        <color rgb="FF374151"/>
      </font>
      <fill>
        <patternFill patternType="solid">
          <fgColor rgb="FFF3F4F6"/>
          <bgColor rgb="FFF3F4F6"/>
        </patternFill>
      </fill>
      <border/>
    </dxf>
    <dxf>
      <font>
        <b/>
        <color rgb="FF92400E"/>
      </font>
      <fill>
        <patternFill patternType="solid">
          <fgColor rgb="FFFEF3C7"/>
          <bgColor rgb="FFFEF3C7"/>
        </patternFill>
      </fill>
      <border/>
    </dxf>
    <dxf>
      <font>
        <b/>
        <color rgb="FF4B5563"/>
      </font>
      <fill>
        <patternFill patternType="solid">
          <fgColor rgb="FFE5E7EB"/>
          <bgColor rgb="FFE5E7EB"/>
        </patternFill>
      </fill>
      <border/>
    </dxf>
    <dxf>
      <font/>
      <fill>
        <patternFill patternType="solid">
          <fgColor rgb="FFE2F0D9"/>
          <bgColor rgb="FFE2F0D9"/>
        </patternFill>
      </fill>
      <border/>
    </dxf>
    <dxf>
      <font/>
      <fill>
        <patternFill patternType="solid">
          <fgColor rgb="FFF4CCCC"/>
          <bgColor rgb="FFF4CCCC"/>
        </patternFill>
      </fill>
      <border/>
    </dxf>
    <dxf>
      <font>
        <color rgb="FF2F6B2F"/>
      </font>
      <fill>
        <patternFill patternType="solid">
          <fgColor rgb="FFDFF2E0"/>
          <bgColor rgb="FFDFF2E0"/>
        </patternFill>
      </fill>
      <border/>
    </dxf>
    <dxf>
      <font>
        <color rgb="FF7F6000"/>
      </font>
      <fill>
        <patternFill patternType="solid">
          <fgColor rgb="FFFFF2CC"/>
          <bgColor rgb="FFFFF2CC"/>
        </patternFill>
      </fill>
      <border/>
    </dxf>
    <dxf>
      <font>
        <color rgb="FF555555"/>
      </font>
      <fill>
        <patternFill patternType="solid">
          <fgColor rgb="FFE7E6E6"/>
          <bgColor rgb="FFE7E6E6"/>
        </patternFill>
      </fill>
      <border/>
    </dxf>
    <dxf>
      <font>
        <color rgb="FF9C0006"/>
      </font>
      <fill>
        <patternFill patternType="solid">
          <fgColor rgb="FFFCE4D6"/>
          <bgColor rgb="FFFCE4D6"/>
        </patternFill>
      </fill>
      <border/>
    </dxf>
    <dxf>
      <font>
        <b/>
        <color rgb="FF991B1B"/>
      </font>
      <fill>
        <patternFill patternType="solid">
          <fgColor rgb="FFFEE2E2"/>
          <bgColor rgb="FFFEE2E2"/>
        </patternFill>
      </fill>
      <border/>
    </dxf>
    <dxf>
      <font>
        <b/>
        <color rgb="FF9A3412"/>
      </font>
      <fill>
        <patternFill patternType="solid">
          <fgColor rgb="FFFFF7ED"/>
          <bgColor rgb="FFFFF7E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 width="34.0"/>
    <col customWidth="1" min="4" max="4" width="38.0"/>
    <col customWidth="1" min="5" max="5" width="44.0"/>
    <col customWidth="1" min="6" max="6" width="20.0"/>
    <col customWidth="1" min="7" max="7" width="14.0"/>
    <col customWidth="1" min="8" max="8" width="36.0"/>
    <col customWidth="1" min="9" max="9" width="28.0"/>
    <col customWidth="1" min="10" max="10" width="26.0"/>
    <col customWidth="1" min="11" max="11" width="48.0"/>
    <col customWidth="1" min="12" max="12" width="22.0"/>
    <col customWidth="1" min="13" max="13" width="32.0"/>
    <col customWidth="1" min="14" max="14" width="18.0"/>
    <col customWidth="1" min="15" max="15" width="14.0"/>
    <col customWidth="1" min="16" max="16" width="28.0"/>
    <col customWidth="1" min="17" max="17" width="26.0"/>
    <col customWidth="1" min="18" max="18" width="18.0"/>
    <col customWidth="1" min="19" max="19" width="30.0"/>
    <col customWidth="1" min="20" max="20" width="20.0"/>
    <col customWidth="1" min="21" max="26" width="8.88"/>
  </cols>
  <sheetData>
    <row r="1" ht="53.25" customHeight="1">
      <c r="A1" s="1" t="s">
        <v>2</v>
      </c>
      <c r="B1" s="2"/>
      <c r="C1" s="2"/>
      <c r="D1" s="2"/>
      <c r="E1" s="2"/>
      <c r="F1" s="2"/>
      <c r="G1" s="2"/>
      <c r="H1" s="2"/>
      <c r="I1" s="2"/>
      <c r="J1" s="2"/>
      <c r="K1" s="2"/>
      <c r="L1" s="2"/>
      <c r="M1" s="2"/>
      <c r="N1" s="2"/>
      <c r="O1" s="2"/>
      <c r="P1" s="2"/>
      <c r="Q1" s="2"/>
      <c r="R1" s="2"/>
      <c r="S1" s="2"/>
      <c r="T1" s="3"/>
    </row>
    <row r="2" ht="58.5" customHeight="1">
      <c r="A2" s="7" t="s">
        <v>10</v>
      </c>
      <c r="B2" s="2"/>
      <c r="C2" s="2"/>
      <c r="D2" s="2"/>
      <c r="E2" s="2"/>
      <c r="F2" s="2"/>
      <c r="G2" s="2"/>
      <c r="H2" s="2"/>
      <c r="I2" s="2"/>
      <c r="J2" s="2"/>
      <c r="K2" s="2"/>
      <c r="L2" s="2"/>
      <c r="M2" s="2"/>
      <c r="N2" s="2"/>
      <c r="O2" s="2"/>
      <c r="P2" s="2"/>
      <c r="Q2" s="2"/>
      <c r="R2" s="2"/>
      <c r="S2" s="2"/>
      <c r="T2" s="3"/>
    </row>
    <row r="3" ht="13.5" customHeight="1"/>
    <row r="4" ht="42.0" customHeight="1">
      <c r="A4" s="10" t="s">
        <v>43</v>
      </c>
      <c r="B4" s="10" t="s">
        <v>49</v>
      </c>
      <c r="C4" s="10" t="s">
        <v>52</v>
      </c>
      <c r="D4" s="10" t="s">
        <v>54</v>
      </c>
      <c r="E4" s="10" t="s">
        <v>57</v>
      </c>
      <c r="F4" s="10" t="s">
        <v>59</v>
      </c>
      <c r="G4" s="10" t="s">
        <v>62</v>
      </c>
      <c r="H4" s="10" t="s">
        <v>63</v>
      </c>
      <c r="I4" s="10" t="s">
        <v>65</v>
      </c>
      <c r="J4" s="10" t="s">
        <v>67</v>
      </c>
      <c r="K4" s="10" t="s">
        <v>69</v>
      </c>
      <c r="L4" s="10" t="s">
        <v>71</v>
      </c>
      <c r="M4" s="10" t="s">
        <v>73</v>
      </c>
      <c r="N4" s="10" t="s">
        <v>77</v>
      </c>
      <c r="O4" s="10" t="s">
        <v>79</v>
      </c>
      <c r="P4" s="10" t="s">
        <v>81</v>
      </c>
      <c r="Q4" s="10" t="s">
        <v>84</v>
      </c>
      <c r="R4" s="10" t="s">
        <v>86</v>
      </c>
      <c r="S4" s="4" t="s">
        <v>93</v>
      </c>
      <c r="T4" s="4" t="s">
        <v>99</v>
      </c>
    </row>
    <row r="5" ht="87.0" customHeight="1">
      <c r="A5" s="11" t="s">
        <v>109</v>
      </c>
      <c r="B5" s="11" t="s">
        <v>118</v>
      </c>
      <c r="C5" s="11" t="s">
        <v>121</v>
      </c>
      <c r="D5" s="11" t="s">
        <v>124</v>
      </c>
      <c r="E5" s="11" t="s">
        <v>125</v>
      </c>
      <c r="F5" s="11" t="s">
        <v>31</v>
      </c>
      <c r="G5" s="11" t="s">
        <v>129</v>
      </c>
      <c r="H5" s="11" t="s">
        <v>90</v>
      </c>
      <c r="I5" s="11" t="s">
        <v>134</v>
      </c>
      <c r="J5" s="11" t="s">
        <v>136</v>
      </c>
      <c r="K5" s="11" t="s">
        <v>139</v>
      </c>
      <c r="L5" s="11" t="s">
        <v>140</v>
      </c>
      <c r="M5" s="11" t="s">
        <v>144</v>
      </c>
      <c r="N5" s="11" t="s">
        <v>145</v>
      </c>
      <c r="O5" s="11" t="s">
        <v>147</v>
      </c>
      <c r="P5" s="11" t="s">
        <v>138</v>
      </c>
      <c r="Q5" s="11" t="s">
        <v>150</v>
      </c>
      <c r="R5" s="11" t="s">
        <v>145</v>
      </c>
      <c r="S5" s="9"/>
      <c r="T5" s="9"/>
    </row>
    <row r="6" ht="87.0" customHeight="1">
      <c r="A6" s="11" t="s">
        <v>156</v>
      </c>
      <c r="B6" s="11" t="s">
        <v>118</v>
      </c>
      <c r="C6" s="11" t="s">
        <v>158</v>
      </c>
      <c r="D6" s="11" t="s">
        <v>161</v>
      </c>
      <c r="E6" s="11" t="s">
        <v>162</v>
      </c>
      <c r="F6" s="11" t="s">
        <v>163</v>
      </c>
      <c r="G6" s="11" t="s">
        <v>129</v>
      </c>
      <c r="H6" s="11" t="s">
        <v>165</v>
      </c>
      <c r="I6" s="11" t="s">
        <v>134</v>
      </c>
      <c r="J6" s="11" t="s">
        <v>136</v>
      </c>
      <c r="K6" s="11" t="s">
        <v>139</v>
      </c>
      <c r="L6" s="11" t="s">
        <v>171</v>
      </c>
      <c r="M6" s="11" t="s">
        <v>144</v>
      </c>
      <c r="N6" s="11" t="s">
        <v>145</v>
      </c>
      <c r="O6" s="11" t="s">
        <v>147</v>
      </c>
      <c r="P6" s="11" t="s">
        <v>138</v>
      </c>
      <c r="Q6" s="11" t="s">
        <v>150</v>
      </c>
      <c r="R6" s="11" t="s">
        <v>145</v>
      </c>
      <c r="S6" s="9"/>
      <c r="T6" s="9"/>
    </row>
    <row r="7" ht="87.0" customHeight="1">
      <c r="A7" s="11" t="s">
        <v>184</v>
      </c>
      <c r="B7" s="11" t="s">
        <v>118</v>
      </c>
      <c r="C7" s="11" t="s">
        <v>188</v>
      </c>
      <c r="D7" s="11" t="s">
        <v>189</v>
      </c>
      <c r="E7" s="11" t="s">
        <v>192</v>
      </c>
      <c r="F7" s="11" t="s">
        <v>195</v>
      </c>
      <c r="G7" s="11" t="s">
        <v>129</v>
      </c>
      <c r="H7" s="11" t="s">
        <v>197</v>
      </c>
      <c r="I7" s="11" t="s">
        <v>134</v>
      </c>
      <c r="J7" s="11" t="s">
        <v>200</v>
      </c>
      <c r="K7" s="11" t="s">
        <v>205</v>
      </c>
      <c r="L7" s="11" t="s">
        <v>207</v>
      </c>
      <c r="M7" s="11" t="s">
        <v>144</v>
      </c>
      <c r="N7" s="11" t="s">
        <v>145</v>
      </c>
      <c r="O7" s="11" t="s">
        <v>147</v>
      </c>
      <c r="P7" s="11" t="s">
        <v>138</v>
      </c>
      <c r="Q7" s="11" t="s">
        <v>150</v>
      </c>
      <c r="R7" s="11" t="s">
        <v>145</v>
      </c>
      <c r="S7" s="9"/>
      <c r="T7" s="9"/>
    </row>
    <row r="8" ht="87.0" customHeight="1">
      <c r="A8" s="11" t="s">
        <v>214</v>
      </c>
      <c r="B8" s="11" t="s">
        <v>118</v>
      </c>
      <c r="C8" s="11" t="s">
        <v>216</v>
      </c>
      <c r="D8" s="11" t="s">
        <v>218</v>
      </c>
      <c r="E8" s="11" t="s">
        <v>220</v>
      </c>
      <c r="F8" s="11" t="s">
        <v>163</v>
      </c>
      <c r="G8" s="11" t="s">
        <v>129</v>
      </c>
      <c r="H8" s="11" t="s">
        <v>224</v>
      </c>
      <c r="I8" s="11" t="s">
        <v>134</v>
      </c>
      <c r="J8" s="11" t="s">
        <v>136</v>
      </c>
      <c r="K8" s="11" t="s">
        <v>139</v>
      </c>
      <c r="L8" s="11" t="s">
        <v>228</v>
      </c>
      <c r="M8" s="11" t="s">
        <v>144</v>
      </c>
      <c r="N8" s="11" t="s">
        <v>145</v>
      </c>
      <c r="O8" s="11" t="s">
        <v>147</v>
      </c>
      <c r="P8" s="11" t="s">
        <v>138</v>
      </c>
      <c r="Q8" s="11" t="s">
        <v>150</v>
      </c>
      <c r="R8" s="11" t="s">
        <v>145</v>
      </c>
      <c r="S8" s="9"/>
      <c r="T8" s="9"/>
    </row>
    <row r="9" ht="87.0" customHeight="1">
      <c r="A9" s="11" t="s">
        <v>240</v>
      </c>
      <c r="B9" s="11" t="s">
        <v>118</v>
      </c>
      <c r="C9" s="11" t="s">
        <v>244</v>
      </c>
      <c r="D9" s="11" t="s">
        <v>247</v>
      </c>
      <c r="E9" s="11" t="s">
        <v>248</v>
      </c>
      <c r="F9" s="11" t="s">
        <v>250</v>
      </c>
      <c r="G9" s="11" t="s">
        <v>129</v>
      </c>
      <c r="H9" s="11" t="s">
        <v>253</v>
      </c>
      <c r="I9" s="11" t="s">
        <v>134</v>
      </c>
      <c r="J9" s="11" t="s">
        <v>200</v>
      </c>
      <c r="K9" s="11" t="s">
        <v>205</v>
      </c>
      <c r="L9" s="11" t="s">
        <v>260</v>
      </c>
      <c r="M9" s="11" t="s">
        <v>144</v>
      </c>
      <c r="N9" s="11" t="s">
        <v>145</v>
      </c>
      <c r="O9" s="11" t="s">
        <v>147</v>
      </c>
      <c r="P9" s="11" t="s">
        <v>138</v>
      </c>
      <c r="Q9" s="11" t="s">
        <v>150</v>
      </c>
      <c r="R9" s="11" t="s">
        <v>145</v>
      </c>
      <c r="S9" s="9"/>
      <c r="T9" s="9"/>
    </row>
    <row r="10" ht="87.0" customHeight="1">
      <c r="A10" s="11" t="s">
        <v>270</v>
      </c>
      <c r="B10" s="11" t="s">
        <v>118</v>
      </c>
      <c r="C10" s="11" t="s">
        <v>272</v>
      </c>
      <c r="D10" s="11" t="s">
        <v>273</v>
      </c>
      <c r="E10" s="11" t="s">
        <v>275</v>
      </c>
      <c r="F10" s="11" t="s">
        <v>277</v>
      </c>
      <c r="G10" s="11" t="s">
        <v>129</v>
      </c>
      <c r="H10" s="11" t="s">
        <v>279</v>
      </c>
      <c r="I10" s="11" t="s">
        <v>134</v>
      </c>
      <c r="J10" s="11" t="s">
        <v>200</v>
      </c>
      <c r="K10" s="11" t="s">
        <v>205</v>
      </c>
      <c r="L10" s="11" t="s">
        <v>286</v>
      </c>
      <c r="M10" s="11" t="s">
        <v>144</v>
      </c>
      <c r="N10" s="11" t="s">
        <v>145</v>
      </c>
      <c r="O10" s="11" t="s">
        <v>147</v>
      </c>
      <c r="P10" s="11" t="s">
        <v>138</v>
      </c>
      <c r="Q10" s="11" t="s">
        <v>150</v>
      </c>
      <c r="R10" s="11" t="s">
        <v>145</v>
      </c>
      <c r="S10" s="9"/>
      <c r="T10" s="9"/>
    </row>
    <row r="11" ht="87.0" customHeight="1">
      <c r="A11" s="11" t="s">
        <v>296</v>
      </c>
      <c r="B11" s="11" t="s">
        <v>118</v>
      </c>
      <c r="C11" s="11" t="s">
        <v>300</v>
      </c>
      <c r="D11" s="11" t="s">
        <v>301</v>
      </c>
      <c r="E11" s="11" t="s">
        <v>303</v>
      </c>
      <c r="F11" s="11" t="s">
        <v>305</v>
      </c>
      <c r="G11" s="11" t="s">
        <v>129</v>
      </c>
      <c r="H11" s="11" t="s">
        <v>307</v>
      </c>
      <c r="I11" s="11" t="s">
        <v>309</v>
      </c>
      <c r="J11" s="11" t="s">
        <v>311</v>
      </c>
      <c r="K11" s="11" t="s">
        <v>316</v>
      </c>
      <c r="L11" s="11" t="s">
        <v>318</v>
      </c>
      <c r="M11" s="11" t="s">
        <v>144</v>
      </c>
      <c r="N11" s="11" t="s">
        <v>145</v>
      </c>
      <c r="O11" s="11" t="s">
        <v>147</v>
      </c>
      <c r="P11" s="11" t="s">
        <v>138</v>
      </c>
      <c r="Q11" s="11" t="s">
        <v>150</v>
      </c>
      <c r="R11" s="11" t="s">
        <v>145</v>
      </c>
      <c r="S11" s="9"/>
      <c r="T11" s="9"/>
    </row>
    <row r="12" ht="87.0" customHeight="1">
      <c r="A12" s="11" t="s">
        <v>328</v>
      </c>
      <c r="B12" s="11" t="s">
        <v>330</v>
      </c>
      <c r="C12" s="11" t="s">
        <v>332</v>
      </c>
      <c r="D12" s="11" t="s">
        <v>333</v>
      </c>
      <c r="E12" s="11" t="s">
        <v>336</v>
      </c>
      <c r="F12" s="11" t="s">
        <v>48</v>
      </c>
      <c r="G12" s="11" t="s">
        <v>129</v>
      </c>
      <c r="H12" s="11" t="s">
        <v>131</v>
      </c>
      <c r="I12" s="11" t="s">
        <v>134</v>
      </c>
      <c r="J12" s="11" t="s">
        <v>136</v>
      </c>
      <c r="K12" s="11" t="s">
        <v>139</v>
      </c>
      <c r="L12" s="11" t="s">
        <v>343</v>
      </c>
      <c r="M12" s="11" t="s">
        <v>144</v>
      </c>
      <c r="N12" s="11" t="s">
        <v>145</v>
      </c>
      <c r="O12" s="11" t="s">
        <v>147</v>
      </c>
      <c r="P12" s="11" t="s">
        <v>138</v>
      </c>
      <c r="Q12" s="11" t="s">
        <v>150</v>
      </c>
      <c r="R12" s="11" t="s">
        <v>145</v>
      </c>
      <c r="S12" s="9"/>
      <c r="T12" s="9"/>
    </row>
    <row r="13" ht="87.0" customHeight="1">
      <c r="A13" s="11" t="s">
        <v>355</v>
      </c>
      <c r="B13" s="11" t="s">
        <v>330</v>
      </c>
      <c r="C13" s="11" t="s">
        <v>356</v>
      </c>
      <c r="D13" s="11" t="s">
        <v>357</v>
      </c>
      <c r="E13" s="11" t="s">
        <v>358</v>
      </c>
      <c r="F13" s="11" t="s">
        <v>360</v>
      </c>
      <c r="G13" s="11" t="s">
        <v>129</v>
      </c>
      <c r="H13" s="11" t="s">
        <v>362</v>
      </c>
      <c r="I13" s="11" t="s">
        <v>309</v>
      </c>
      <c r="J13" s="11" t="s">
        <v>311</v>
      </c>
      <c r="K13" s="11" t="s">
        <v>316</v>
      </c>
      <c r="L13" s="11" t="s">
        <v>366</v>
      </c>
      <c r="M13" s="11" t="s">
        <v>144</v>
      </c>
      <c r="N13" s="11" t="s">
        <v>145</v>
      </c>
      <c r="O13" s="11" t="s">
        <v>147</v>
      </c>
      <c r="P13" s="11" t="s">
        <v>138</v>
      </c>
      <c r="Q13" s="11" t="s">
        <v>150</v>
      </c>
      <c r="R13" s="11" t="s">
        <v>145</v>
      </c>
      <c r="S13" s="9"/>
      <c r="T13" s="9"/>
    </row>
    <row r="14" ht="87.0" customHeight="1">
      <c r="A14" s="11" t="s">
        <v>372</v>
      </c>
      <c r="B14" s="11" t="s">
        <v>330</v>
      </c>
      <c r="C14" s="11" t="s">
        <v>373</v>
      </c>
      <c r="D14" s="11" t="s">
        <v>374</v>
      </c>
      <c r="E14" s="11" t="s">
        <v>375</v>
      </c>
      <c r="F14" s="11" t="s">
        <v>376</v>
      </c>
      <c r="G14" s="11" t="s">
        <v>129</v>
      </c>
      <c r="H14" s="11" t="s">
        <v>377</v>
      </c>
      <c r="I14" s="11" t="s">
        <v>134</v>
      </c>
      <c r="J14" s="11" t="s">
        <v>200</v>
      </c>
      <c r="K14" s="11" t="s">
        <v>205</v>
      </c>
      <c r="L14" s="11" t="s">
        <v>381</v>
      </c>
      <c r="M14" s="11" t="s">
        <v>144</v>
      </c>
      <c r="N14" s="11" t="s">
        <v>145</v>
      </c>
      <c r="O14" s="11" t="s">
        <v>147</v>
      </c>
      <c r="P14" s="11" t="s">
        <v>138</v>
      </c>
      <c r="Q14" s="11" t="s">
        <v>150</v>
      </c>
      <c r="R14" s="11" t="s">
        <v>145</v>
      </c>
      <c r="S14" s="9"/>
      <c r="T14" s="9"/>
    </row>
    <row r="15" ht="87.0" customHeight="1">
      <c r="A15" s="11" t="s">
        <v>385</v>
      </c>
      <c r="B15" s="11" t="s">
        <v>330</v>
      </c>
      <c r="C15" s="11" t="s">
        <v>386</v>
      </c>
      <c r="D15" s="11" t="s">
        <v>387</v>
      </c>
      <c r="E15" s="11" t="s">
        <v>388</v>
      </c>
      <c r="F15" s="11" t="s">
        <v>376</v>
      </c>
      <c r="G15" s="11" t="s">
        <v>129</v>
      </c>
      <c r="H15" s="11" t="s">
        <v>166</v>
      </c>
      <c r="I15" s="11" t="s">
        <v>309</v>
      </c>
      <c r="J15" s="11" t="s">
        <v>172</v>
      </c>
      <c r="K15" s="11" t="s">
        <v>175</v>
      </c>
      <c r="L15" s="11" t="s">
        <v>392</v>
      </c>
      <c r="M15" s="11" t="s">
        <v>144</v>
      </c>
      <c r="N15" s="11" t="s">
        <v>145</v>
      </c>
      <c r="O15" s="11" t="s">
        <v>147</v>
      </c>
      <c r="P15" s="11" t="s">
        <v>138</v>
      </c>
      <c r="Q15" s="11" t="s">
        <v>150</v>
      </c>
      <c r="R15" s="11" t="s">
        <v>145</v>
      </c>
      <c r="S15" s="9"/>
      <c r="T15" s="9"/>
    </row>
    <row r="16" ht="87.0" customHeight="1">
      <c r="A16" s="11" t="s">
        <v>399</v>
      </c>
      <c r="B16" s="11" t="s">
        <v>330</v>
      </c>
      <c r="C16" s="11" t="s">
        <v>401</v>
      </c>
      <c r="D16" s="11" t="s">
        <v>402</v>
      </c>
      <c r="E16" s="11" t="s">
        <v>403</v>
      </c>
      <c r="F16" s="11" t="s">
        <v>404</v>
      </c>
      <c r="G16" s="11" t="s">
        <v>129</v>
      </c>
      <c r="H16" s="11" t="s">
        <v>230</v>
      </c>
      <c r="I16" s="11" t="s">
        <v>134</v>
      </c>
      <c r="J16" s="11" t="s">
        <v>200</v>
      </c>
      <c r="K16" s="11" t="s">
        <v>205</v>
      </c>
      <c r="L16" s="11" t="s">
        <v>405</v>
      </c>
      <c r="M16" s="11" t="s">
        <v>144</v>
      </c>
      <c r="N16" s="11" t="s">
        <v>145</v>
      </c>
      <c r="O16" s="11" t="s">
        <v>147</v>
      </c>
      <c r="P16" s="11" t="s">
        <v>138</v>
      </c>
      <c r="Q16" s="11" t="s">
        <v>150</v>
      </c>
      <c r="R16" s="11" t="s">
        <v>145</v>
      </c>
      <c r="S16" s="9"/>
      <c r="T16" s="9"/>
    </row>
    <row r="17" ht="87.0" customHeight="1">
      <c r="A17" s="11" t="s">
        <v>410</v>
      </c>
      <c r="B17" s="11" t="s">
        <v>330</v>
      </c>
      <c r="C17" s="11" t="s">
        <v>411</v>
      </c>
      <c r="D17" s="11" t="s">
        <v>412</v>
      </c>
      <c r="E17" s="11" t="s">
        <v>413</v>
      </c>
      <c r="F17" s="11" t="s">
        <v>414</v>
      </c>
      <c r="G17" s="11" t="s">
        <v>129</v>
      </c>
      <c r="H17" s="11" t="s">
        <v>416</v>
      </c>
      <c r="I17" s="11" t="s">
        <v>134</v>
      </c>
      <c r="J17" s="11" t="s">
        <v>200</v>
      </c>
      <c r="K17" s="11" t="s">
        <v>205</v>
      </c>
      <c r="L17" s="11" t="s">
        <v>419</v>
      </c>
      <c r="M17" s="11" t="s">
        <v>144</v>
      </c>
      <c r="N17" s="11" t="s">
        <v>145</v>
      </c>
      <c r="O17" s="11" t="s">
        <v>147</v>
      </c>
      <c r="P17" s="11" t="s">
        <v>138</v>
      </c>
      <c r="Q17" s="11" t="s">
        <v>422</v>
      </c>
      <c r="R17" s="11" t="s">
        <v>145</v>
      </c>
      <c r="S17" s="9"/>
      <c r="T17" s="9" t="s">
        <v>424</v>
      </c>
    </row>
    <row r="18" ht="87.0" customHeight="1">
      <c r="A18" s="11" t="s">
        <v>425</v>
      </c>
      <c r="B18" s="11" t="s">
        <v>330</v>
      </c>
      <c r="C18" s="11" t="s">
        <v>427</v>
      </c>
      <c r="D18" s="11" t="s">
        <v>429</v>
      </c>
      <c r="E18" s="11" t="s">
        <v>431</v>
      </c>
      <c r="F18" s="11" t="s">
        <v>432</v>
      </c>
      <c r="G18" s="11" t="s">
        <v>129</v>
      </c>
      <c r="H18" s="11" t="s">
        <v>434</v>
      </c>
      <c r="I18" s="11" t="s">
        <v>134</v>
      </c>
      <c r="J18" s="11" t="s">
        <v>200</v>
      </c>
      <c r="K18" s="11" t="s">
        <v>205</v>
      </c>
      <c r="L18" s="11" t="s">
        <v>438</v>
      </c>
      <c r="M18" s="11" t="s">
        <v>144</v>
      </c>
      <c r="N18" s="11" t="s">
        <v>145</v>
      </c>
      <c r="O18" s="11" t="s">
        <v>147</v>
      </c>
      <c r="P18" s="11" t="s">
        <v>138</v>
      </c>
      <c r="Q18" s="11" t="s">
        <v>422</v>
      </c>
      <c r="R18" s="11" t="s">
        <v>145</v>
      </c>
      <c r="S18" s="9"/>
      <c r="T18" s="9" t="s">
        <v>442</v>
      </c>
    </row>
    <row r="19" ht="87.0" customHeight="1">
      <c r="A19" s="11" t="s">
        <v>444</v>
      </c>
      <c r="B19" s="11" t="s">
        <v>445</v>
      </c>
      <c r="C19" s="11" t="s">
        <v>446</v>
      </c>
      <c r="D19" s="11" t="s">
        <v>447</v>
      </c>
      <c r="E19" s="11" t="s">
        <v>448</v>
      </c>
      <c r="F19" s="11" t="s">
        <v>64</v>
      </c>
      <c r="G19" s="11" t="s">
        <v>129</v>
      </c>
      <c r="H19" s="11" t="s">
        <v>452</v>
      </c>
      <c r="I19" s="11" t="s">
        <v>309</v>
      </c>
      <c r="J19" s="11" t="s">
        <v>183</v>
      </c>
      <c r="K19" s="11" t="s">
        <v>186</v>
      </c>
      <c r="L19" s="11" t="s">
        <v>456</v>
      </c>
      <c r="M19" s="11" t="s">
        <v>144</v>
      </c>
      <c r="N19" s="11" t="s">
        <v>145</v>
      </c>
      <c r="O19" s="11" t="s">
        <v>147</v>
      </c>
      <c r="P19" s="11" t="s">
        <v>138</v>
      </c>
      <c r="Q19" s="11" t="s">
        <v>150</v>
      </c>
      <c r="R19" s="11" t="s">
        <v>145</v>
      </c>
      <c r="S19" s="9"/>
      <c r="T19" s="9"/>
    </row>
    <row r="20" ht="87.0" customHeight="1">
      <c r="A20" s="11" t="s">
        <v>461</v>
      </c>
      <c r="B20" s="11" t="s">
        <v>445</v>
      </c>
      <c r="C20" s="11" t="s">
        <v>463</v>
      </c>
      <c r="D20" s="11" t="s">
        <v>464</v>
      </c>
      <c r="E20" s="11" t="s">
        <v>465</v>
      </c>
      <c r="F20" s="11" t="s">
        <v>74</v>
      </c>
      <c r="G20" s="11" t="s">
        <v>129</v>
      </c>
      <c r="H20" s="11" t="s">
        <v>467</v>
      </c>
      <c r="I20" s="11" t="s">
        <v>309</v>
      </c>
      <c r="J20" s="11" t="s">
        <v>469</v>
      </c>
      <c r="K20" s="11" t="s">
        <v>472</v>
      </c>
      <c r="L20" s="11" t="s">
        <v>473</v>
      </c>
      <c r="M20" s="11" t="s">
        <v>144</v>
      </c>
      <c r="N20" s="11" t="s">
        <v>145</v>
      </c>
      <c r="O20" s="11" t="s">
        <v>147</v>
      </c>
      <c r="P20" s="11" t="s">
        <v>138</v>
      </c>
      <c r="Q20" s="11" t="s">
        <v>150</v>
      </c>
      <c r="R20" s="11" t="s">
        <v>145</v>
      </c>
      <c r="S20" s="9"/>
      <c r="T20" s="9"/>
    </row>
    <row r="21" ht="87.0" customHeight="1">
      <c r="A21" s="11" t="s">
        <v>479</v>
      </c>
      <c r="B21" s="11" t="s">
        <v>445</v>
      </c>
      <c r="C21" s="11" t="s">
        <v>481</v>
      </c>
      <c r="D21" s="11" t="s">
        <v>483</v>
      </c>
      <c r="E21" s="11" t="s">
        <v>484</v>
      </c>
      <c r="F21" s="11" t="s">
        <v>85</v>
      </c>
      <c r="G21" s="11" t="s">
        <v>129</v>
      </c>
      <c r="H21" s="11" t="s">
        <v>486</v>
      </c>
      <c r="I21" s="11" t="s">
        <v>134</v>
      </c>
      <c r="J21" s="11" t="s">
        <v>236</v>
      </c>
      <c r="K21" s="11" t="s">
        <v>238</v>
      </c>
      <c r="L21" s="11" t="s">
        <v>490</v>
      </c>
      <c r="M21" s="11" t="s">
        <v>144</v>
      </c>
      <c r="N21" s="11" t="s">
        <v>145</v>
      </c>
      <c r="O21" s="11" t="s">
        <v>147</v>
      </c>
      <c r="P21" s="11" t="s">
        <v>138</v>
      </c>
      <c r="Q21" s="11" t="s">
        <v>150</v>
      </c>
      <c r="R21" s="11" t="s">
        <v>145</v>
      </c>
      <c r="S21" s="9"/>
      <c r="T21" s="9"/>
    </row>
    <row r="22" ht="87.0" customHeight="1">
      <c r="A22" s="11" t="s">
        <v>494</v>
      </c>
      <c r="B22" s="11" t="s">
        <v>445</v>
      </c>
      <c r="C22" s="11" t="s">
        <v>495</v>
      </c>
      <c r="D22" s="11" t="s">
        <v>497</v>
      </c>
      <c r="E22" s="11" t="s">
        <v>499</v>
      </c>
      <c r="F22" s="11" t="s">
        <v>501</v>
      </c>
      <c r="G22" s="11" t="s">
        <v>129</v>
      </c>
      <c r="H22" s="11" t="s">
        <v>197</v>
      </c>
      <c r="I22" s="11" t="s">
        <v>134</v>
      </c>
      <c r="J22" s="11" t="s">
        <v>236</v>
      </c>
      <c r="K22" s="11" t="s">
        <v>238</v>
      </c>
      <c r="L22" s="11" t="s">
        <v>503</v>
      </c>
      <c r="M22" s="11" t="s">
        <v>144</v>
      </c>
      <c r="N22" s="11" t="s">
        <v>145</v>
      </c>
      <c r="O22" s="11" t="s">
        <v>147</v>
      </c>
      <c r="P22" s="11" t="s">
        <v>138</v>
      </c>
      <c r="Q22" s="11" t="s">
        <v>150</v>
      </c>
      <c r="R22" s="11" t="s">
        <v>145</v>
      </c>
      <c r="S22" s="9"/>
      <c r="T22" s="9"/>
    </row>
    <row r="23" ht="87.0" customHeight="1">
      <c r="A23" s="11" t="s">
        <v>509</v>
      </c>
      <c r="B23" s="11" t="s">
        <v>510</v>
      </c>
      <c r="C23" s="11" t="s">
        <v>512</v>
      </c>
      <c r="D23" s="11" t="s">
        <v>513</v>
      </c>
      <c r="E23" s="11" t="s">
        <v>514</v>
      </c>
      <c r="F23" s="11" t="s">
        <v>102</v>
      </c>
      <c r="G23" s="11" t="s">
        <v>129</v>
      </c>
      <c r="H23" s="11" t="s">
        <v>191</v>
      </c>
      <c r="I23" s="11" t="s">
        <v>134</v>
      </c>
      <c r="J23" s="11" t="s">
        <v>19</v>
      </c>
      <c r="K23" s="11" t="s">
        <v>201</v>
      </c>
      <c r="L23" s="11" t="s">
        <v>520</v>
      </c>
      <c r="M23" s="11" t="s">
        <v>144</v>
      </c>
      <c r="N23" s="11" t="s">
        <v>145</v>
      </c>
      <c r="O23" s="11" t="s">
        <v>147</v>
      </c>
      <c r="P23" s="11" t="s">
        <v>138</v>
      </c>
      <c r="Q23" s="11" t="s">
        <v>150</v>
      </c>
      <c r="R23" s="11" t="s">
        <v>145</v>
      </c>
      <c r="S23" s="9"/>
      <c r="T23" s="9"/>
    </row>
    <row r="24" ht="87.0" customHeight="1">
      <c r="A24" s="11" t="s">
        <v>526</v>
      </c>
      <c r="B24" s="11" t="s">
        <v>510</v>
      </c>
      <c r="C24" s="11" t="s">
        <v>528</v>
      </c>
      <c r="D24" s="11" t="s">
        <v>530</v>
      </c>
      <c r="E24" s="11" t="s">
        <v>532</v>
      </c>
      <c r="F24" s="11" t="s">
        <v>102</v>
      </c>
      <c r="G24" s="11" t="s">
        <v>129</v>
      </c>
      <c r="H24" s="11" t="s">
        <v>191</v>
      </c>
      <c r="I24" s="11" t="s">
        <v>134</v>
      </c>
      <c r="J24" s="11" t="s">
        <v>19</v>
      </c>
      <c r="K24" s="11" t="s">
        <v>201</v>
      </c>
      <c r="L24" s="11" t="s">
        <v>535</v>
      </c>
      <c r="M24" s="11" t="s">
        <v>144</v>
      </c>
      <c r="N24" s="11" t="s">
        <v>145</v>
      </c>
      <c r="O24" s="11" t="s">
        <v>147</v>
      </c>
      <c r="P24" s="11" t="s">
        <v>138</v>
      </c>
      <c r="Q24" s="11" t="s">
        <v>150</v>
      </c>
      <c r="R24" s="11" t="s">
        <v>145</v>
      </c>
      <c r="S24" s="9"/>
      <c r="T24" s="9"/>
    </row>
    <row r="25" ht="87.0" customHeight="1">
      <c r="A25" s="11" t="s">
        <v>542</v>
      </c>
      <c r="B25" s="11" t="s">
        <v>510</v>
      </c>
      <c r="C25" s="11" t="s">
        <v>544</v>
      </c>
      <c r="D25" s="11" t="s">
        <v>545</v>
      </c>
      <c r="E25" s="11" t="s">
        <v>546</v>
      </c>
      <c r="F25" s="11" t="s">
        <v>102</v>
      </c>
      <c r="G25" s="11" t="s">
        <v>129</v>
      </c>
      <c r="H25" s="11" t="s">
        <v>204</v>
      </c>
      <c r="I25" s="11" t="s">
        <v>134</v>
      </c>
      <c r="J25" s="11" t="s">
        <v>209</v>
      </c>
      <c r="K25" s="11" t="s">
        <v>210</v>
      </c>
      <c r="L25" s="11" t="s">
        <v>552</v>
      </c>
      <c r="M25" s="11" t="s">
        <v>144</v>
      </c>
      <c r="N25" s="11" t="s">
        <v>145</v>
      </c>
      <c r="O25" s="11" t="s">
        <v>147</v>
      </c>
      <c r="P25" s="11" t="s">
        <v>138</v>
      </c>
      <c r="Q25" s="11" t="s">
        <v>150</v>
      </c>
      <c r="R25" s="11" t="s">
        <v>145</v>
      </c>
      <c r="S25" s="9"/>
      <c r="T25" s="9"/>
    </row>
    <row r="26" ht="87.0" customHeight="1">
      <c r="A26" s="11" t="s">
        <v>558</v>
      </c>
      <c r="B26" s="11" t="s">
        <v>510</v>
      </c>
      <c r="C26" s="11" t="s">
        <v>560</v>
      </c>
      <c r="D26" s="11" t="s">
        <v>562</v>
      </c>
      <c r="E26" s="11" t="s">
        <v>563</v>
      </c>
      <c r="F26" s="11" t="s">
        <v>102</v>
      </c>
      <c r="G26" s="11" t="s">
        <v>129</v>
      </c>
      <c r="H26" s="11" t="s">
        <v>204</v>
      </c>
      <c r="I26" s="11" t="s">
        <v>134</v>
      </c>
      <c r="J26" s="11" t="s">
        <v>209</v>
      </c>
      <c r="K26" s="11" t="s">
        <v>210</v>
      </c>
      <c r="L26" s="11" t="s">
        <v>564</v>
      </c>
      <c r="M26" s="11" t="s">
        <v>144</v>
      </c>
      <c r="N26" s="11" t="s">
        <v>145</v>
      </c>
      <c r="O26" s="11" t="s">
        <v>147</v>
      </c>
      <c r="P26" s="11" t="s">
        <v>138</v>
      </c>
      <c r="Q26" s="11" t="s">
        <v>150</v>
      </c>
      <c r="R26" s="11" t="s">
        <v>145</v>
      </c>
      <c r="S26" s="9"/>
      <c r="T26" s="9"/>
    </row>
    <row r="27" ht="87.0" customHeight="1">
      <c r="A27" s="11" t="s">
        <v>566</v>
      </c>
      <c r="B27" s="11" t="s">
        <v>567</v>
      </c>
      <c r="C27" s="11" t="s">
        <v>568</v>
      </c>
      <c r="D27" s="11" t="s">
        <v>569</v>
      </c>
      <c r="E27" s="11" t="s">
        <v>570</v>
      </c>
      <c r="F27" s="11" t="s">
        <v>572</v>
      </c>
      <c r="G27" s="11" t="s">
        <v>129</v>
      </c>
      <c r="H27" s="11" t="s">
        <v>574</v>
      </c>
      <c r="I27" s="11" t="s">
        <v>134</v>
      </c>
      <c r="J27" s="11" t="s">
        <v>209</v>
      </c>
      <c r="K27" s="11" t="s">
        <v>210</v>
      </c>
      <c r="L27" s="11" t="s">
        <v>575</v>
      </c>
      <c r="M27" s="11" t="s">
        <v>144</v>
      </c>
      <c r="N27" s="11" t="s">
        <v>145</v>
      </c>
      <c r="O27" s="11" t="s">
        <v>147</v>
      </c>
      <c r="P27" s="11" t="s">
        <v>138</v>
      </c>
      <c r="Q27" s="11" t="s">
        <v>150</v>
      </c>
      <c r="R27" s="11" t="s">
        <v>145</v>
      </c>
      <c r="S27" s="9"/>
      <c r="T27" s="9"/>
    </row>
    <row r="28" ht="87.0" customHeight="1">
      <c r="A28" s="11" t="s">
        <v>577</v>
      </c>
      <c r="B28" s="11" t="s">
        <v>578</v>
      </c>
      <c r="C28" s="11" t="s">
        <v>579</v>
      </c>
      <c r="D28" s="11" t="s">
        <v>580</v>
      </c>
      <c r="E28" s="11" t="s">
        <v>581</v>
      </c>
      <c r="F28" s="11" t="s">
        <v>582</v>
      </c>
      <c r="G28" s="11" t="s">
        <v>129</v>
      </c>
      <c r="H28" s="11" t="s">
        <v>583</v>
      </c>
      <c r="I28" s="11" t="s">
        <v>309</v>
      </c>
      <c r="J28" s="11" t="s">
        <v>183</v>
      </c>
      <c r="K28" s="11" t="s">
        <v>186</v>
      </c>
      <c r="L28" s="11" t="s">
        <v>584</v>
      </c>
      <c r="M28" s="11" t="s">
        <v>144</v>
      </c>
      <c r="N28" s="11" t="s">
        <v>145</v>
      </c>
      <c r="O28" s="11" t="s">
        <v>147</v>
      </c>
      <c r="P28" s="11" t="s">
        <v>138</v>
      </c>
      <c r="Q28" s="11" t="s">
        <v>150</v>
      </c>
      <c r="R28" s="11" t="s">
        <v>145</v>
      </c>
      <c r="S28" s="9"/>
      <c r="T28" s="9"/>
    </row>
    <row r="29" ht="87.0" customHeight="1">
      <c r="A29" s="11" t="s">
        <v>585</v>
      </c>
      <c r="B29" s="11" t="s">
        <v>586</v>
      </c>
      <c r="C29" s="11" t="s">
        <v>587</v>
      </c>
      <c r="D29" s="11" t="s">
        <v>588</v>
      </c>
      <c r="E29" s="11" t="s">
        <v>590</v>
      </c>
      <c r="F29" s="11" t="s">
        <v>114</v>
      </c>
      <c r="G29" s="11" t="s">
        <v>129</v>
      </c>
      <c r="H29" s="11" t="s">
        <v>591</v>
      </c>
      <c r="I29" s="11" t="s">
        <v>309</v>
      </c>
      <c r="J29" s="11" t="s">
        <v>183</v>
      </c>
      <c r="K29" s="11" t="s">
        <v>186</v>
      </c>
      <c r="L29" s="11" t="s">
        <v>592</v>
      </c>
      <c r="M29" s="11" t="s">
        <v>144</v>
      </c>
      <c r="N29" s="11" t="s">
        <v>145</v>
      </c>
      <c r="O29" s="11" t="s">
        <v>147</v>
      </c>
      <c r="P29" s="11" t="s">
        <v>138</v>
      </c>
      <c r="Q29" s="11" t="s">
        <v>150</v>
      </c>
      <c r="R29" s="11" t="s">
        <v>145</v>
      </c>
      <c r="S29" s="9"/>
      <c r="T29" s="9"/>
    </row>
    <row r="30" ht="87.0" customHeight="1">
      <c r="A30" s="11" t="s">
        <v>593</v>
      </c>
      <c r="B30" s="11" t="s">
        <v>586</v>
      </c>
      <c r="C30" s="11" t="s">
        <v>594</v>
      </c>
      <c r="D30" s="11" t="s">
        <v>595</v>
      </c>
      <c r="E30" s="11" t="s">
        <v>596</v>
      </c>
      <c r="F30" s="11" t="s">
        <v>114</v>
      </c>
      <c r="G30" s="11" t="s">
        <v>129</v>
      </c>
      <c r="H30" s="11" t="s">
        <v>597</v>
      </c>
      <c r="I30" s="11" t="s">
        <v>309</v>
      </c>
      <c r="J30" s="11" t="s">
        <v>292</v>
      </c>
      <c r="K30" s="11" t="s">
        <v>293</v>
      </c>
      <c r="L30" s="11" t="s">
        <v>598</v>
      </c>
      <c r="M30" s="11" t="s">
        <v>144</v>
      </c>
      <c r="N30" s="11" t="s">
        <v>145</v>
      </c>
      <c r="O30" s="11" t="s">
        <v>147</v>
      </c>
      <c r="P30" s="11" t="s">
        <v>138</v>
      </c>
      <c r="Q30" s="11" t="s">
        <v>150</v>
      </c>
      <c r="R30" s="11" t="s">
        <v>145</v>
      </c>
      <c r="S30" s="9"/>
      <c r="T30" s="9"/>
    </row>
    <row r="31" ht="87.0" customHeight="1">
      <c r="A31" s="11" t="s">
        <v>600</v>
      </c>
      <c r="B31" s="11" t="s">
        <v>586</v>
      </c>
      <c r="C31" s="11" t="s">
        <v>601</v>
      </c>
      <c r="D31" s="11" t="s">
        <v>603</v>
      </c>
      <c r="E31" s="11" t="s">
        <v>605</v>
      </c>
      <c r="F31" s="11" t="s">
        <v>607</v>
      </c>
      <c r="G31" s="11" t="s">
        <v>129</v>
      </c>
      <c r="H31" s="11" t="s">
        <v>610</v>
      </c>
      <c r="I31" s="11" t="s">
        <v>309</v>
      </c>
      <c r="J31" s="11" t="s">
        <v>292</v>
      </c>
      <c r="K31" s="11" t="s">
        <v>293</v>
      </c>
      <c r="L31" s="11" t="s">
        <v>611</v>
      </c>
      <c r="M31" s="11" t="s">
        <v>144</v>
      </c>
      <c r="N31" s="11" t="s">
        <v>145</v>
      </c>
      <c r="O31" s="11" t="s">
        <v>147</v>
      </c>
      <c r="P31" s="11" t="s">
        <v>138</v>
      </c>
      <c r="Q31" s="11" t="s">
        <v>150</v>
      </c>
      <c r="R31" s="11" t="s">
        <v>145</v>
      </c>
      <c r="S31" s="9"/>
      <c r="T31" s="9"/>
    </row>
    <row r="32" ht="87.0" customHeight="1">
      <c r="A32" s="11" t="s">
        <v>612</v>
      </c>
      <c r="B32" s="11" t="s">
        <v>586</v>
      </c>
      <c r="C32" s="11" t="s">
        <v>613</v>
      </c>
      <c r="D32" s="11" t="s">
        <v>614</v>
      </c>
      <c r="E32" s="11" t="s">
        <v>615</v>
      </c>
      <c r="F32" s="11" t="s">
        <v>616</v>
      </c>
      <c r="G32" s="11" t="s">
        <v>129</v>
      </c>
      <c r="H32" s="11" t="s">
        <v>617</v>
      </c>
      <c r="I32" s="11" t="s">
        <v>309</v>
      </c>
      <c r="J32" s="11" t="s">
        <v>292</v>
      </c>
      <c r="K32" s="11" t="s">
        <v>293</v>
      </c>
      <c r="L32" s="11" t="s">
        <v>618</v>
      </c>
      <c r="M32" s="11" t="s">
        <v>144</v>
      </c>
      <c r="N32" s="11" t="s">
        <v>145</v>
      </c>
      <c r="O32" s="11" t="s">
        <v>147</v>
      </c>
      <c r="P32" s="11" t="s">
        <v>138</v>
      </c>
      <c r="Q32" s="11" t="s">
        <v>150</v>
      </c>
      <c r="R32" s="11" t="s">
        <v>145</v>
      </c>
      <c r="S32" s="9"/>
      <c r="T32" s="9"/>
    </row>
    <row r="33" ht="87.0" customHeight="1">
      <c r="A33" s="11" t="s">
        <v>619</v>
      </c>
      <c r="B33" s="11" t="s">
        <v>586</v>
      </c>
      <c r="C33" s="11" t="s">
        <v>621</v>
      </c>
      <c r="D33" s="11" t="s">
        <v>622</v>
      </c>
      <c r="E33" s="11" t="s">
        <v>623</v>
      </c>
      <c r="F33" s="11" t="s">
        <v>127</v>
      </c>
      <c r="G33" s="11" t="s">
        <v>129</v>
      </c>
      <c r="H33" s="11" t="s">
        <v>241</v>
      </c>
      <c r="I33" s="11" t="s">
        <v>134</v>
      </c>
      <c r="J33" s="11" t="s">
        <v>236</v>
      </c>
      <c r="K33" s="11" t="s">
        <v>238</v>
      </c>
      <c r="L33" s="11" t="s">
        <v>624</v>
      </c>
      <c r="M33" s="11" t="s">
        <v>144</v>
      </c>
      <c r="N33" s="11" t="s">
        <v>145</v>
      </c>
      <c r="O33" s="11" t="s">
        <v>147</v>
      </c>
      <c r="P33" s="11" t="s">
        <v>138</v>
      </c>
      <c r="Q33" s="11" t="s">
        <v>150</v>
      </c>
      <c r="R33" s="11" t="s">
        <v>145</v>
      </c>
      <c r="S33" s="9"/>
      <c r="T33" s="9"/>
    </row>
    <row r="34" ht="87.0" customHeight="1">
      <c r="A34" s="11" t="s">
        <v>630</v>
      </c>
      <c r="B34" s="11" t="s">
        <v>586</v>
      </c>
      <c r="C34" s="11" t="s">
        <v>631</v>
      </c>
      <c r="D34" s="11" t="s">
        <v>632</v>
      </c>
      <c r="E34" s="11" t="s">
        <v>633</v>
      </c>
      <c r="F34" s="11" t="s">
        <v>168</v>
      </c>
      <c r="G34" s="11" t="s">
        <v>129</v>
      </c>
      <c r="H34" s="11" t="s">
        <v>230</v>
      </c>
      <c r="I34" s="11" t="s">
        <v>134</v>
      </c>
      <c r="J34" s="11" t="s">
        <v>634</v>
      </c>
      <c r="K34" s="11" t="s">
        <v>636</v>
      </c>
      <c r="L34" s="11" t="s">
        <v>637</v>
      </c>
      <c r="M34" s="11" t="s">
        <v>144</v>
      </c>
      <c r="N34" s="11" t="s">
        <v>145</v>
      </c>
      <c r="O34" s="11" t="s">
        <v>147</v>
      </c>
      <c r="P34" s="11" t="s">
        <v>138</v>
      </c>
      <c r="Q34" s="11" t="s">
        <v>150</v>
      </c>
      <c r="R34" s="11" t="s">
        <v>145</v>
      </c>
      <c r="S34" s="9"/>
      <c r="T34" s="9"/>
    </row>
    <row r="35" ht="87.0" customHeight="1">
      <c r="A35" s="11" t="s">
        <v>641</v>
      </c>
      <c r="B35" s="11" t="s">
        <v>586</v>
      </c>
      <c r="C35" s="11" t="s">
        <v>642</v>
      </c>
      <c r="D35" s="11" t="s">
        <v>643</v>
      </c>
      <c r="E35" s="11" t="s">
        <v>644</v>
      </c>
      <c r="F35" s="11" t="s">
        <v>177</v>
      </c>
      <c r="G35" s="11" t="s">
        <v>129</v>
      </c>
      <c r="H35" s="11" t="s">
        <v>255</v>
      </c>
      <c r="I35" s="11" t="s">
        <v>134</v>
      </c>
      <c r="J35" s="11" t="s">
        <v>236</v>
      </c>
      <c r="K35" s="11" t="s">
        <v>238</v>
      </c>
      <c r="L35" s="11" t="s">
        <v>645</v>
      </c>
      <c r="M35" s="11" t="s">
        <v>144</v>
      </c>
      <c r="N35" s="11" t="s">
        <v>145</v>
      </c>
      <c r="O35" s="11" t="s">
        <v>147</v>
      </c>
      <c r="P35" s="11" t="s">
        <v>138</v>
      </c>
      <c r="Q35" s="11" t="s">
        <v>150</v>
      </c>
      <c r="R35" s="11" t="s">
        <v>145</v>
      </c>
      <c r="S35" s="9"/>
      <c r="T35" s="9"/>
    </row>
    <row r="36" ht="87.0" customHeight="1">
      <c r="A36" s="11" t="s">
        <v>650</v>
      </c>
      <c r="B36" s="11" t="s">
        <v>586</v>
      </c>
      <c r="C36" s="11" t="s">
        <v>651</v>
      </c>
      <c r="D36" s="11" t="s">
        <v>653</v>
      </c>
      <c r="E36" s="11" t="s">
        <v>654</v>
      </c>
      <c r="F36" s="11" t="s">
        <v>177</v>
      </c>
      <c r="G36" s="11" t="s">
        <v>129</v>
      </c>
      <c r="H36" s="11" t="s">
        <v>655</v>
      </c>
      <c r="I36" s="11" t="s">
        <v>309</v>
      </c>
      <c r="J36" s="11" t="s">
        <v>292</v>
      </c>
      <c r="K36" s="11" t="s">
        <v>293</v>
      </c>
      <c r="L36" s="11" t="s">
        <v>656</v>
      </c>
      <c r="M36" s="11" t="s">
        <v>144</v>
      </c>
      <c r="N36" s="11" t="s">
        <v>145</v>
      </c>
      <c r="O36" s="11" t="s">
        <v>147</v>
      </c>
      <c r="P36" s="11" t="s">
        <v>138</v>
      </c>
      <c r="Q36" s="11" t="s">
        <v>150</v>
      </c>
      <c r="R36" s="11" t="s">
        <v>145</v>
      </c>
      <c r="S36" s="9"/>
      <c r="T36" s="9"/>
    </row>
    <row r="37" ht="87.0" customHeight="1">
      <c r="A37" s="11" t="s">
        <v>660</v>
      </c>
      <c r="B37" s="11" t="s">
        <v>586</v>
      </c>
      <c r="C37" s="11" t="s">
        <v>661</v>
      </c>
      <c r="D37" s="11" t="s">
        <v>662</v>
      </c>
      <c r="E37" s="11" t="s">
        <v>663</v>
      </c>
      <c r="F37" s="11" t="s">
        <v>664</v>
      </c>
      <c r="G37" s="11" t="s">
        <v>129</v>
      </c>
      <c r="H37" s="11" t="s">
        <v>666</v>
      </c>
      <c r="I37" s="11" t="s">
        <v>134</v>
      </c>
      <c r="J37" s="11" t="s">
        <v>236</v>
      </c>
      <c r="K37" s="11" t="s">
        <v>238</v>
      </c>
      <c r="L37" s="11" t="s">
        <v>669</v>
      </c>
      <c r="M37" s="11" t="s">
        <v>144</v>
      </c>
      <c r="N37" s="11" t="s">
        <v>145</v>
      </c>
      <c r="O37" s="11" t="s">
        <v>147</v>
      </c>
      <c r="P37" s="11" t="s">
        <v>138</v>
      </c>
      <c r="Q37" s="11" t="s">
        <v>150</v>
      </c>
      <c r="R37" s="11" t="s">
        <v>145</v>
      </c>
      <c r="S37" s="9"/>
      <c r="T37" s="9"/>
    </row>
    <row r="38" ht="87.0" customHeight="1">
      <c r="A38" s="11" t="s">
        <v>672</v>
      </c>
      <c r="B38" s="11" t="s">
        <v>586</v>
      </c>
      <c r="C38" s="11" t="s">
        <v>674</v>
      </c>
      <c r="D38" s="11" t="s">
        <v>675</v>
      </c>
      <c r="E38" s="11" t="s">
        <v>676</v>
      </c>
      <c r="F38" s="11" t="s">
        <v>664</v>
      </c>
      <c r="G38" s="11" t="s">
        <v>129</v>
      </c>
      <c r="H38" s="11" t="s">
        <v>678</v>
      </c>
      <c r="I38" s="11" t="s">
        <v>309</v>
      </c>
      <c r="J38" s="11" t="s">
        <v>292</v>
      </c>
      <c r="K38" s="11" t="s">
        <v>293</v>
      </c>
      <c r="L38" s="11" t="s">
        <v>681</v>
      </c>
      <c r="M38" s="11" t="s">
        <v>144</v>
      </c>
      <c r="N38" s="11" t="s">
        <v>145</v>
      </c>
      <c r="O38" s="11" t="s">
        <v>147</v>
      </c>
      <c r="P38" s="11" t="s">
        <v>138</v>
      </c>
      <c r="Q38" s="11" t="s">
        <v>150</v>
      </c>
      <c r="R38" s="11" t="s">
        <v>145</v>
      </c>
      <c r="S38" s="9"/>
      <c r="T38" s="9"/>
    </row>
    <row r="39" ht="87.0" customHeight="1">
      <c r="A39" s="11" t="s">
        <v>685</v>
      </c>
      <c r="B39" s="11" t="s">
        <v>586</v>
      </c>
      <c r="C39" s="11" t="s">
        <v>687</v>
      </c>
      <c r="D39" s="11" t="s">
        <v>689</v>
      </c>
      <c r="E39" s="11" t="s">
        <v>690</v>
      </c>
      <c r="F39" s="11" t="s">
        <v>327</v>
      </c>
      <c r="G39" s="11" t="s">
        <v>129</v>
      </c>
      <c r="H39" s="11" t="s">
        <v>691</v>
      </c>
      <c r="I39" s="11" t="s">
        <v>309</v>
      </c>
      <c r="J39" s="11" t="s">
        <v>172</v>
      </c>
      <c r="K39" s="11" t="s">
        <v>175</v>
      </c>
      <c r="L39" s="11" t="s">
        <v>694</v>
      </c>
      <c r="M39" s="11" t="s">
        <v>144</v>
      </c>
      <c r="N39" s="11" t="s">
        <v>145</v>
      </c>
      <c r="O39" s="11" t="s">
        <v>147</v>
      </c>
      <c r="P39" s="11" t="s">
        <v>138</v>
      </c>
      <c r="Q39" s="11" t="s">
        <v>150</v>
      </c>
      <c r="R39" s="11" t="s">
        <v>145</v>
      </c>
      <c r="S39" s="9"/>
      <c r="T39" s="9"/>
    </row>
    <row r="40" ht="87.0" customHeight="1">
      <c r="A40" s="11" t="s">
        <v>699</v>
      </c>
      <c r="B40" s="11" t="s">
        <v>700</v>
      </c>
      <c r="C40" s="11" t="s">
        <v>701</v>
      </c>
      <c r="D40" s="11" t="s">
        <v>702</v>
      </c>
      <c r="E40" s="11" t="s">
        <v>703</v>
      </c>
      <c r="F40" s="11" t="s">
        <v>704</v>
      </c>
      <c r="G40" s="11" t="s">
        <v>129</v>
      </c>
      <c r="H40" s="11" t="s">
        <v>253</v>
      </c>
      <c r="I40" s="11" t="s">
        <v>134</v>
      </c>
      <c r="J40" s="11" t="s">
        <v>200</v>
      </c>
      <c r="K40" s="11" t="s">
        <v>205</v>
      </c>
      <c r="L40" s="11" t="s">
        <v>705</v>
      </c>
      <c r="M40" s="11" t="s">
        <v>144</v>
      </c>
      <c r="N40" s="11" t="s">
        <v>145</v>
      </c>
      <c r="O40" s="11" t="s">
        <v>147</v>
      </c>
      <c r="P40" s="11" t="s">
        <v>138</v>
      </c>
      <c r="Q40" s="11" t="s">
        <v>150</v>
      </c>
      <c r="R40" s="11" t="s">
        <v>145</v>
      </c>
      <c r="S40" s="9"/>
      <c r="T40" s="9"/>
    </row>
    <row r="41" ht="87.0" customHeight="1">
      <c r="A41" s="11" t="s">
        <v>706</v>
      </c>
      <c r="B41" s="11" t="s">
        <v>700</v>
      </c>
      <c r="C41" s="11" t="s">
        <v>707</v>
      </c>
      <c r="D41" s="11" t="s">
        <v>708</v>
      </c>
      <c r="E41" s="11" t="s">
        <v>709</v>
      </c>
      <c r="F41" s="11" t="s">
        <v>710</v>
      </c>
      <c r="G41" s="11" t="s">
        <v>129</v>
      </c>
      <c r="H41" s="11" t="s">
        <v>279</v>
      </c>
      <c r="I41" s="11" t="s">
        <v>134</v>
      </c>
      <c r="J41" s="11" t="s">
        <v>236</v>
      </c>
      <c r="K41" s="11" t="s">
        <v>238</v>
      </c>
      <c r="L41" s="11" t="s">
        <v>711</v>
      </c>
      <c r="M41" s="11" t="s">
        <v>144</v>
      </c>
      <c r="N41" s="11" t="s">
        <v>145</v>
      </c>
      <c r="O41" s="11" t="s">
        <v>147</v>
      </c>
      <c r="P41" s="11" t="s">
        <v>138</v>
      </c>
      <c r="Q41" s="11" t="s">
        <v>150</v>
      </c>
      <c r="R41" s="11" t="s">
        <v>145</v>
      </c>
      <c r="S41" s="9"/>
      <c r="T41" s="9"/>
    </row>
    <row r="42" ht="87.0" customHeight="1">
      <c r="A42" s="11" t="s">
        <v>712</v>
      </c>
      <c r="B42" s="11" t="s">
        <v>700</v>
      </c>
      <c r="C42" s="11" t="s">
        <v>713</v>
      </c>
      <c r="D42" s="11" t="s">
        <v>714</v>
      </c>
      <c r="E42" s="11" t="s">
        <v>715</v>
      </c>
      <c r="F42" s="11" t="s">
        <v>716</v>
      </c>
      <c r="G42" s="11" t="s">
        <v>129</v>
      </c>
      <c r="H42" s="11" t="s">
        <v>717</v>
      </c>
      <c r="I42" s="11" t="s">
        <v>309</v>
      </c>
      <c r="J42" s="11" t="s">
        <v>292</v>
      </c>
      <c r="K42" s="11" t="s">
        <v>293</v>
      </c>
      <c r="L42" s="11" t="s">
        <v>718</v>
      </c>
      <c r="M42" s="11" t="s">
        <v>144</v>
      </c>
      <c r="N42" s="11" t="s">
        <v>145</v>
      </c>
      <c r="O42" s="11" t="s">
        <v>147</v>
      </c>
      <c r="P42" s="11" t="s">
        <v>138</v>
      </c>
      <c r="Q42" s="11" t="s">
        <v>150</v>
      </c>
      <c r="R42" s="11" t="s">
        <v>145</v>
      </c>
      <c r="S42" s="9"/>
      <c r="T42" s="9"/>
    </row>
    <row r="43" ht="87.0" customHeight="1">
      <c r="A43" s="11" t="s">
        <v>720</v>
      </c>
      <c r="B43" s="11" t="s">
        <v>721</v>
      </c>
      <c r="C43" s="11" t="s">
        <v>722</v>
      </c>
      <c r="D43" s="11" t="s">
        <v>723</v>
      </c>
      <c r="E43" s="11" t="s">
        <v>724</v>
      </c>
      <c r="F43" s="11" t="s">
        <v>350</v>
      </c>
      <c r="G43" s="11" t="s">
        <v>129</v>
      </c>
      <c r="H43" s="11" t="s">
        <v>725</v>
      </c>
      <c r="I43" s="11" t="s">
        <v>309</v>
      </c>
      <c r="J43" s="11" t="s">
        <v>281</v>
      </c>
      <c r="K43" s="11" t="s">
        <v>284</v>
      </c>
      <c r="L43" s="11" t="s">
        <v>726</v>
      </c>
      <c r="M43" s="11" t="s">
        <v>144</v>
      </c>
      <c r="N43" s="11" t="s">
        <v>145</v>
      </c>
      <c r="O43" s="11" t="s">
        <v>147</v>
      </c>
      <c r="P43" s="11" t="s">
        <v>138</v>
      </c>
      <c r="Q43" s="11" t="s">
        <v>150</v>
      </c>
      <c r="R43" s="11" t="s">
        <v>145</v>
      </c>
      <c r="S43" s="9"/>
      <c r="T43" s="9"/>
    </row>
    <row r="44" ht="87.0" customHeight="1">
      <c r="A44" s="11" t="s">
        <v>727</v>
      </c>
      <c r="B44" s="11" t="s">
        <v>721</v>
      </c>
      <c r="C44" s="11" t="s">
        <v>728</v>
      </c>
      <c r="D44" s="11" t="s">
        <v>729</v>
      </c>
      <c r="E44" s="11" t="s">
        <v>730</v>
      </c>
      <c r="F44" s="11" t="s">
        <v>731</v>
      </c>
      <c r="G44" s="11" t="s">
        <v>129</v>
      </c>
      <c r="H44" s="11" t="s">
        <v>310</v>
      </c>
      <c r="I44" s="11" t="s">
        <v>309</v>
      </c>
      <c r="J44" s="11" t="s">
        <v>281</v>
      </c>
      <c r="K44" s="11" t="s">
        <v>284</v>
      </c>
      <c r="L44" s="11" t="s">
        <v>733</v>
      </c>
      <c r="M44" s="11" t="s">
        <v>144</v>
      </c>
      <c r="N44" s="11" t="s">
        <v>145</v>
      </c>
      <c r="O44" s="11" t="s">
        <v>147</v>
      </c>
      <c r="P44" s="11" t="s">
        <v>138</v>
      </c>
      <c r="Q44" s="11" t="s">
        <v>150</v>
      </c>
      <c r="R44" s="11" t="s">
        <v>145</v>
      </c>
      <c r="S44" s="9"/>
      <c r="T44" s="9"/>
    </row>
    <row r="45" ht="87.0" customHeight="1">
      <c r="A45" s="11" t="s">
        <v>736</v>
      </c>
      <c r="B45" s="11" t="s">
        <v>721</v>
      </c>
      <c r="C45" s="11" t="s">
        <v>737</v>
      </c>
      <c r="D45" s="11" t="s">
        <v>738</v>
      </c>
      <c r="E45" s="11" t="s">
        <v>739</v>
      </c>
      <c r="F45" s="11" t="s">
        <v>740</v>
      </c>
      <c r="G45" s="11" t="s">
        <v>129</v>
      </c>
      <c r="H45" s="11" t="s">
        <v>741</v>
      </c>
      <c r="I45" s="11" t="s">
        <v>309</v>
      </c>
      <c r="J45" s="11" t="s">
        <v>281</v>
      </c>
      <c r="K45" s="11" t="s">
        <v>284</v>
      </c>
      <c r="L45" s="11" t="s">
        <v>743</v>
      </c>
      <c r="M45" s="11" t="s">
        <v>144</v>
      </c>
      <c r="N45" s="11" t="s">
        <v>145</v>
      </c>
      <c r="O45" s="11" t="s">
        <v>147</v>
      </c>
      <c r="P45" s="11" t="s">
        <v>138</v>
      </c>
      <c r="Q45" s="11" t="s">
        <v>422</v>
      </c>
      <c r="R45" s="11" t="s">
        <v>145</v>
      </c>
      <c r="S45" s="9"/>
      <c r="T45" s="9" t="s">
        <v>646</v>
      </c>
    </row>
    <row r="46" ht="87.0" customHeight="1">
      <c r="A46" s="11" t="s">
        <v>744</v>
      </c>
      <c r="B46" s="11" t="s">
        <v>745</v>
      </c>
      <c r="C46" s="11" t="s">
        <v>746</v>
      </c>
      <c r="D46" s="11" t="s">
        <v>747</v>
      </c>
      <c r="E46" s="11" t="s">
        <v>748</v>
      </c>
      <c r="F46" s="11" t="s">
        <v>749</v>
      </c>
      <c r="G46" s="11" t="s">
        <v>129</v>
      </c>
      <c r="H46" s="11" t="s">
        <v>321</v>
      </c>
      <c r="I46" s="11" t="s">
        <v>309</v>
      </c>
      <c r="J46" s="11" t="s">
        <v>281</v>
      </c>
      <c r="K46" s="11" t="s">
        <v>284</v>
      </c>
      <c r="L46" s="11" t="s">
        <v>750</v>
      </c>
      <c r="M46" s="11" t="s">
        <v>144</v>
      </c>
      <c r="N46" s="11" t="s">
        <v>145</v>
      </c>
      <c r="O46" s="11" t="s">
        <v>147</v>
      </c>
      <c r="P46" s="11" t="s">
        <v>138</v>
      </c>
      <c r="Q46" s="11" t="s">
        <v>150</v>
      </c>
      <c r="R46" s="11" t="s">
        <v>145</v>
      </c>
      <c r="S46" s="9"/>
      <c r="T46" s="9"/>
    </row>
    <row r="47" ht="87.0" customHeight="1">
      <c r="A47" s="11" t="s">
        <v>751</v>
      </c>
      <c r="B47" s="11" t="s">
        <v>745</v>
      </c>
      <c r="C47" s="11" t="s">
        <v>752</v>
      </c>
      <c r="D47" s="11" t="s">
        <v>753</v>
      </c>
      <c r="E47" s="11" t="s">
        <v>754</v>
      </c>
      <c r="F47" s="11" t="s">
        <v>731</v>
      </c>
      <c r="G47" s="11" t="s">
        <v>129</v>
      </c>
      <c r="H47" s="11" t="s">
        <v>755</v>
      </c>
      <c r="I47" s="11" t="s">
        <v>309</v>
      </c>
      <c r="J47" s="11" t="s">
        <v>281</v>
      </c>
      <c r="K47" s="11" t="s">
        <v>284</v>
      </c>
      <c r="L47" s="11" t="s">
        <v>756</v>
      </c>
      <c r="M47" s="11" t="s">
        <v>144</v>
      </c>
      <c r="N47" s="11" t="s">
        <v>145</v>
      </c>
      <c r="O47" s="11" t="s">
        <v>147</v>
      </c>
      <c r="P47" s="11" t="s">
        <v>138</v>
      </c>
      <c r="Q47" s="11" t="s">
        <v>422</v>
      </c>
      <c r="R47" s="11" t="s">
        <v>145</v>
      </c>
      <c r="S47" s="9"/>
      <c r="T47" s="9" t="s">
        <v>646</v>
      </c>
    </row>
    <row r="48" ht="87.0" customHeight="1">
      <c r="A48" s="11" t="s">
        <v>757</v>
      </c>
      <c r="B48" s="11" t="s">
        <v>745</v>
      </c>
      <c r="C48" s="11" t="s">
        <v>758</v>
      </c>
      <c r="D48" s="11" t="s">
        <v>759</v>
      </c>
      <c r="E48" s="11" t="s">
        <v>760</v>
      </c>
      <c r="F48" s="11" t="s">
        <v>740</v>
      </c>
      <c r="G48" s="11" t="s">
        <v>129</v>
      </c>
      <c r="H48" s="11" t="s">
        <v>761</v>
      </c>
      <c r="I48" s="11" t="s">
        <v>309</v>
      </c>
      <c r="J48" s="11" t="s">
        <v>281</v>
      </c>
      <c r="K48" s="11" t="s">
        <v>284</v>
      </c>
      <c r="L48" s="11" t="s">
        <v>762</v>
      </c>
      <c r="M48" s="11" t="s">
        <v>144</v>
      </c>
      <c r="N48" s="11" t="s">
        <v>145</v>
      </c>
      <c r="O48" s="11" t="s">
        <v>147</v>
      </c>
      <c r="P48" s="11" t="s">
        <v>138</v>
      </c>
      <c r="Q48" s="11" t="s">
        <v>422</v>
      </c>
      <c r="R48" s="11" t="s">
        <v>145</v>
      </c>
      <c r="S48" s="9"/>
      <c r="T48" s="9" t="s">
        <v>646</v>
      </c>
    </row>
    <row r="49" ht="87.0" customHeight="1">
      <c r="A49" s="11" t="s">
        <v>766</v>
      </c>
      <c r="B49" s="11" t="s">
        <v>768</v>
      </c>
      <c r="C49" s="11" t="s">
        <v>770</v>
      </c>
      <c r="D49" s="11" t="s">
        <v>772</v>
      </c>
      <c r="E49" s="11" t="s">
        <v>774</v>
      </c>
      <c r="F49" s="11" t="s">
        <v>344</v>
      </c>
      <c r="G49" s="11" t="s">
        <v>129</v>
      </c>
      <c r="H49" s="11" t="s">
        <v>776</v>
      </c>
      <c r="I49" s="11" t="s">
        <v>309</v>
      </c>
      <c r="J49" s="11" t="s">
        <v>292</v>
      </c>
      <c r="K49" s="11" t="s">
        <v>293</v>
      </c>
      <c r="L49" s="11" t="s">
        <v>777</v>
      </c>
      <c r="M49" s="11" t="s">
        <v>144</v>
      </c>
      <c r="N49" s="11" t="s">
        <v>145</v>
      </c>
      <c r="O49" s="11" t="s">
        <v>147</v>
      </c>
      <c r="P49" s="11" t="s">
        <v>138</v>
      </c>
      <c r="Q49" s="11" t="s">
        <v>422</v>
      </c>
      <c r="R49" s="11" t="s">
        <v>145</v>
      </c>
      <c r="S49" s="9"/>
      <c r="T49" s="9" t="s">
        <v>635</v>
      </c>
    </row>
    <row r="50" ht="87.0" customHeight="1">
      <c r="A50" s="11" t="s">
        <v>778</v>
      </c>
      <c r="B50" s="11" t="s">
        <v>768</v>
      </c>
      <c r="C50" s="11" t="s">
        <v>779</v>
      </c>
      <c r="D50" s="11" t="s">
        <v>781</v>
      </c>
      <c r="E50" s="11" t="s">
        <v>783</v>
      </c>
      <c r="F50" s="11" t="s">
        <v>785</v>
      </c>
      <c r="G50" s="11" t="s">
        <v>129</v>
      </c>
      <c r="H50" s="11" t="s">
        <v>786</v>
      </c>
      <c r="I50" s="11" t="s">
        <v>309</v>
      </c>
      <c r="J50" s="11" t="s">
        <v>292</v>
      </c>
      <c r="K50" s="11" t="s">
        <v>293</v>
      </c>
      <c r="L50" s="11" t="s">
        <v>788</v>
      </c>
      <c r="M50" s="11" t="s">
        <v>144</v>
      </c>
      <c r="N50" s="11" t="s">
        <v>145</v>
      </c>
      <c r="O50" s="11" t="s">
        <v>147</v>
      </c>
      <c r="P50" s="11" t="s">
        <v>138</v>
      </c>
      <c r="Q50" s="11" t="s">
        <v>422</v>
      </c>
      <c r="R50" s="11" t="s">
        <v>145</v>
      </c>
      <c r="S50" s="9"/>
      <c r="T50" s="9" t="s">
        <v>635</v>
      </c>
    </row>
    <row r="51" ht="87.0" customHeight="1">
      <c r="A51" s="11" t="s">
        <v>789</v>
      </c>
      <c r="B51" s="11" t="s">
        <v>768</v>
      </c>
      <c r="C51" s="11" t="s">
        <v>790</v>
      </c>
      <c r="D51" s="11" t="s">
        <v>791</v>
      </c>
      <c r="E51" s="11" t="s">
        <v>792</v>
      </c>
      <c r="F51" s="11" t="s">
        <v>785</v>
      </c>
      <c r="G51" s="11" t="s">
        <v>129</v>
      </c>
      <c r="H51" s="11" t="s">
        <v>795</v>
      </c>
      <c r="I51" s="11" t="s">
        <v>134</v>
      </c>
      <c r="J51" s="11" t="s">
        <v>236</v>
      </c>
      <c r="K51" s="11" t="s">
        <v>238</v>
      </c>
      <c r="L51" s="11" t="s">
        <v>798</v>
      </c>
      <c r="M51" s="11" t="s">
        <v>144</v>
      </c>
      <c r="N51" s="11" t="s">
        <v>145</v>
      </c>
      <c r="O51" s="11" t="s">
        <v>147</v>
      </c>
      <c r="P51" s="11" t="s">
        <v>138</v>
      </c>
      <c r="Q51" s="11" t="s">
        <v>150</v>
      </c>
      <c r="R51" s="11" t="s">
        <v>145</v>
      </c>
      <c r="S51" s="9"/>
      <c r="T51" s="9"/>
    </row>
    <row r="52" ht="87.0" customHeight="1">
      <c r="A52" s="11" t="s">
        <v>799</v>
      </c>
      <c r="B52" s="11" t="s">
        <v>768</v>
      </c>
      <c r="C52" s="11" t="s">
        <v>800</v>
      </c>
      <c r="D52" s="11" t="s">
        <v>802</v>
      </c>
      <c r="E52" s="11" t="s">
        <v>803</v>
      </c>
      <c r="F52" s="11" t="s">
        <v>804</v>
      </c>
      <c r="G52" s="11" t="s">
        <v>129</v>
      </c>
      <c r="H52" s="11" t="s">
        <v>795</v>
      </c>
      <c r="I52" s="11" t="s">
        <v>309</v>
      </c>
      <c r="J52" s="11" t="s">
        <v>292</v>
      </c>
      <c r="K52" s="11" t="s">
        <v>293</v>
      </c>
      <c r="L52" s="11" t="s">
        <v>805</v>
      </c>
      <c r="M52" s="11" t="s">
        <v>144</v>
      </c>
      <c r="N52" s="11" t="s">
        <v>145</v>
      </c>
      <c r="O52" s="11" t="s">
        <v>147</v>
      </c>
      <c r="P52" s="11" t="s">
        <v>138</v>
      </c>
      <c r="Q52" s="11" t="s">
        <v>422</v>
      </c>
      <c r="R52" s="11" t="s">
        <v>145</v>
      </c>
      <c r="S52" s="9"/>
      <c r="T52" s="9" t="s">
        <v>646</v>
      </c>
    </row>
    <row r="53" ht="87.0" customHeight="1">
      <c r="A53" s="11" t="s">
        <v>806</v>
      </c>
      <c r="B53" s="11" t="s">
        <v>807</v>
      </c>
      <c r="C53" s="11" t="s">
        <v>411</v>
      </c>
      <c r="D53" s="11" t="s">
        <v>808</v>
      </c>
      <c r="E53" s="11" t="s">
        <v>809</v>
      </c>
      <c r="F53" s="11" t="s">
        <v>810</v>
      </c>
      <c r="G53" s="11" t="s">
        <v>129</v>
      </c>
      <c r="H53" s="11" t="s">
        <v>416</v>
      </c>
      <c r="I53" s="11" t="s">
        <v>134</v>
      </c>
      <c r="J53" s="11" t="s">
        <v>236</v>
      </c>
      <c r="K53" s="11" t="s">
        <v>238</v>
      </c>
      <c r="L53" s="11" t="s">
        <v>811</v>
      </c>
      <c r="M53" s="11" t="s">
        <v>144</v>
      </c>
      <c r="N53" s="11" t="s">
        <v>145</v>
      </c>
      <c r="O53" s="11" t="s">
        <v>147</v>
      </c>
      <c r="P53" s="11" t="s">
        <v>138</v>
      </c>
      <c r="Q53" s="11" t="s">
        <v>422</v>
      </c>
      <c r="R53" s="11" t="s">
        <v>145</v>
      </c>
      <c r="S53" s="9"/>
      <c r="T53" s="9" t="s">
        <v>424</v>
      </c>
    </row>
    <row r="54" ht="87.0" customHeight="1">
      <c r="A54" s="11" t="s">
        <v>813</v>
      </c>
      <c r="B54" s="11" t="s">
        <v>807</v>
      </c>
      <c r="C54" s="11" t="s">
        <v>427</v>
      </c>
      <c r="D54" s="11" t="s">
        <v>815</v>
      </c>
      <c r="E54" s="11" t="s">
        <v>816</v>
      </c>
      <c r="F54" s="11" t="s">
        <v>817</v>
      </c>
      <c r="G54" s="11" t="s">
        <v>129</v>
      </c>
      <c r="H54" s="11" t="s">
        <v>434</v>
      </c>
      <c r="I54" s="11" t="s">
        <v>134</v>
      </c>
      <c r="J54" s="11" t="s">
        <v>236</v>
      </c>
      <c r="K54" s="11" t="s">
        <v>238</v>
      </c>
      <c r="L54" s="11" t="s">
        <v>818</v>
      </c>
      <c r="M54" s="11" t="s">
        <v>144</v>
      </c>
      <c r="N54" s="11" t="s">
        <v>145</v>
      </c>
      <c r="O54" s="11" t="s">
        <v>147</v>
      </c>
      <c r="P54" s="11" t="s">
        <v>138</v>
      </c>
      <c r="Q54" s="11" t="s">
        <v>422</v>
      </c>
      <c r="R54" s="11" t="s">
        <v>145</v>
      </c>
      <c r="S54" s="9"/>
      <c r="T54" s="9" t="s">
        <v>442</v>
      </c>
    </row>
    <row r="55" ht="87.0" customHeight="1">
      <c r="A55" s="11" t="s">
        <v>820</v>
      </c>
      <c r="B55" s="11" t="s">
        <v>822</v>
      </c>
      <c r="C55" s="11" t="s">
        <v>823</v>
      </c>
      <c r="D55" s="11" t="s">
        <v>824</v>
      </c>
      <c r="E55" s="11" t="s">
        <v>825</v>
      </c>
      <c r="F55" s="11" t="s">
        <v>826</v>
      </c>
      <c r="G55" s="11" t="s">
        <v>129</v>
      </c>
      <c r="H55" s="11" t="s">
        <v>827</v>
      </c>
      <c r="I55" s="11" t="s">
        <v>828</v>
      </c>
      <c r="J55" s="11" t="s">
        <v>453</v>
      </c>
      <c r="K55" s="11" t="s">
        <v>454</v>
      </c>
      <c r="L55" s="11" t="s">
        <v>831</v>
      </c>
      <c r="M55" s="11" t="s">
        <v>144</v>
      </c>
      <c r="N55" s="11" t="s">
        <v>145</v>
      </c>
      <c r="O55" s="11" t="s">
        <v>147</v>
      </c>
      <c r="P55" s="11" t="s">
        <v>138</v>
      </c>
      <c r="Q55" s="11" t="s">
        <v>422</v>
      </c>
      <c r="R55" s="11" t="s">
        <v>145</v>
      </c>
      <c r="S55" s="9"/>
      <c r="T55" s="9" t="s">
        <v>833</v>
      </c>
    </row>
    <row r="56" ht="87.0" customHeight="1">
      <c r="A56" s="11" t="s">
        <v>834</v>
      </c>
      <c r="B56" s="11" t="s">
        <v>835</v>
      </c>
      <c r="C56" s="11" t="s">
        <v>244</v>
      </c>
      <c r="D56" s="11" t="s">
        <v>836</v>
      </c>
      <c r="E56" s="11" t="s">
        <v>837</v>
      </c>
      <c r="F56" s="11" t="s">
        <v>198</v>
      </c>
      <c r="G56" s="11" t="s">
        <v>129</v>
      </c>
      <c r="H56" s="11" t="s">
        <v>838</v>
      </c>
      <c r="I56" s="11" t="s">
        <v>134</v>
      </c>
      <c r="J56" s="11" t="s">
        <v>236</v>
      </c>
      <c r="K56" s="11" t="s">
        <v>238</v>
      </c>
      <c r="L56" s="11" t="s">
        <v>839</v>
      </c>
      <c r="M56" s="11" t="s">
        <v>144</v>
      </c>
      <c r="N56" s="11" t="s">
        <v>145</v>
      </c>
      <c r="O56" s="11" t="s">
        <v>147</v>
      </c>
      <c r="P56" s="11" t="s">
        <v>138</v>
      </c>
      <c r="Q56" s="11" t="s">
        <v>422</v>
      </c>
      <c r="R56" s="11" t="s">
        <v>145</v>
      </c>
      <c r="S56" s="9"/>
      <c r="T56" s="9" t="s">
        <v>692</v>
      </c>
    </row>
    <row r="57" ht="87.0" customHeight="1">
      <c r="A57" s="11" t="s">
        <v>840</v>
      </c>
      <c r="B57" s="11" t="s">
        <v>835</v>
      </c>
      <c r="C57" s="11" t="s">
        <v>841</v>
      </c>
      <c r="D57" s="11" t="s">
        <v>842</v>
      </c>
      <c r="E57" s="11" t="s">
        <v>843</v>
      </c>
      <c r="F57" s="11" t="s">
        <v>844</v>
      </c>
      <c r="G57" s="11" t="s">
        <v>129</v>
      </c>
      <c r="H57" s="11" t="s">
        <v>678</v>
      </c>
      <c r="I57" s="11" t="s">
        <v>309</v>
      </c>
      <c r="J57" s="11" t="s">
        <v>172</v>
      </c>
      <c r="K57" s="11" t="s">
        <v>175</v>
      </c>
      <c r="L57" s="11" t="s">
        <v>845</v>
      </c>
      <c r="M57" s="11" t="s">
        <v>144</v>
      </c>
      <c r="N57" s="11" t="s">
        <v>145</v>
      </c>
      <c r="O57" s="11" t="s">
        <v>147</v>
      </c>
      <c r="P57" s="11" t="s">
        <v>138</v>
      </c>
      <c r="Q57" s="11" t="s">
        <v>150</v>
      </c>
      <c r="R57" s="11" t="s">
        <v>145</v>
      </c>
      <c r="S57" s="9"/>
      <c r="T57" s="9"/>
    </row>
    <row r="58" ht="87.0" customHeight="1">
      <c r="A58" s="11" t="s">
        <v>846</v>
      </c>
      <c r="B58" s="11" t="s">
        <v>835</v>
      </c>
      <c r="C58" s="11" t="s">
        <v>847</v>
      </c>
      <c r="D58" s="11" t="s">
        <v>848</v>
      </c>
      <c r="E58" s="11" t="s">
        <v>849</v>
      </c>
      <c r="F58" s="11" t="s">
        <v>850</v>
      </c>
      <c r="G58" s="11" t="s">
        <v>129</v>
      </c>
      <c r="H58" s="11" t="s">
        <v>487</v>
      </c>
      <c r="I58" s="11" t="s">
        <v>134</v>
      </c>
      <c r="J58" s="11" t="s">
        <v>136</v>
      </c>
      <c r="K58" s="11" t="s">
        <v>139</v>
      </c>
      <c r="L58" s="11" t="s">
        <v>851</v>
      </c>
      <c r="M58" s="11" t="s">
        <v>144</v>
      </c>
      <c r="N58" s="11" t="s">
        <v>145</v>
      </c>
      <c r="O58" s="11" t="s">
        <v>147</v>
      </c>
      <c r="P58" s="11" t="s">
        <v>138</v>
      </c>
      <c r="Q58" s="11" t="s">
        <v>422</v>
      </c>
      <c r="R58" s="11" t="s">
        <v>145</v>
      </c>
      <c r="S58" s="9"/>
      <c r="T58" s="9" t="s">
        <v>682</v>
      </c>
    </row>
    <row r="59" ht="87.0" customHeight="1">
      <c r="A59" s="11" t="s">
        <v>852</v>
      </c>
      <c r="B59" s="11" t="s">
        <v>853</v>
      </c>
      <c r="C59" s="11" t="s">
        <v>854</v>
      </c>
      <c r="D59" s="11" t="s">
        <v>855</v>
      </c>
      <c r="E59" s="11" t="s">
        <v>856</v>
      </c>
      <c r="F59" s="11" t="s">
        <v>229</v>
      </c>
      <c r="G59" s="11" t="s">
        <v>129</v>
      </c>
      <c r="H59" s="11" t="s">
        <v>857</v>
      </c>
      <c r="I59" s="11" t="s">
        <v>309</v>
      </c>
      <c r="J59" s="11" t="s">
        <v>311</v>
      </c>
      <c r="K59" s="11" t="s">
        <v>316</v>
      </c>
      <c r="L59" s="11" t="s">
        <v>858</v>
      </c>
      <c r="M59" s="11" t="s">
        <v>144</v>
      </c>
      <c r="N59" s="11" t="s">
        <v>145</v>
      </c>
      <c r="O59" s="11" t="s">
        <v>147</v>
      </c>
      <c r="P59" s="11" t="s">
        <v>138</v>
      </c>
      <c r="Q59" s="11" t="s">
        <v>150</v>
      </c>
      <c r="R59" s="11" t="s">
        <v>145</v>
      </c>
      <c r="S59" s="9"/>
      <c r="T59" s="9"/>
    </row>
    <row r="60" ht="87.0" customHeight="1">
      <c r="A60" s="11" t="s">
        <v>859</v>
      </c>
      <c r="B60" s="11" t="s">
        <v>853</v>
      </c>
      <c r="C60" s="11" t="s">
        <v>860</v>
      </c>
      <c r="D60" s="11" t="s">
        <v>861</v>
      </c>
      <c r="E60" s="11" t="s">
        <v>862</v>
      </c>
      <c r="F60" s="11" t="s">
        <v>863</v>
      </c>
      <c r="G60" s="11" t="s">
        <v>129</v>
      </c>
      <c r="H60" s="11" t="s">
        <v>864</v>
      </c>
      <c r="I60" s="11" t="s">
        <v>309</v>
      </c>
      <c r="J60" s="11" t="s">
        <v>172</v>
      </c>
      <c r="K60" s="11" t="s">
        <v>175</v>
      </c>
      <c r="L60" s="11" t="s">
        <v>865</v>
      </c>
      <c r="M60" s="11" t="s">
        <v>144</v>
      </c>
      <c r="N60" s="11" t="s">
        <v>145</v>
      </c>
      <c r="O60" s="11" t="s">
        <v>147</v>
      </c>
      <c r="P60" s="11" t="s">
        <v>138</v>
      </c>
      <c r="Q60" s="11" t="s">
        <v>150</v>
      </c>
      <c r="R60" s="11" t="s">
        <v>145</v>
      </c>
      <c r="S60" s="9"/>
      <c r="T60" s="9"/>
    </row>
    <row r="61" ht="87.0" customHeight="1">
      <c r="A61" s="11" t="s">
        <v>866</v>
      </c>
      <c r="B61" s="11" t="s">
        <v>853</v>
      </c>
      <c r="C61" s="11" t="s">
        <v>867</v>
      </c>
      <c r="D61" s="11" t="s">
        <v>868</v>
      </c>
      <c r="E61" s="11" t="s">
        <v>869</v>
      </c>
      <c r="F61" s="11" t="s">
        <v>229</v>
      </c>
      <c r="G61" s="11" t="s">
        <v>129</v>
      </c>
      <c r="H61" s="11" t="s">
        <v>870</v>
      </c>
      <c r="I61" s="11" t="s">
        <v>309</v>
      </c>
      <c r="J61" s="11" t="s">
        <v>292</v>
      </c>
      <c r="K61" s="11" t="s">
        <v>293</v>
      </c>
      <c r="L61" s="11" t="s">
        <v>871</v>
      </c>
      <c r="M61" s="11" t="s">
        <v>144</v>
      </c>
      <c r="N61" s="11" t="s">
        <v>145</v>
      </c>
      <c r="O61" s="11" t="s">
        <v>147</v>
      </c>
      <c r="P61" s="11" t="s">
        <v>138</v>
      </c>
      <c r="Q61" s="11" t="s">
        <v>150</v>
      </c>
      <c r="R61" s="11" t="s">
        <v>145</v>
      </c>
      <c r="S61" s="9"/>
      <c r="T61" s="9"/>
    </row>
    <row r="62" ht="87.0" customHeight="1">
      <c r="A62" s="11" t="s">
        <v>872</v>
      </c>
      <c r="B62" s="11" t="s">
        <v>873</v>
      </c>
      <c r="C62" s="11" t="s">
        <v>874</v>
      </c>
      <c r="D62" s="11" t="s">
        <v>875</v>
      </c>
      <c r="E62" s="11" t="s">
        <v>876</v>
      </c>
      <c r="F62" s="11" t="s">
        <v>237</v>
      </c>
      <c r="G62" s="11" t="s">
        <v>129</v>
      </c>
      <c r="H62" s="11" t="s">
        <v>877</v>
      </c>
      <c r="I62" s="11" t="s">
        <v>134</v>
      </c>
      <c r="J62" s="11" t="s">
        <v>225</v>
      </c>
      <c r="K62" s="11" t="s">
        <v>227</v>
      </c>
      <c r="L62" s="11" t="s">
        <v>878</v>
      </c>
      <c r="M62" s="11" t="s">
        <v>144</v>
      </c>
      <c r="N62" s="11" t="s">
        <v>145</v>
      </c>
      <c r="O62" s="11" t="s">
        <v>147</v>
      </c>
      <c r="P62" s="11" t="s">
        <v>138</v>
      </c>
      <c r="Q62" s="11" t="s">
        <v>422</v>
      </c>
      <c r="R62" s="11" t="s">
        <v>145</v>
      </c>
      <c r="S62" s="9"/>
      <c r="T62" s="9" t="s">
        <v>692</v>
      </c>
    </row>
    <row r="63" ht="87.0" customHeight="1">
      <c r="A63" s="11" t="s">
        <v>879</v>
      </c>
      <c r="B63" s="11" t="s">
        <v>880</v>
      </c>
      <c r="C63" s="11" t="s">
        <v>881</v>
      </c>
      <c r="D63" s="11" t="s">
        <v>882</v>
      </c>
      <c r="E63" s="11" t="s">
        <v>883</v>
      </c>
      <c r="F63" s="11" t="s">
        <v>884</v>
      </c>
      <c r="G63" s="11" t="s">
        <v>129</v>
      </c>
      <c r="H63" s="11" t="s">
        <v>496</v>
      </c>
      <c r="I63" s="11" t="s">
        <v>134</v>
      </c>
      <c r="J63" s="11" t="s">
        <v>236</v>
      </c>
      <c r="K63" s="11" t="s">
        <v>238</v>
      </c>
      <c r="L63" s="11" t="s">
        <v>886</v>
      </c>
      <c r="M63" s="11" t="s">
        <v>144</v>
      </c>
      <c r="N63" s="11" t="s">
        <v>145</v>
      </c>
      <c r="O63" s="11" t="s">
        <v>147</v>
      </c>
      <c r="P63" s="11" t="s">
        <v>138</v>
      </c>
      <c r="Q63" s="11" t="s">
        <v>422</v>
      </c>
      <c r="R63" s="11" t="s">
        <v>145</v>
      </c>
      <c r="S63" s="9"/>
      <c r="T63" s="9" t="s">
        <v>887</v>
      </c>
    </row>
    <row r="64" ht="87.0" customHeight="1">
      <c r="A64" s="11" t="s">
        <v>888</v>
      </c>
      <c r="B64" s="11" t="s">
        <v>889</v>
      </c>
      <c r="C64" s="11" t="s">
        <v>891</v>
      </c>
      <c r="D64" s="11" t="s">
        <v>892</v>
      </c>
      <c r="E64" s="11" t="s">
        <v>893</v>
      </c>
      <c r="F64" s="11" t="s">
        <v>249</v>
      </c>
      <c r="G64" s="11" t="s">
        <v>129</v>
      </c>
      <c r="H64" s="11" t="s">
        <v>894</v>
      </c>
      <c r="I64" s="11" t="s">
        <v>309</v>
      </c>
      <c r="J64" s="11" t="s">
        <v>292</v>
      </c>
      <c r="K64" s="11" t="s">
        <v>293</v>
      </c>
      <c r="L64" s="11" t="s">
        <v>895</v>
      </c>
      <c r="M64" s="11" t="s">
        <v>144</v>
      </c>
      <c r="N64" s="11" t="s">
        <v>145</v>
      </c>
      <c r="O64" s="11" t="s">
        <v>147</v>
      </c>
      <c r="P64" s="11" t="s">
        <v>138</v>
      </c>
      <c r="Q64" s="11" t="s">
        <v>422</v>
      </c>
      <c r="R64" s="11" t="s">
        <v>145</v>
      </c>
      <c r="S64" s="9"/>
      <c r="T64" s="9" t="s">
        <v>887</v>
      </c>
    </row>
    <row r="65" ht="87.0" customHeight="1">
      <c r="A65" s="11" t="s">
        <v>896</v>
      </c>
      <c r="B65" s="11" t="s">
        <v>897</v>
      </c>
      <c r="C65" s="11" t="s">
        <v>898</v>
      </c>
      <c r="D65" s="11" t="s">
        <v>899</v>
      </c>
      <c r="E65" s="11" t="s">
        <v>900</v>
      </c>
      <c r="F65" s="11" t="s">
        <v>257</v>
      </c>
      <c r="G65" s="11" t="s">
        <v>129</v>
      </c>
      <c r="H65" s="11" t="s">
        <v>901</v>
      </c>
      <c r="I65" s="11" t="s">
        <v>309</v>
      </c>
      <c r="J65" s="11" t="s">
        <v>183</v>
      </c>
      <c r="K65" s="11" t="s">
        <v>186</v>
      </c>
      <c r="L65" s="11" t="s">
        <v>902</v>
      </c>
      <c r="M65" s="11" t="s">
        <v>144</v>
      </c>
      <c r="N65" s="11" t="s">
        <v>145</v>
      </c>
      <c r="O65" s="11" t="s">
        <v>147</v>
      </c>
      <c r="P65" s="11" t="s">
        <v>138</v>
      </c>
      <c r="Q65" s="11" t="s">
        <v>150</v>
      </c>
      <c r="R65" s="11" t="s">
        <v>145</v>
      </c>
      <c r="S65" s="9"/>
      <c r="T65" s="9"/>
    </row>
    <row r="66" ht="87.0" customHeight="1">
      <c r="A66" s="11" t="s">
        <v>903</v>
      </c>
      <c r="B66" s="11" t="s">
        <v>897</v>
      </c>
      <c r="C66" s="11" t="s">
        <v>904</v>
      </c>
      <c r="D66" s="11" t="s">
        <v>905</v>
      </c>
      <c r="E66" s="11" t="s">
        <v>906</v>
      </c>
      <c r="F66" s="11" t="s">
        <v>257</v>
      </c>
      <c r="G66" s="11" t="s">
        <v>129</v>
      </c>
      <c r="H66" s="11" t="s">
        <v>393</v>
      </c>
      <c r="I66" s="11" t="s">
        <v>309</v>
      </c>
      <c r="J66" s="11" t="s">
        <v>183</v>
      </c>
      <c r="K66" s="11" t="s">
        <v>186</v>
      </c>
      <c r="L66" s="11" t="s">
        <v>908</v>
      </c>
      <c r="M66" s="11" t="s">
        <v>144</v>
      </c>
      <c r="N66" s="11" t="s">
        <v>145</v>
      </c>
      <c r="O66" s="11" t="s">
        <v>147</v>
      </c>
      <c r="P66" s="11" t="s">
        <v>138</v>
      </c>
      <c r="Q66" s="11" t="s">
        <v>150</v>
      </c>
      <c r="R66" s="11" t="s">
        <v>145</v>
      </c>
      <c r="S66" s="9"/>
      <c r="T66" s="9"/>
    </row>
    <row r="67" ht="87.0" customHeight="1">
      <c r="A67" s="11" t="s">
        <v>909</v>
      </c>
      <c r="B67" s="11" t="s">
        <v>897</v>
      </c>
      <c r="C67" s="11" t="s">
        <v>910</v>
      </c>
      <c r="D67" s="11" t="s">
        <v>911</v>
      </c>
      <c r="E67" s="11" t="s">
        <v>912</v>
      </c>
      <c r="F67" s="11" t="s">
        <v>913</v>
      </c>
      <c r="G67" s="11" t="s">
        <v>129</v>
      </c>
      <c r="H67" s="11" t="s">
        <v>914</v>
      </c>
      <c r="I67" s="11" t="s">
        <v>309</v>
      </c>
      <c r="J67" s="11" t="s">
        <v>183</v>
      </c>
      <c r="K67" s="11" t="s">
        <v>186</v>
      </c>
      <c r="L67" s="11" t="s">
        <v>915</v>
      </c>
      <c r="M67" s="11" t="s">
        <v>144</v>
      </c>
      <c r="N67" s="11" t="s">
        <v>145</v>
      </c>
      <c r="O67" s="11" t="s">
        <v>147</v>
      </c>
      <c r="P67" s="11" t="s">
        <v>138</v>
      </c>
      <c r="Q67" s="11" t="s">
        <v>150</v>
      </c>
      <c r="R67" s="11" t="s">
        <v>145</v>
      </c>
      <c r="S67" s="9"/>
      <c r="T67" s="9"/>
    </row>
    <row r="68" ht="87.0" customHeight="1">
      <c r="A68" s="11" t="s">
        <v>917</v>
      </c>
      <c r="B68" s="11" t="s">
        <v>918</v>
      </c>
      <c r="C68" s="11" t="s">
        <v>919</v>
      </c>
      <c r="D68" s="11" t="s">
        <v>920</v>
      </c>
      <c r="E68" s="11" t="s">
        <v>921</v>
      </c>
      <c r="F68" s="11" t="s">
        <v>263</v>
      </c>
      <c r="G68" s="11" t="s">
        <v>129</v>
      </c>
      <c r="H68" s="11" t="s">
        <v>922</v>
      </c>
      <c r="I68" s="11" t="s">
        <v>309</v>
      </c>
      <c r="J68" s="11" t="s">
        <v>29</v>
      </c>
      <c r="K68" s="11" t="s">
        <v>364</v>
      </c>
      <c r="L68" s="11" t="s">
        <v>923</v>
      </c>
      <c r="M68" s="11" t="s">
        <v>144</v>
      </c>
      <c r="N68" s="11" t="s">
        <v>145</v>
      </c>
      <c r="O68" s="11" t="s">
        <v>147</v>
      </c>
      <c r="P68" s="11" t="s">
        <v>138</v>
      </c>
      <c r="Q68" s="11" t="s">
        <v>422</v>
      </c>
      <c r="R68" s="11" t="s">
        <v>145</v>
      </c>
      <c r="S68" s="9"/>
      <c r="T68" s="9" t="s">
        <v>625</v>
      </c>
    </row>
    <row r="69" ht="87.0" customHeight="1">
      <c r="A69" s="11" t="s">
        <v>924</v>
      </c>
      <c r="B69" s="11" t="s">
        <v>918</v>
      </c>
      <c r="C69" s="11" t="s">
        <v>925</v>
      </c>
      <c r="D69" s="11" t="s">
        <v>926</v>
      </c>
      <c r="E69" s="11" t="s">
        <v>927</v>
      </c>
      <c r="F69" s="11" t="s">
        <v>263</v>
      </c>
      <c r="G69" s="11" t="s">
        <v>129</v>
      </c>
      <c r="H69" s="11" t="s">
        <v>928</v>
      </c>
      <c r="I69" s="11" t="s">
        <v>309</v>
      </c>
      <c r="J69" s="11" t="s">
        <v>29</v>
      </c>
      <c r="K69" s="11" t="s">
        <v>364</v>
      </c>
      <c r="L69" s="11" t="s">
        <v>929</v>
      </c>
      <c r="M69" s="11" t="s">
        <v>144</v>
      </c>
      <c r="N69" s="11" t="s">
        <v>145</v>
      </c>
      <c r="O69" s="11" t="s">
        <v>147</v>
      </c>
      <c r="P69" s="11" t="s">
        <v>138</v>
      </c>
      <c r="Q69" s="11" t="s">
        <v>422</v>
      </c>
      <c r="R69" s="11" t="s">
        <v>145</v>
      </c>
      <c r="S69" s="9"/>
      <c r="T69" s="9" t="s">
        <v>625</v>
      </c>
    </row>
    <row r="70" ht="87.0" customHeight="1">
      <c r="A70" s="11" t="s">
        <v>930</v>
      </c>
      <c r="B70" s="11" t="s">
        <v>918</v>
      </c>
      <c r="C70" s="11" t="s">
        <v>931</v>
      </c>
      <c r="D70" s="11" t="s">
        <v>932</v>
      </c>
      <c r="E70" s="11" t="s">
        <v>933</v>
      </c>
      <c r="F70" s="11" t="s">
        <v>263</v>
      </c>
      <c r="G70" s="11" t="s">
        <v>129</v>
      </c>
      <c r="H70" s="11" t="s">
        <v>934</v>
      </c>
      <c r="I70" s="11" t="s">
        <v>309</v>
      </c>
      <c r="J70" s="11" t="s">
        <v>29</v>
      </c>
      <c r="K70" s="11" t="s">
        <v>364</v>
      </c>
      <c r="L70" s="11" t="s">
        <v>935</v>
      </c>
      <c r="M70" s="11" t="s">
        <v>144</v>
      </c>
      <c r="N70" s="11" t="s">
        <v>145</v>
      </c>
      <c r="O70" s="11" t="s">
        <v>147</v>
      </c>
      <c r="P70" s="11" t="s">
        <v>138</v>
      </c>
      <c r="Q70" s="11" t="s">
        <v>422</v>
      </c>
      <c r="R70" s="11" t="s">
        <v>145</v>
      </c>
      <c r="S70" s="9"/>
      <c r="T70" s="9" t="s">
        <v>625</v>
      </c>
    </row>
    <row r="71" ht="87.0" customHeight="1">
      <c r="A71" s="11" t="s">
        <v>936</v>
      </c>
      <c r="B71" s="11" t="s">
        <v>937</v>
      </c>
      <c r="C71" s="11" t="s">
        <v>938</v>
      </c>
      <c r="D71" s="11" t="s">
        <v>939</v>
      </c>
      <c r="E71" s="11" t="s">
        <v>940</v>
      </c>
      <c r="F71" s="11" t="s">
        <v>271</v>
      </c>
      <c r="G71" s="11" t="s">
        <v>129</v>
      </c>
      <c r="H71" s="11" t="s">
        <v>941</v>
      </c>
      <c r="I71" s="11" t="s">
        <v>309</v>
      </c>
      <c r="J71" s="11" t="s">
        <v>183</v>
      </c>
      <c r="K71" s="11" t="s">
        <v>186</v>
      </c>
      <c r="L71" s="11" t="s">
        <v>942</v>
      </c>
      <c r="M71" s="11" t="s">
        <v>144</v>
      </c>
      <c r="N71" s="11" t="s">
        <v>145</v>
      </c>
      <c r="O71" s="11" t="s">
        <v>147</v>
      </c>
      <c r="P71" s="11" t="s">
        <v>138</v>
      </c>
      <c r="Q71" s="11" t="s">
        <v>422</v>
      </c>
      <c r="R71" s="11" t="s">
        <v>145</v>
      </c>
      <c r="S71" s="9"/>
      <c r="T71" s="9" t="s">
        <v>673</v>
      </c>
    </row>
    <row r="72" ht="87.0" customHeight="1">
      <c r="A72" s="11" t="s">
        <v>943</v>
      </c>
      <c r="B72" s="11" t="s">
        <v>937</v>
      </c>
      <c r="C72" s="11" t="s">
        <v>944</v>
      </c>
      <c r="D72" s="11" t="s">
        <v>945</v>
      </c>
      <c r="E72" s="11" t="s">
        <v>946</v>
      </c>
      <c r="F72" s="11" t="s">
        <v>271</v>
      </c>
      <c r="G72" s="11" t="s">
        <v>129</v>
      </c>
      <c r="H72" s="11" t="s">
        <v>947</v>
      </c>
      <c r="I72" s="11" t="s">
        <v>309</v>
      </c>
      <c r="J72" s="11" t="s">
        <v>183</v>
      </c>
      <c r="K72" s="11" t="s">
        <v>186</v>
      </c>
      <c r="L72" s="11" t="s">
        <v>948</v>
      </c>
      <c r="M72" s="11" t="s">
        <v>144</v>
      </c>
      <c r="N72" s="11" t="s">
        <v>145</v>
      </c>
      <c r="O72" s="11" t="s">
        <v>147</v>
      </c>
      <c r="P72" s="11" t="s">
        <v>138</v>
      </c>
      <c r="Q72" s="11" t="s">
        <v>150</v>
      </c>
      <c r="R72" s="11" t="s">
        <v>145</v>
      </c>
      <c r="S72" s="9"/>
      <c r="T72" s="9"/>
    </row>
    <row r="73" ht="87.0" customHeight="1">
      <c r="A73" s="11" t="s">
        <v>949</v>
      </c>
      <c r="B73" s="11" t="s">
        <v>937</v>
      </c>
      <c r="C73" s="11" t="s">
        <v>950</v>
      </c>
      <c r="D73" s="11" t="s">
        <v>951</v>
      </c>
      <c r="E73" s="11" t="s">
        <v>952</v>
      </c>
      <c r="F73" s="11" t="s">
        <v>953</v>
      </c>
      <c r="G73" s="11" t="s">
        <v>129</v>
      </c>
      <c r="H73" s="11" t="s">
        <v>954</v>
      </c>
      <c r="I73" s="11" t="s">
        <v>309</v>
      </c>
      <c r="J73" s="11" t="s">
        <v>183</v>
      </c>
      <c r="K73" s="11" t="s">
        <v>186</v>
      </c>
      <c r="L73" s="11" t="s">
        <v>956</v>
      </c>
      <c r="M73" s="11" t="s">
        <v>144</v>
      </c>
      <c r="N73" s="11" t="s">
        <v>145</v>
      </c>
      <c r="O73" s="11" t="s">
        <v>147</v>
      </c>
      <c r="P73" s="11" t="s">
        <v>138</v>
      </c>
      <c r="Q73" s="11" t="s">
        <v>150</v>
      </c>
      <c r="R73" s="11" t="s">
        <v>145</v>
      </c>
      <c r="S73" s="9"/>
      <c r="T73" s="9"/>
    </row>
    <row r="74" ht="87.0" customHeight="1">
      <c r="A74" s="11" t="s">
        <v>957</v>
      </c>
      <c r="B74" s="11" t="s">
        <v>937</v>
      </c>
      <c r="C74" s="11" t="s">
        <v>958</v>
      </c>
      <c r="D74" s="11" t="s">
        <v>959</v>
      </c>
      <c r="E74" s="11" t="s">
        <v>960</v>
      </c>
      <c r="F74" s="11" t="s">
        <v>961</v>
      </c>
      <c r="G74" s="11" t="s">
        <v>129</v>
      </c>
      <c r="H74" s="11" t="s">
        <v>934</v>
      </c>
      <c r="I74" s="11" t="s">
        <v>309</v>
      </c>
      <c r="J74" s="11" t="s">
        <v>183</v>
      </c>
      <c r="K74" s="11" t="s">
        <v>186</v>
      </c>
      <c r="L74" s="11" t="s">
        <v>962</v>
      </c>
      <c r="M74" s="11" t="s">
        <v>144</v>
      </c>
      <c r="N74" s="11" t="s">
        <v>145</v>
      </c>
      <c r="O74" s="11" t="s">
        <v>147</v>
      </c>
      <c r="P74" s="11" t="s">
        <v>138</v>
      </c>
      <c r="Q74" s="11" t="s">
        <v>422</v>
      </c>
      <c r="R74" s="11" t="s">
        <v>145</v>
      </c>
      <c r="S74" s="9"/>
      <c r="T74" s="9" t="s">
        <v>673</v>
      </c>
    </row>
    <row r="75" ht="87.0" customHeight="1">
      <c r="A75" s="11" t="s">
        <v>963</v>
      </c>
      <c r="B75" s="11" t="s">
        <v>937</v>
      </c>
      <c r="C75" s="11" t="s">
        <v>965</v>
      </c>
      <c r="D75" s="11" t="s">
        <v>966</v>
      </c>
      <c r="E75" s="11" t="s">
        <v>967</v>
      </c>
      <c r="F75" s="11" t="s">
        <v>968</v>
      </c>
      <c r="G75" s="11" t="s">
        <v>129</v>
      </c>
      <c r="H75" s="11" t="s">
        <v>969</v>
      </c>
      <c r="I75" s="11" t="s">
        <v>309</v>
      </c>
      <c r="J75" s="11" t="s">
        <v>183</v>
      </c>
      <c r="K75" s="11" t="s">
        <v>186</v>
      </c>
      <c r="L75" s="11" t="s">
        <v>970</v>
      </c>
      <c r="M75" s="11" t="s">
        <v>144</v>
      </c>
      <c r="N75" s="11" t="s">
        <v>145</v>
      </c>
      <c r="O75" s="11" t="s">
        <v>147</v>
      </c>
      <c r="P75" s="11" t="s">
        <v>138</v>
      </c>
      <c r="Q75" s="11" t="s">
        <v>422</v>
      </c>
      <c r="R75" s="11" t="s">
        <v>145</v>
      </c>
      <c r="S75" s="9"/>
      <c r="T75" s="9" t="s">
        <v>673</v>
      </c>
    </row>
    <row r="76" ht="87.0" customHeight="1">
      <c r="A76" s="11" t="s">
        <v>971</v>
      </c>
      <c r="B76" s="11" t="s">
        <v>972</v>
      </c>
      <c r="C76" s="11" t="s">
        <v>973</v>
      </c>
      <c r="D76" s="11" t="s">
        <v>974</v>
      </c>
      <c r="E76" s="11" t="s">
        <v>975</v>
      </c>
      <c r="F76" s="11" t="s">
        <v>289</v>
      </c>
      <c r="G76" s="11" t="s">
        <v>129</v>
      </c>
      <c r="H76" s="11" t="s">
        <v>976</v>
      </c>
      <c r="I76" s="11" t="s">
        <v>134</v>
      </c>
      <c r="J76" s="11" t="s">
        <v>236</v>
      </c>
      <c r="K76" s="11" t="s">
        <v>238</v>
      </c>
      <c r="L76" s="11" t="s">
        <v>978</v>
      </c>
      <c r="M76" s="11" t="s">
        <v>144</v>
      </c>
      <c r="N76" s="11" t="s">
        <v>145</v>
      </c>
      <c r="O76" s="11" t="s">
        <v>147</v>
      </c>
      <c r="P76" s="11" t="s">
        <v>138</v>
      </c>
      <c r="Q76" s="11" t="s">
        <v>150</v>
      </c>
      <c r="R76" s="11" t="s">
        <v>145</v>
      </c>
      <c r="S76" s="9"/>
      <c r="T76" s="9"/>
    </row>
    <row r="77" ht="87.0" customHeight="1">
      <c r="A77" s="11" t="s">
        <v>979</v>
      </c>
      <c r="B77" s="11" t="s">
        <v>918</v>
      </c>
      <c r="C77" s="11" t="s">
        <v>980</v>
      </c>
      <c r="D77" s="11" t="s">
        <v>981</v>
      </c>
      <c r="E77" s="11" t="s">
        <v>982</v>
      </c>
      <c r="F77" s="11" t="s">
        <v>263</v>
      </c>
      <c r="G77" s="11" t="s">
        <v>129</v>
      </c>
      <c r="H77" s="11" t="s">
        <v>983</v>
      </c>
      <c r="I77" s="11" t="s">
        <v>309</v>
      </c>
      <c r="J77" s="11" t="s">
        <v>183</v>
      </c>
      <c r="K77" s="11" t="s">
        <v>186</v>
      </c>
      <c r="L77" s="11" t="s">
        <v>984</v>
      </c>
      <c r="M77" s="11" t="s">
        <v>144</v>
      </c>
      <c r="N77" s="11" t="s">
        <v>145</v>
      </c>
      <c r="O77" s="11" t="s">
        <v>147</v>
      </c>
      <c r="P77" s="11" t="s">
        <v>138</v>
      </c>
      <c r="Q77" s="11" t="s">
        <v>422</v>
      </c>
      <c r="R77" s="11" t="s">
        <v>145</v>
      </c>
      <c r="S77" s="9"/>
      <c r="T77" s="9" t="s">
        <v>692</v>
      </c>
    </row>
    <row r="78" ht="87.0" customHeight="1">
      <c r="A78" s="11" t="s">
        <v>985</v>
      </c>
      <c r="B78" s="11" t="s">
        <v>986</v>
      </c>
      <c r="C78" s="11" t="s">
        <v>987</v>
      </c>
      <c r="D78" s="11" t="s">
        <v>988</v>
      </c>
      <c r="E78" s="11" t="s">
        <v>989</v>
      </c>
      <c r="F78" s="11" t="s">
        <v>302</v>
      </c>
      <c r="G78" s="11" t="s">
        <v>129</v>
      </c>
      <c r="H78" s="11" t="s">
        <v>990</v>
      </c>
      <c r="I78" s="11" t="s">
        <v>309</v>
      </c>
      <c r="J78" s="11" t="s">
        <v>292</v>
      </c>
      <c r="K78" s="11" t="s">
        <v>293</v>
      </c>
      <c r="L78" s="11" t="s">
        <v>991</v>
      </c>
      <c r="M78" s="11" t="s">
        <v>144</v>
      </c>
      <c r="N78" s="11" t="s">
        <v>145</v>
      </c>
      <c r="O78" s="11" t="s">
        <v>147</v>
      </c>
      <c r="P78" s="11" t="s">
        <v>138</v>
      </c>
      <c r="Q78" s="11" t="s">
        <v>422</v>
      </c>
      <c r="R78" s="11" t="s">
        <v>145</v>
      </c>
      <c r="S78" s="9"/>
      <c r="T78" s="9" t="s">
        <v>692</v>
      </c>
    </row>
    <row r="79" ht="87.0" customHeight="1">
      <c r="A79" s="11" t="s">
        <v>992</v>
      </c>
      <c r="B79" s="11" t="s">
        <v>986</v>
      </c>
      <c r="C79" s="11" t="s">
        <v>993</v>
      </c>
      <c r="D79" s="11" t="s">
        <v>994</v>
      </c>
      <c r="E79" s="11" t="s">
        <v>995</v>
      </c>
      <c r="F79" s="11" t="s">
        <v>302</v>
      </c>
      <c r="G79" s="11" t="s">
        <v>129</v>
      </c>
      <c r="H79" s="11" t="s">
        <v>996</v>
      </c>
      <c r="I79" s="11" t="s">
        <v>309</v>
      </c>
      <c r="J79" s="11" t="s">
        <v>292</v>
      </c>
      <c r="K79" s="11" t="s">
        <v>293</v>
      </c>
      <c r="L79" s="11" t="s">
        <v>997</v>
      </c>
      <c r="M79" s="11" t="s">
        <v>144</v>
      </c>
      <c r="N79" s="11" t="s">
        <v>145</v>
      </c>
      <c r="O79" s="11" t="s">
        <v>147</v>
      </c>
      <c r="P79" s="11" t="s">
        <v>138</v>
      </c>
      <c r="Q79" s="11" t="s">
        <v>150</v>
      </c>
      <c r="R79" s="11" t="s">
        <v>145</v>
      </c>
      <c r="S79" s="9"/>
      <c r="T79" s="9"/>
    </row>
    <row r="80" ht="87.0" customHeight="1">
      <c r="A80" s="11" t="s">
        <v>998</v>
      </c>
      <c r="B80" s="11" t="s">
        <v>999</v>
      </c>
      <c r="C80" s="11" t="s">
        <v>1000</v>
      </c>
      <c r="D80" s="11" t="s">
        <v>1001</v>
      </c>
      <c r="E80" s="11" t="s">
        <v>1002</v>
      </c>
      <c r="F80" s="11" t="s">
        <v>313</v>
      </c>
      <c r="G80" s="11" t="s">
        <v>129</v>
      </c>
      <c r="H80" s="11" t="s">
        <v>1003</v>
      </c>
      <c r="I80" s="11" t="s">
        <v>309</v>
      </c>
      <c r="J80" s="11" t="s">
        <v>433</v>
      </c>
      <c r="K80" s="11" t="s">
        <v>435</v>
      </c>
      <c r="L80" s="11" t="s">
        <v>1004</v>
      </c>
      <c r="M80" s="11" t="s">
        <v>144</v>
      </c>
      <c r="N80" s="11" t="s">
        <v>145</v>
      </c>
      <c r="O80" s="11" t="s">
        <v>147</v>
      </c>
      <c r="P80" s="11" t="s">
        <v>138</v>
      </c>
      <c r="Q80" s="11" t="s">
        <v>150</v>
      </c>
      <c r="R80" s="11" t="s">
        <v>145</v>
      </c>
      <c r="S80" s="9"/>
      <c r="T80" s="9"/>
    </row>
    <row r="81" ht="87.0" customHeight="1">
      <c r="A81" s="11" t="s">
        <v>1005</v>
      </c>
      <c r="B81" s="11" t="s">
        <v>999</v>
      </c>
      <c r="C81" s="11" t="s">
        <v>1006</v>
      </c>
      <c r="D81" s="11" t="s">
        <v>1007</v>
      </c>
      <c r="E81" s="11" t="s">
        <v>1008</v>
      </c>
      <c r="F81" s="11" t="s">
        <v>313</v>
      </c>
      <c r="G81" s="11" t="s">
        <v>129</v>
      </c>
      <c r="H81" s="11" t="s">
        <v>440</v>
      </c>
      <c r="I81" s="11" t="s">
        <v>309</v>
      </c>
      <c r="J81" s="11" t="s">
        <v>433</v>
      </c>
      <c r="K81" s="11" t="s">
        <v>435</v>
      </c>
      <c r="L81" s="11" t="s">
        <v>1009</v>
      </c>
      <c r="M81" s="11" t="s">
        <v>144</v>
      </c>
      <c r="N81" s="11" t="s">
        <v>145</v>
      </c>
      <c r="O81" s="11" t="s">
        <v>147</v>
      </c>
      <c r="P81" s="11" t="s">
        <v>138</v>
      </c>
      <c r="Q81" s="11" t="s">
        <v>150</v>
      </c>
      <c r="R81" s="11" t="s">
        <v>145</v>
      </c>
      <c r="S81" s="9"/>
      <c r="T81" s="9"/>
    </row>
    <row r="82" ht="87.0" customHeight="1">
      <c r="A82" s="11" t="s">
        <v>1010</v>
      </c>
      <c r="B82" s="11" t="s">
        <v>999</v>
      </c>
      <c r="C82" s="11" t="s">
        <v>1011</v>
      </c>
      <c r="D82" s="11" t="s">
        <v>1012</v>
      </c>
      <c r="E82" s="11" t="s">
        <v>1013</v>
      </c>
      <c r="F82" s="11" t="s">
        <v>1014</v>
      </c>
      <c r="G82" s="11" t="s">
        <v>129</v>
      </c>
      <c r="H82" s="11" t="s">
        <v>1015</v>
      </c>
      <c r="I82" s="11" t="s">
        <v>309</v>
      </c>
      <c r="J82" s="11" t="s">
        <v>433</v>
      </c>
      <c r="K82" s="11" t="s">
        <v>435</v>
      </c>
      <c r="L82" s="11" t="s">
        <v>1016</v>
      </c>
      <c r="M82" s="11" t="s">
        <v>144</v>
      </c>
      <c r="N82" s="11" t="s">
        <v>145</v>
      </c>
      <c r="O82" s="11" t="s">
        <v>147</v>
      </c>
      <c r="P82" s="11" t="s">
        <v>138</v>
      </c>
      <c r="Q82" s="11" t="s">
        <v>150</v>
      </c>
      <c r="R82" s="11" t="s">
        <v>145</v>
      </c>
      <c r="S82" s="9"/>
      <c r="T82" s="9"/>
    </row>
    <row r="83" ht="87.0" customHeight="1">
      <c r="A83" s="11" t="s">
        <v>1017</v>
      </c>
      <c r="B83" s="11" t="s">
        <v>999</v>
      </c>
      <c r="C83" s="11" t="s">
        <v>1018</v>
      </c>
      <c r="D83" s="11" t="s">
        <v>1019</v>
      </c>
      <c r="E83" s="11" t="s">
        <v>1020</v>
      </c>
      <c r="F83" s="11" t="s">
        <v>1021</v>
      </c>
      <c r="G83" s="11" t="s">
        <v>129</v>
      </c>
      <c r="H83" s="11" t="s">
        <v>1022</v>
      </c>
      <c r="I83" s="11" t="s">
        <v>309</v>
      </c>
      <c r="J83" s="11" t="s">
        <v>433</v>
      </c>
      <c r="K83" s="11" t="s">
        <v>435</v>
      </c>
      <c r="L83" s="11" t="s">
        <v>1023</v>
      </c>
      <c r="M83" s="11" t="s">
        <v>144</v>
      </c>
      <c r="N83" s="11" t="s">
        <v>145</v>
      </c>
      <c r="O83" s="11" t="s">
        <v>147</v>
      </c>
      <c r="P83" s="11" t="s">
        <v>138</v>
      </c>
      <c r="Q83" s="11" t="s">
        <v>422</v>
      </c>
      <c r="R83" s="11" t="s">
        <v>145</v>
      </c>
      <c r="S83" s="9"/>
      <c r="T83" s="9" t="s">
        <v>646</v>
      </c>
    </row>
    <row r="84" ht="87.0" customHeight="1">
      <c r="A84" s="11" t="s">
        <v>1024</v>
      </c>
      <c r="B84" s="11" t="s">
        <v>999</v>
      </c>
      <c r="C84" s="11" t="s">
        <v>1025</v>
      </c>
      <c r="D84" s="11" t="s">
        <v>1026</v>
      </c>
      <c r="E84" s="11" t="s">
        <v>1027</v>
      </c>
      <c r="F84" s="11" t="s">
        <v>313</v>
      </c>
      <c r="G84" s="11" t="s">
        <v>129</v>
      </c>
      <c r="H84" s="11" t="s">
        <v>1028</v>
      </c>
      <c r="I84" s="11" t="s">
        <v>828</v>
      </c>
      <c r="J84" s="11" t="s">
        <v>37</v>
      </c>
      <c r="K84" s="11" t="s">
        <v>521</v>
      </c>
      <c r="L84" s="11" t="s">
        <v>1029</v>
      </c>
      <c r="M84" s="11" t="s">
        <v>144</v>
      </c>
      <c r="N84" s="11" t="s">
        <v>145</v>
      </c>
      <c r="O84" s="11" t="s">
        <v>147</v>
      </c>
      <c r="P84" s="11" t="s">
        <v>138</v>
      </c>
      <c r="Q84" s="11" t="s">
        <v>150</v>
      </c>
      <c r="R84" s="11" t="s">
        <v>145</v>
      </c>
      <c r="S84" s="9"/>
      <c r="T84" s="9"/>
    </row>
    <row r="85" ht="87.0" customHeight="1">
      <c r="A85" s="11" t="s">
        <v>1030</v>
      </c>
      <c r="B85" s="11" t="s">
        <v>1031</v>
      </c>
      <c r="C85" s="11" t="s">
        <v>1032</v>
      </c>
      <c r="D85" s="11" t="s">
        <v>1033</v>
      </c>
      <c r="E85" s="11" t="s">
        <v>1034</v>
      </c>
      <c r="F85" s="11" t="s">
        <v>320</v>
      </c>
      <c r="G85" s="11" t="s">
        <v>129</v>
      </c>
      <c r="H85" s="11" t="s">
        <v>1035</v>
      </c>
      <c r="I85" s="11" t="s">
        <v>828</v>
      </c>
      <c r="J85" s="11" t="s">
        <v>37</v>
      </c>
      <c r="K85" s="11" t="s">
        <v>521</v>
      </c>
      <c r="L85" s="11" t="s">
        <v>1036</v>
      </c>
      <c r="M85" s="11" t="s">
        <v>144</v>
      </c>
      <c r="N85" s="11" t="s">
        <v>145</v>
      </c>
      <c r="O85" s="11" t="s">
        <v>147</v>
      </c>
      <c r="P85" s="11" t="s">
        <v>138</v>
      </c>
      <c r="Q85" s="11" t="s">
        <v>150</v>
      </c>
      <c r="R85" s="11" t="s">
        <v>145</v>
      </c>
      <c r="S85" s="9"/>
      <c r="T85" s="9"/>
    </row>
    <row r="86" ht="87.0" customHeight="1">
      <c r="A86" s="11" t="s">
        <v>1037</v>
      </c>
      <c r="B86" s="11" t="s">
        <v>1031</v>
      </c>
      <c r="C86" s="11" t="s">
        <v>1038</v>
      </c>
      <c r="D86" s="11" t="s">
        <v>1039</v>
      </c>
      <c r="E86" s="11" t="s">
        <v>1040</v>
      </c>
      <c r="F86" s="11" t="s">
        <v>1041</v>
      </c>
      <c r="G86" s="11" t="s">
        <v>129</v>
      </c>
      <c r="H86" s="11" t="s">
        <v>1042</v>
      </c>
      <c r="I86" s="11" t="s">
        <v>828</v>
      </c>
      <c r="J86" s="11" t="s">
        <v>37</v>
      </c>
      <c r="K86" s="11" t="s">
        <v>521</v>
      </c>
      <c r="L86" s="11" t="s">
        <v>1043</v>
      </c>
      <c r="M86" s="11" t="s">
        <v>144</v>
      </c>
      <c r="N86" s="11" t="s">
        <v>145</v>
      </c>
      <c r="O86" s="11" t="s">
        <v>147</v>
      </c>
      <c r="P86" s="11" t="s">
        <v>138</v>
      </c>
      <c r="Q86" s="11" t="s">
        <v>422</v>
      </c>
      <c r="R86" s="11" t="s">
        <v>145</v>
      </c>
      <c r="S86" s="9"/>
      <c r="T86" s="9" t="s">
        <v>665</v>
      </c>
    </row>
    <row r="87" ht="87.0" customHeight="1">
      <c r="A87" s="11" t="s">
        <v>1044</v>
      </c>
      <c r="B87" s="11" t="s">
        <v>1045</v>
      </c>
      <c r="C87" s="11" t="s">
        <v>1046</v>
      </c>
      <c r="D87" s="11" t="s">
        <v>1047</v>
      </c>
      <c r="E87" s="11" t="s">
        <v>1048</v>
      </c>
      <c r="F87" s="11" t="s">
        <v>1049</v>
      </c>
      <c r="G87" s="11" t="s">
        <v>129</v>
      </c>
      <c r="H87" s="11" t="s">
        <v>1050</v>
      </c>
      <c r="I87" s="11" t="s">
        <v>828</v>
      </c>
      <c r="J87" s="11" t="s">
        <v>37</v>
      </c>
      <c r="K87" s="11" t="s">
        <v>521</v>
      </c>
      <c r="L87" s="11" t="s">
        <v>1051</v>
      </c>
      <c r="M87" s="11" t="s">
        <v>144</v>
      </c>
      <c r="N87" s="11" t="s">
        <v>145</v>
      </c>
      <c r="O87" s="11" t="s">
        <v>147</v>
      </c>
      <c r="P87" s="11" t="s">
        <v>138</v>
      </c>
      <c r="Q87" s="11" t="s">
        <v>150</v>
      </c>
      <c r="R87" s="11" t="s">
        <v>145</v>
      </c>
      <c r="S87" s="9"/>
      <c r="T87" s="9"/>
    </row>
    <row r="88" ht="87.0" customHeight="1">
      <c r="A88" s="9" t="s">
        <v>1052</v>
      </c>
      <c r="B88" s="9" t="s">
        <v>999</v>
      </c>
      <c r="C88" s="9" t="s">
        <v>1053</v>
      </c>
      <c r="D88" s="9" t="s">
        <v>1054</v>
      </c>
      <c r="E88" s="9" t="s">
        <v>1055</v>
      </c>
      <c r="F88" s="9" t="s">
        <v>1014</v>
      </c>
      <c r="G88" s="9" t="s">
        <v>129</v>
      </c>
      <c r="H88" s="9" t="s">
        <v>1056</v>
      </c>
      <c r="I88" s="9" t="s">
        <v>309</v>
      </c>
      <c r="J88" s="9" t="s">
        <v>433</v>
      </c>
      <c r="K88" s="9" t="s">
        <v>435</v>
      </c>
      <c r="L88" s="9" t="s">
        <v>1057</v>
      </c>
      <c r="M88" s="9" t="s">
        <v>144</v>
      </c>
      <c r="N88" s="9" t="s">
        <v>145</v>
      </c>
      <c r="O88" s="9" t="s">
        <v>147</v>
      </c>
      <c r="P88" s="9" t="s">
        <v>138</v>
      </c>
      <c r="Q88" s="9" t="s">
        <v>150</v>
      </c>
      <c r="R88" s="9" t="s">
        <v>145</v>
      </c>
      <c r="S88" s="9"/>
      <c r="T88" s="9"/>
    </row>
    <row r="89" ht="87.0" customHeight="1">
      <c r="A89" s="9" t="s">
        <v>1058</v>
      </c>
      <c r="B89" s="9" t="s">
        <v>1059</v>
      </c>
      <c r="C89" s="9" t="s">
        <v>1060</v>
      </c>
      <c r="D89" s="9" t="s">
        <v>1061</v>
      </c>
      <c r="E89" s="9" t="s">
        <v>1062</v>
      </c>
      <c r="F89" s="9" t="s">
        <v>817</v>
      </c>
      <c r="G89" s="9" t="s">
        <v>129</v>
      </c>
      <c r="H89" s="9" t="s">
        <v>557</v>
      </c>
      <c r="I89" s="9" t="s">
        <v>134</v>
      </c>
      <c r="J89" s="9" t="s">
        <v>159</v>
      </c>
      <c r="K89" s="9" t="s">
        <v>164</v>
      </c>
      <c r="L89" s="9" t="s">
        <v>1063</v>
      </c>
      <c r="M89" s="9" t="s">
        <v>144</v>
      </c>
      <c r="N89" s="9" t="s">
        <v>145</v>
      </c>
      <c r="O89" s="9" t="s">
        <v>147</v>
      </c>
      <c r="P89" s="9" t="s">
        <v>138</v>
      </c>
      <c r="Q89" s="9" t="s">
        <v>150</v>
      </c>
      <c r="R89" s="9" t="s">
        <v>145</v>
      </c>
      <c r="S89" s="9"/>
      <c r="T89" s="9"/>
    </row>
    <row r="90" ht="87.0" customHeight="1">
      <c r="A90" s="13" t="s">
        <v>1064</v>
      </c>
      <c r="B90" s="13" t="s">
        <v>1065</v>
      </c>
      <c r="C90" s="13" t="s">
        <v>1066</v>
      </c>
      <c r="D90" s="13" t="s">
        <v>1067</v>
      </c>
      <c r="E90" s="13" t="s">
        <v>1068</v>
      </c>
      <c r="F90" s="13" t="s">
        <v>1069</v>
      </c>
      <c r="G90" s="13" t="s">
        <v>129</v>
      </c>
      <c r="H90" s="13" t="s">
        <v>1070</v>
      </c>
      <c r="I90" s="13" t="s">
        <v>134</v>
      </c>
      <c r="J90" s="13" t="s">
        <v>236</v>
      </c>
      <c r="K90" s="13" t="s">
        <v>238</v>
      </c>
      <c r="L90" s="13" t="s">
        <v>1071</v>
      </c>
      <c r="M90" s="13" t="s">
        <v>144</v>
      </c>
      <c r="N90" s="13" t="s">
        <v>145</v>
      </c>
      <c r="O90" s="13" t="s">
        <v>147</v>
      </c>
      <c r="P90" s="13" t="s">
        <v>138</v>
      </c>
      <c r="Q90" s="13" t="s">
        <v>150</v>
      </c>
      <c r="R90" s="13" t="s">
        <v>145</v>
      </c>
      <c r="S90" s="13"/>
      <c r="T90" s="13"/>
    </row>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4:$T$90"/>
  <mergeCells count="2">
    <mergeCell ref="A1:T1"/>
    <mergeCell ref="A2:T2"/>
  </mergeCells>
  <conditionalFormatting sqref="M5:M87">
    <cfRule type="expression" dxfId="4" priority="1">
      <formula>M5="Passed"</formula>
    </cfRule>
  </conditionalFormatting>
  <conditionalFormatting sqref="M5:M87">
    <cfRule type="expression" dxfId="5" priority="2">
      <formula>M5="Failed"</formula>
    </cfRule>
  </conditionalFormatting>
  <conditionalFormatting sqref="Q5:Q87">
    <cfRule type="expression" dxfId="6" priority="3">
      <formula>Q5="Aprobado"</formula>
    </cfRule>
  </conditionalFormatting>
  <conditionalFormatting sqref="Q5:Q87">
    <cfRule type="expression" dxfId="7" priority="4">
      <formula>Q5="Ajustar"</formula>
    </cfRule>
  </conditionalFormatting>
  <conditionalFormatting sqref="Q5:Q87">
    <cfRule type="expression" dxfId="8" priority="5">
      <formula>Q5="Fuera de alcance"</formula>
    </cfRule>
  </conditionalFormatting>
  <conditionalFormatting sqref="Q5:Q87">
    <cfRule type="expression" dxfId="9" priority="6">
      <formula>Q5="Requiere análisis"</formula>
    </cfRule>
  </conditionalFormatting>
  <conditionalFormatting sqref="R5:R87">
    <cfRule type="expression" dxfId="0" priority="7">
      <formula>R5="Aprobado"</formula>
    </cfRule>
  </conditionalFormatting>
  <conditionalFormatting sqref="R5:R87">
    <cfRule type="expression" dxfId="1" priority="8">
      <formula>R5="Pendiente"</formula>
    </cfRule>
  </conditionalFormatting>
  <conditionalFormatting sqref="R5:R87">
    <cfRule type="expression" dxfId="2" priority="9">
      <formula>R5="Ajustar"</formula>
    </cfRule>
  </conditionalFormatting>
  <conditionalFormatting sqref="R5:R87">
    <cfRule type="expression" dxfId="3" priority="10">
      <formula>R5="Fuera de alcance"</formula>
    </cfRule>
  </conditionalFormatting>
  <conditionalFormatting sqref="R5:R87">
    <cfRule type="expression" dxfId="10" priority="11">
      <formula>R5="Requiere análisis"</formula>
    </cfRule>
  </conditionalFormatting>
  <conditionalFormatting sqref="T5:T87">
    <cfRule type="expression" dxfId="11" priority="12">
      <formula>T5&lt;&gt;""</formula>
    </cfRule>
  </conditionalFormatting>
  <dataValidations>
    <dataValidation type="list" allowBlank="1" sqref="N5:N87">
      <formula1>"Pendiente,Passed,Failed,Bloqueado,No aplica"</formula1>
    </dataValidation>
    <dataValidation type="list" allowBlank="1" sqref="R5:R87">
      <formula1>"Pendiente,Aprobado,Ajustar,Fuera de alcance,Requiere análisis"</formula1>
    </dataValidation>
    <dataValidation type="list" allowBlank="1" sqref="M5:M87">
      <formula1>"Pendiente,Passed,Failed,Passed parcial,No aplica"</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28.0"/>
    <col customWidth="1" min="3" max="3" width="55.0"/>
    <col customWidth="1" min="4" max="4" width="65.0"/>
    <col customWidth="1" min="5" max="5" width="2.0"/>
    <col customWidth="1" min="6" max="26" width="8.88"/>
  </cols>
  <sheetData>
    <row r="1" ht="13.5" customHeight="1">
      <c r="A1" s="1" t="s">
        <v>3</v>
      </c>
      <c r="B1" s="2"/>
      <c r="C1" s="2"/>
      <c r="D1" s="3"/>
    </row>
    <row r="2" ht="13.5" customHeight="1"/>
    <row r="3" ht="13.5" customHeight="1">
      <c r="A3" s="5" t="s">
        <v>5</v>
      </c>
      <c r="B3" s="5" t="s">
        <v>14</v>
      </c>
      <c r="C3" s="5" t="s">
        <v>17</v>
      </c>
      <c r="D3" s="5" t="s">
        <v>18</v>
      </c>
      <c r="E3" s="8"/>
    </row>
    <row r="4" ht="159.75" customHeight="1">
      <c r="A4" s="6" t="s">
        <v>31</v>
      </c>
      <c r="B4" s="6" t="s">
        <v>34</v>
      </c>
      <c r="C4" s="6" t="s">
        <v>36</v>
      </c>
      <c r="D4" s="6" t="s">
        <v>39</v>
      </c>
      <c r="E4" s="9"/>
    </row>
    <row r="5" ht="159.75" customHeight="1">
      <c r="A5" s="6" t="s">
        <v>48</v>
      </c>
      <c r="B5" s="6" t="s">
        <v>51</v>
      </c>
      <c r="C5" s="6" t="s">
        <v>55</v>
      </c>
      <c r="D5" s="6" t="s">
        <v>61</v>
      </c>
      <c r="E5" s="9"/>
    </row>
    <row r="6" ht="159.75" customHeight="1">
      <c r="A6" s="6" t="s">
        <v>64</v>
      </c>
      <c r="B6" s="6" t="s">
        <v>66</v>
      </c>
      <c r="C6" s="6" t="s">
        <v>68</v>
      </c>
      <c r="D6" s="6" t="s">
        <v>70</v>
      </c>
      <c r="E6" s="9"/>
    </row>
    <row r="7" ht="159.75" customHeight="1">
      <c r="A7" s="6" t="s">
        <v>74</v>
      </c>
      <c r="B7" s="6" t="s">
        <v>76</v>
      </c>
      <c r="C7" s="6" t="s">
        <v>80</v>
      </c>
      <c r="D7" s="6" t="s">
        <v>82</v>
      </c>
      <c r="E7" s="9"/>
    </row>
    <row r="8" ht="159.75" customHeight="1">
      <c r="A8" s="6" t="s">
        <v>85</v>
      </c>
      <c r="B8" s="6" t="s">
        <v>88</v>
      </c>
      <c r="C8" s="6" t="s">
        <v>92</v>
      </c>
      <c r="D8" s="6" t="s">
        <v>96</v>
      </c>
      <c r="E8" s="9"/>
    </row>
    <row r="9" ht="159.75" customHeight="1">
      <c r="A9" s="6" t="s">
        <v>102</v>
      </c>
      <c r="B9" s="6" t="s">
        <v>105</v>
      </c>
      <c r="C9" s="6" t="s">
        <v>107</v>
      </c>
      <c r="D9" s="6" t="s">
        <v>111</v>
      </c>
      <c r="E9" s="9"/>
    </row>
    <row r="10" ht="159.75" customHeight="1">
      <c r="A10" s="6" t="s">
        <v>114</v>
      </c>
      <c r="B10" s="6" t="s">
        <v>116</v>
      </c>
      <c r="C10" s="6" t="s">
        <v>119</v>
      </c>
      <c r="D10" s="6" t="s">
        <v>123</v>
      </c>
      <c r="E10" s="9"/>
    </row>
    <row r="11" ht="159.75" customHeight="1">
      <c r="A11" s="6" t="s">
        <v>127</v>
      </c>
      <c r="B11" s="6" t="s">
        <v>128</v>
      </c>
      <c r="C11" s="6" t="s">
        <v>152</v>
      </c>
      <c r="D11" s="6" t="s">
        <v>160</v>
      </c>
      <c r="E11" s="9"/>
    </row>
    <row r="12" ht="159.75" customHeight="1">
      <c r="A12" s="6" t="s">
        <v>168</v>
      </c>
      <c r="B12" s="6" t="s">
        <v>170</v>
      </c>
      <c r="C12" s="6" t="s">
        <v>173</v>
      </c>
      <c r="D12" s="6" t="s">
        <v>174</v>
      </c>
      <c r="E12" s="9"/>
    </row>
    <row r="13" ht="159.75" customHeight="1">
      <c r="A13" s="6" t="s">
        <v>177</v>
      </c>
      <c r="B13" s="6" t="s">
        <v>179</v>
      </c>
      <c r="C13" s="6" t="s">
        <v>181</v>
      </c>
      <c r="D13" s="6" t="s">
        <v>182</v>
      </c>
      <c r="E13" s="9"/>
    </row>
    <row r="14" ht="159.75" customHeight="1">
      <c r="A14" s="6" t="s">
        <v>185</v>
      </c>
      <c r="B14" s="6" t="s">
        <v>187</v>
      </c>
      <c r="C14" s="6" t="s">
        <v>190</v>
      </c>
      <c r="D14" s="6" t="s">
        <v>194</v>
      </c>
      <c r="E14" s="9"/>
    </row>
    <row r="15" ht="159.75" customHeight="1">
      <c r="A15" s="6" t="s">
        <v>198</v>
      </c>
      <c r="B15" s="6" t="s">
        <v>199</v>
      </c>
      <c r="C15" s="6" t="s">
        <v>202</v>
      </c>
      <c r="D15" s="6" t="s">
        <v>203</v>
      </c>
      <c r="E15" s="9"/>
    </row>
    <row r="16" ht="159.75" customHeight="1">
      <c r="A16" s="6" t="s">
        <v>215</v>
      </c>
      <c r="B16" s="6" t="s">
        <v>217</v>
      </c>
      <c r="C16" s="6" t="s">
        <v>221</v>
      </c>
      <c r="D16" s="6" t="s">
        <v>226</v>
      </c>
      <c r="E16" s="9"/>
    </row>
    <row r="17" ht="159.75" customHeight="1">
      <c r="A17" s="6" t="s">
        <v>229</v>
      </c>
      <c r="B17" s="6" t="s">
        <v>231</v>
      </c>
      <c r="C17" s="6" t="s">
        <v>233</v>
      </c>
      <c r="D17" s="6" t="s">
        <v>235</v>
      </c>
      <c r="E17" s="9"/>
    </row>
    <row r="18" ht="159.75" customHeight="1">
      <c r="A18" s="6" t="s">
        <v>237</v>
      </c>
      <c r="B18" s="6" t="s">
        <v>239</v>
      </c>
      <c r="C18" s="6" t="s">
        <v>242</v>
      </c>
      <c r="D18" s="6" t="s">
        <v>245</v>
      </c>
      <c r="E18" s="9"/>
    </row>
    <row r="19" ht="159.75" customHeight="1">
      <c r="A19" s="6" t="s">
        <v>249</v>
      </c>
      <c r="B19" s="6" t="s">
        <v>251</v>
      </c>
      <c r="C19" s="6" t="s">
        <v>252</v>
      </c>
      <c r="D19" s="6" t="s">
        <v>254</v>
      </c>
      <c r="E19" s="9"/>
    </row>
    <row r="20" ht="159.75" customHeight="1">
      <c r="A20" s="6" t="s">
        <v>257</v>
      </c>
      <c r="B20" s="6" t="s">
        <v>258</v>
      </c>
      <c r="C20" s="6" t="s">
        <v>261</v>
      </c>
      <c r="D20" s="6" t="s">
        <v>262</v>
      </c>
      <c r="E20" s="9"/>
    </row>
    <row r="21" ht="159.75" customHeight="1">
      <c r="A21" s="6" t="s">
        <v>263</v>
      </c>
      <c r="B21" s="6" t="s">
        <v>265</v>
      </c>
      <c r="C21" s="6" t="s">
        <v>267</v>
      </c>
      <c r="D21" s="6" t="s">
        <v>269</v>
      </c>
      <c r="E21" s="9"/>
    </row>
    <row r="22" ht="159.75" customHeight="1">
      <c r="A22" s="6" t="s">
        <v>271</v>
      </c>
      <c r="B22" s="6" t="s">
        <v>282</v>
      </c>
      <c r="C22" s="6" t="s">
        <v>283</v>
      </c>
      <c r="D22" s="6" t="s">
        <v>285</v>
      </c>
      <c r="E22" s="9"/>
    </row>
    <row r="23" ht="159.75" customHeight="1">
      <c r="A23" s="6" t="s">
        <v>289</v>
      </c>
      <c r="B23" s="6" t="s">
        <v>291</v>
      </c>
      <c r="C23" s="6" t="s">
        <v>294</v>
      </c>
      <c r="D23" s="6" t="s">
        <v>298</v>
      </c>
      <c r="E23" s="9"/>
    </row>
    <row r="24" ht="159.75" customHeight="1">
      <c r="A24" s="6" t="s">
        <v>302</v>
      </c>
      <c r="B24" s="6" t="s">
        <v>304</v>
      </c>
      <c r="C24" s="6" t="s">
        <v>306</v>
      </c>
      <c r="D24" s="6" t="s">
        <v>308</v>
      </c>
      <c r="E24" s="9"/>
    </row>
    <row r="25" ht="159.75" customHeight="1">
      <c r="A25" s="6" t="s">
        <v>313</v>
      </c>
      <c r="B25" s="6" t="s">
        <v>315</v>
      </c>
      <c r="C25" s="6" t="s">
        <v>317</v>
      </c>
      <c r="D25" s="6" t="s">
        <v>319</v>
      </c>
      <c r="E25" s="9"/>
    </row>
    <row r="26" ht="159.75" customHeight="1">
      <c r="A26" s="6" t="s">
        <v>320</v>
      </c>
      <c r="B26" s="6" t="s">
        <v>322</v>
      </c>
      <c r="C26" s="6" t="s">
        <v>324</v>
      </c>
      <c r="D26" s="6" t="s">
        <v>326</v>
      </c>
      <c r="E26" s="9"/>
    </row>
    <row r="27" ht="159.75" customHeight="1">
      <c r="A27" s="6" t="s">
        <v>327</v>
      </c>
      <c r="B27" s="6" t="s">
        <v>329</v>
      </c>
      <c r="C27" s="6" t="s">
        <v>331</v>
      </c>
      <c r="D27" s="6" t="s">
        <v>334</v>
      </c>
      <c r="E27" s="9"/>
    </row>
    <row r="28" ht="159.75" customHeight="1">
      <c r="A28" s="6" t="s">
        <v>338</v>
      </c>
      <c r="B28" s="6" t="s">
        <v>339</v>
      </c>
      <c r="C28" s="6" t="s">
        <v>341</v>
      </c>
      <c r="D28" s="6" t="s">
        <v>342</v>
      </c>
      <c r="E28" s="9"/>
    </row>
    <row r="29" ht="159.75" customHeight="1">
      <c r="A29" s="6" t="s">
        <v>344</v>
      </c>
      <c r="B29" s="6" t="s">
        <v>345</v>
      </c>
      <c r="C29" s="6" t="s">
        <v>346</v>
      </c>
      <c r="D29" s="6" t="s">
        <v>347</v>
      </c>
      <c r="E29" s="9"/>
    </row>
    <row r="30" ht="159.75" customHeight="1">
      <c r="A30" s="6" t="s">
        <v>350</v>
      </c>
      <c r="B30" s="6" t="s">
        <v>351</v>
      </c>
      <c r="C30" s="6" t="s">
        <v>353</v>
      </c>
      <c r="D30" s="6" t="s">
        <v>354</v>
      </c>
      <c r="E30" s="13"/>
    </row>
    <row r="31" ht="159.75" customHeight="1">
      <c r="A31" s="6"/>
      <c r="B31" s="6"/>
      <c r="C31" s="6"/>
      <c r="D31" s="6"/>
    </row>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D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28.0"/>
    <col customWidth="1" min="3" max="3" width="60.0"/>
    <col customWidth="1" min="4" max="4" width="30.0"/>
    <col customWidth="1" min="5" max="5" width="28.0"/>
    <col customWidth="1" min="6" max="6" width="52.0"/>
    <col customWidth="1" min="7" max="26" width="8.88"/>
  </cols>
  <sheetData>
    <row r="1" ht="13.5" customHeight="1">
      <c r="A1" s="1" t="s">
        <v>1</v>
      </c>
      <c r="B1" s="2"/>
      <c r="C1" s="2"/>
      <c r="D1" s="2"/>
      <c r="E1" s="2"/>
      <c r="F1" s="3"/>
    </row>
    <row r="2" ht="13.5" customHeight="1"/>
    <row r="3" ht="13.5" customHeight="1">
      <c r="A3" s="4" t="s">
        <v>5</v>
      </c>
      <c r="B3" s="4" t="s">
        <v>72</v>
      </c>
      <c r="C3" s="4" t="s">
        <v>75</v>
      </c>
      <c r="D3" s="4" t="s">
        <v>78</v>
      </c>
      <c r="E3" s="4" t="s">
        <v>67</v>
      </c>
      <c r="F3" s="4" t="s">
        <v>69</v>
      </c>
    </row>
    <row r="4" ht="115.5" customHeight="1">
      <c r="A4" s="6" t="s">
        <v>90</v>
      </c>
      <c r="B4" s="6" t="s">
        <v>95</v>
      </c>
      <c r="C4" s="6" t="s">
        <v>98</v>
      </c>
      <c r="D4" s="6" t="s">
        <v>100</v>
      </c>
      <c r="E4" s="6" t="s">
        <v>103</v>
      </c>
      <c r="F4" s="12" t="s">
        <v>112</v>
      </c>
    </row>
    <row r="5" ht="115.5" customHeight="1">
      <c r="A5" s="6" t="s">
        <v>131</v>
      </c>
      <c r="B5" s="6" t="s">
        <v>133</v>
      </c>
      <c r="C5" s="6" t="s">
        <v>137</v>
      </c>
      <c r="D5" s="6" t="s">
        <v>100</v>
      </c>
      <c r="E5" s="6" t="s">
        <v>136</v>
      </c>
      <c r="F5" s="12" t="s">
        <v>139</v>
      </c>
    </row>
    <row r="6" ht="115.5" customHeight="1">
      <c r="A6" s="6" t="s">
        <v>141</v>
      </c>
      <c r="B6" s="6" t="s">
        <v>142</v>
      </c>
      <c r="C6" s="6" t="s">
        <v>143</v>
      </c>
      <c r="D6" s="6" t="s">
        <v>100</v>
      </c>
      <c r="E6" s="6" t="s">
        <v>136</v>
      </c>
      <c r="F6" s="12" t="s">
        <v>139</v>
      </c>
    </row>
    <row r="7" ht="115.5" customHeight="1">
      <c r="A7" s="6" t="s">
        <v>146</v>
      </c>
      <c r="B7" s="6" t="s">
        <v>148</v>
      </c>
      <c r="C7" s="6" t="s">
        <v>149</v>
      </c>
      <c r="D7" s="6" t="s">
        <v>100</v>
      </c>
      <c r="E7" s="6" t="s">
        <v>151</v>
      </c>
      <c r="F7" s="12" t="s">
        <v>153</v>
      </c>
    </row>
    <row r="8" ht="115.5" customHeight="1">
      <c r="A8" s="6" t="s">
        <v>154</v>
      </c>
      <c r="B8" s="6" t="s">
        <v>155</v>
      </c>
      <c r="C8" s="6" t="s">
        <v>157</v>
      </c>
      <c r="D8" s="6" t="s">
        <v>100</v>
      </c>
      <c r="E8" s="6" t="s">
        <v>159</v>
      </c>
      <c r="F8" s="12" t="s">
        <v>164</v>
      </c>
    </row>
    <row r="9" ht="115.5" customHeight="1">
      <c r="A9" s="6" t="s">
        <v>166</v>
      </c>
      <c r="B9" s="6" t="s">
        <v>167</v>
      </c>
      <c r="C9" s="6" t="s">
        <v>169</v>
      </c>
      <c r="D9" s="6" t="s">
        <v>100</v>
      </c>
      <c r="E9" s="6" t="s">
        <v>172</v>
      </c>
      <c r="F9" s="12" t="s">
        <v>175</v>
      </c>
    </row>
    <row r="10" ht="115.5" customHeight="1">
      <c r="A10" s="6" t="s">
        <v>176</v>
      </c>
      <c r="B10" s="6" t="s">
        <v>178</v>
      </c>
      <c r="C10" s="6" t="s">
        <v>180</v>
      </c>
      <c r="D10" s="6" t="s">
        <v>100</v>
      </c>
      <c r="E10" s="6" t="s">
        <v>183</v>
      </c>
      <c r="F10" s="12" t="s">
        <v>186</v>
      </c>
    </row>
    <row r="11" ht="115.5" customHeight="1">
      <c r="A11" s="6" t="s">
        <v>191</v>
      </c>
      <c r="B11" s="6" t="s">
        <v>193</v>
      </c>
      <c r="C11" s="6" t="s">
        <v>196</v>
      </c>
      <c r="D11" s="6" t="s">
        <v>100</v>
      </c>
      <c r="E11" s="6" t="s">
        <v>19</v>
      </c>
      <c r="F11" s="12" t="s">
        <v>201</v>
      </c>
    </row>
    <row r="12" ht="115.5" customHeight="1">
      <c r="A12" s="6" t="s">
        <v>204</v>
      </c>
      <c r="B12" s="6" t="s">
        <v>206</v>
      </c>
      <c r="C12" s="6" t="s">
        <v>208</v>
      </c>
      <c r="D12" s="6" t="s">
        <v>100</v>
      </c>
      <c r="E12" s="6" t="s">
        <v>209</v>
      </c>
      <c r="F12" s="12" t="s">
        <v>210</v>
      </c>
    </row>
    <row r="13" ht="115.5" customHeight="1">
      <c r="A13" s="6" t="s">
        <v>211</v>
      </c>
      <c r="B13" s="6" t="s">
        <v>212</v>
      </c>
      <c r="C13" s="6" t="s">
        <v>213</v>
      </c>
      <c r="D13" s="6" t="s">
        <v>100</v>
      </c>
      <c r="E13" s="6" t="s">
        <v>19</v>
      </c>
      <c r="F13" s="12" t="s">
        <v>201</v>
      </c>
    </row>
    <row r="14" ht="115.5" customHeight="1">
      <c r="A14" s="6" t="s">
        <v>219</v>
      </c>
      <c r="B14" s="6" t="s">
        <v>222</v>
      </c>
      <c r="C14" s="6" t="s">
        <v>223</v>
      </c>
      <c r="D14" s="6" t="s">
        <v>100</v>
      </c>
      <c r="E14" s="6" t="s">
        <v>225</v>
      </c>
      <c r="F14" s="12" t="s">
        <v>227</v>
      </c>
    </row>
    <row r="15" ht="115.5" customHeight="1">
      <c r="A15" s="6" t="s">
        <v>230</v>
      </c>
      <c r="B15" s="6" t="s">
        <v>232</v>
      </c>
      <c r="C15" s="6" t="s">
        <v>234</v>
      </c>
      <c r="D15" s="6" t="s">
        <v>100</v>
      </c>
      <c r="E15" s="6" t="s">
        <v>236</v>
      </c>
      <c r="F15" s="12" t="s">
        <v>238</v>
      </c>
    </row>
    <row r="16" ht="115.5" customHeight="1">
      <c r="A16" s="6" t="s">
        <v>241</v>
      </c>
      <c r="B16" s="6" t="s">
        <v>243</v>
      </c>
      <c r="C16" s="6" t="s">
        <v>246</v>
      </c>
      <c r="D16" s="6" t="s">
        <v>100</v>
      </c>
      <c r="E16" s="6" t="s">
        <v>236</v>
      </c>
      <c r="F16" s="12" t="s">
        <v>238</v>
      </c>
    </row>
    <row r="17" ht="115.5" customHeight="1">
      <c r="A17" s="6" t="s">
        <v>255</v>
      </c>
      <c r="B17" s="6" t="s">
        <v>256</v>
      </c>
      <c r="C17" s="6" t="s">
        <v>259</v>
      </c>
      <c r="D17" s="6" t="s">
        <v>100</v>
      </c>
      <c r="E17" s="6" t="s">
        <v>236</v>
      </c>
      <c r="F17" s="12" t="s">
        <v>238</v>
      </c>
    </row>
    <row r="18" ht="115.5" customHeight="1">
      <c r="A18" s="6" t="s">
        <v>264</v>
      </c>
      <c r="B18" s="6" t="s">
        <v>266</v>
      </c>
      <c r="C18" s="6" t="s">
        <v>268</v>
      </c>
      <c r="D18" s="6" t="s">
        <v>100</v>
      </c>
      <c r="E18" s="6" t="s">
        <v>172</v>
      </c>
      <c r="F18" s="12" t="s">
        <v>175</v>
      </c>
    </row>
    <row r="19" ht="115.5" customHeight="1">
      <c r="A19" s="6" t="s">
        <v>274</v>
      </c>
      <c r="B19" s="6" t="s">
        <v>276</v>
      </c>
      <c r="C19" s="6" t="s">
        <v>278</v>
      </c>
      <c r="D19" s="6" t="s">
        <v>280</v>
      </c>
      <c r="E19" s="6" t="s">
        <v>281</v>
      </c>
      <c r="F19" s="12" t="s">
        <v>284</v>
      </c>
    </row>
    <row r="20" ht="115.5" customHeight="1">
      <c r="A20" s="6" t="s">
        <v>287</v>
      </c>
      <c r="B20" s="6" t="s">
        <v>288</v>
      </c>
      <c r="C20" s="6" t="s">
        <v>290</v>
      </c>
      <c r="D20" s="6" t="s">
        <v>100</v>
      </c>
      <c r="E20" s="6" t="s">
        <v>292</v>
      </c>
      <c r="F20" s="12" t="s">
        <v>293</v>
      </c>
    </row>
    <row r="21" ht="115.5" customHeight="1">
      <c r="A21" s="6" t="s">
        <v>295</v>
      </c>
      <c r="B21" s="6" t="s">
        <v>297</v>
      </c>
      <c r="C21" s="6" t="s">
        <v>299</v>
      </c>
      <c r="D21" s="6" t="s">
        <v>100</v>
      </c>
      <c r="E21" s="6" t="s">
        <v>292</v>
      </c>
      <c r="F21" s="12" t="s">
        <v>293</v>
      </c>
    </row>
    <row r="22" ht="115.5" customHeight="1">
      <c r="A22" s="6" t="s">
        <v>310</v>
      </c>
      <c r="B22" s="6" t="s">
        <v>312</v>
      </c>
      <c r="C22" s="6" t="s">
        <v>314</v>
      </c>
      <c r="D22" s="6" t="s">
        <v>100</v>
      </c>
      <c r="E22" s="6" t="s">
        <v>281</v>
      </c>
      <c r="F22" s="12" t="s">
        <v>284</v>
      </c>
    </row>
    <row r="23" ht="115.5" customHeight="1">
      <c r="A23" s="6" t="s">
        <v>321</v>
      </c>
      <c r="B23" s="6" t="s">
        <v>323</v>
      </c>
      <c r="C23" s="6" t="s">
        <v>325</v>
      </c>
      <c r="D23" s="6" t="s">
        <v>100</v>
      </c>
      <c r="E23" s="6" t="s">
        <v>281</v>
      </c>
      <c r="F23" s="12" t="s">
        <v>284</v>
      </c>
    </row>
    <row r="24" ht="115.5" customHeight="1">
      <c r="A24" s="6" t="s">
        <v>335</v>
      </c>
      <c r="B24" s="6" t="s">
        <v>337</v>
      </c>
      <c r="C24" s="6" t="s">
        <v>340</v>
      </c>
      <c r="D24" s="6" t="s">
        <v>100</v>
      </c>
      <c r="E24" s="6" t="s">
        <v>236</v>
      </c>
      <c r="F24" s="12" t="s">
        <v>238</v>
      </c>
    </row>
    <row r="25" ht="115.5" customHeight="1">
      <c r="A25" s="6" t="s">
        <v>348</v>
      </c>
      <c r="B25" s="6" t="s">
        <v>349</v>
      </c>
      <c r="C25" s="6" t="s">
        <v>352</v>
      </c>
      <c r="D25" s="6" t="s">
        <v>100</v>
      </c>
      <c r="E25" s="6" t="s">
        <v>292</v>
      </c>
      <c r="F25" s="12" t="s">
        <v>293</v>
      </c>
    </row>
    <row r="26" ht="115.5" customHeight="1">
      <c r="A26" s="6" t="s">
        <v>359</v>
      </c>
      <c r="B26" s="6" t="s">
        <v>361</v>
      </c>
      <c r="C26" s="6" t="s">
        <v>363</v>
      </c>
      <c r="D26" s="6" t="s">
        <v>280</v>
      </c>
      <c r="E26" s="6" t="s">
        <v>29</v>
      </c>
      <c r="F26" s="12" t="s">
        <v>364</v>
      </c>
    </row>
    <row r="27" ht="115.5" customHeight="1">
      <c r="A27" s="6" t="s">
        <v>365</v>
      </c>
      <c r="B27" s="6" t="s">
        <v>367</v>
      </c>
      <c r="C27" s="6" t="s">
        <v>368</v>
      </c>
      <c r="D27" s="6" t="s">
        <v>280</v>
      </c>
      <c r="E27" s="6" t="s">
        <v>29</v>
      </c>
      <c r="F27" s="12" t="s">
        <v>364</v>
      </c>
    </row>
    <row r="28" ht="115.5" customHeight="1">
      <c r="A28" s="6" t="s">
        <v>369</v>
      </c>
      <c r="B28" s="6" t="s">
        <v>370</v>
      </c>
      <c r="C28" s="6" t="s">
        <v>371</v>
      </c>
      <c r="D28" s="6" t="s">
        <v>280</v>
      </c>
      <c r="E28" s="6" t="s">
        <v>29</v>
      </c>
      <c r="F28" s="12" t="s">
        <v>364</v>
      </c>
    </row>
    <row r="29" ht="115.5" customHeight="1">
      <c r="A29" s="6" t="s">
        <v>378</v>
      </c>
      <c r="B29" s="6" t="s">
        <v>379</v>
      </c>
      <c r="C29" s="6" t="s">
        <v>380</v>
      </c>
      <c r="D29" s="6" t="s">
        <v>280</v>
      </c>
      <c r="E29" s="6" t="s">
        <v>29</v>
      </c>
      <c r="F29" s="12" t="s">
        <v>364</v>
      </c>
    </row>
    <row r="30" ht="115.5" customHeight="1">
      <c r="A30" s="6" t="s">
        <v>382</v>
      </c>
      <c r="B30" s="6" t="s">
        <v>383</v>
      </c>
      <c r="C30" s="6" t="s">
        <v>384</v>
      </c>
      <c r="D30" s="6" t="s">
        <v>280</v>
      </c>
      <c r="E30" s="6" t="s">
        <v>29</v>
      </c>
      <c r="F30" s="12" t="s">
        <v>364</v>
      </c>
    </row>
    <row r="31" ht="115.5" customHeight="1">
      <c r="A31" s="6" t="s">
        <v>389</v>
      </c>
      <c r="B31" s="6" t="s">
        <v>390</v>
      </c>
      <c r="C31" s="6" t="s">
        <v>391</v>
      </c>
      <c r="D31" s="6" t="s">
        <v>280</v>
      </c>
      <c r="E31" s="6" t="s">
        <v>183</v>
      </c>
      <c r="F31" s="12" t="s">
        <v>186</v>
      </c>
    </row>
    <row r="32" ht="115.5" customHeight="1">
      <c r="A32" s="6" t="s">
        <v>393</v>
      </c>
      <c r="B32" s="6" t="s">
        <v>394</v>
      </c>
      <c r="C32" s="6" t="s">
        <v>395</v>
      </c>
      <c r="D32" s="6" t="s">
        <v>100</v>
      </c>
      <c r="E32" s="6" t="s">
        <v>183</v>
      </c>
      <c r="F32" s="12" t="s">
        <v>186</v>
      </c>
    </row>
    <row r="33" ht="115.5" customHeight="1">
      <c r="A33" s="6" t="s">
        <v>396</v>
      </c>
      <c r="B33" s="6" t="s">
        <v>397</v>
      </c>
      <c r="C33" s="6" t="s">
        <v>398</v>
      </c>
      <c r="D33" s="6" t="s">
        <v>100</v>
      </c>
      <c r="E33" s="6" t="s">
        <v>400</v>
      </c>
      <c r="F33" s="12" t="s">
        <v>406</v>
      </c>
    </row>
    <row r="34" ht="115.5" customHeight="1">
      <c r="A34" s="6" t="s">
        <v>407</v>
      </c>
      <c r="B34" s="6" t="s">
        <v>408</v>
      </c>
      <c r="C34" s="6" t="s">
        <v>409</v>
      </c>
      <c r="D34" s="6" t="s">
        <v>100</v>
      </c>
      <c r="E34" s="6" t="s">
        <v>159</v>
      </c>
      <c r="F34" s="12" t="s">
        <v>164</v>
      </c>
    </row>
    <row r="35" ht="115.5" customHeight="1">
      <c r="A35" s="6" t="s">
        <v>415</v>
      </c>
      <c r="B35" s="6" t="s">
        <v>417</v>
      </c>
      <c r="C35" s="6" t="s">
        <v>418</v>
      </c>
      <c r="D35" s="6" t="s">
        <v>100</v>
      </c>
      <c r="E35" s="6" t="s">
        <v>292</v>
      </c>
      <c r="F35" s="12" t="s">
        <v>293</v>
      </c>
    </row>
    <row r="36" ht="115.5" customHeight="1">
      <c r="A36" s="6" t="s">
        <v>420</v>
      </c>
      <c r="B36" s="6" t="s">
        <v>421</v>
      </c>
      <c r="C36" s="6" t="s">
        <v>423</v>
      </c>
      <c r="D36" s="6" t="s">
        <v>100</v>
      </c>
      <c r="E36" s="6" t="s">
        <v>281</v>
      </c>
      <c r="F36" s="12" t="s">
        <v>284</v>
      </c>
    </row>
    <row r="37" ht="115.5" customHeight="1">
      <c r="A37" s="6" t="s">
        <v>426</v>
      </c>
      <c r="B37" s="6" t="s">
        <v>428</v>
      </c>
      <c r="C37" s="6" t="s">
        <v>430</v>
      </c>
      <c r="D37" s="6" t="s">
        <v>100</v>
      </c>
      <c r="E37" s="6" t="s">
        <v>433</v>
      </c>
      <c r="F37" s="12" t="s">
        <v>435</v>
      </c>
    </row>
    <row r="38" ht="115.5" customHeight="1">
      <c r="A38" s="6" t="s">
        <v>436</v>
      </c>
      <c r="B38" s="6" t="s">
        <v>437</v>
      </c>
      <c r="C38" s="6" t="s">
        <v>439</v>
      </c>
      <c r="D38" s="6" t="s">
        <v>100</v>
      </c>
      <c r="E38" s="6" t="s">
        <v>281</v>
      </c>
      <c r="F38" s="12" t="s">
        <v>284</v>
      </c>
    </row>
    <row r="39" ht="115.5" customHeight="1">
      <c r="A39" s="6" t="s">
        <v>440</v>
      </c>
      <c r="B39" s="6" t="s">
        <v>441</v>
      </c>
      <c r="C39" s="6" t="s">
        <v>443</v>
      </c>
      <c r="D39" s="6" t="s">
        <v>100</v>
      </c>
      <c r="E39" s="6" t="s">
        <v>281</v>
      </c>
      <c r="F39" s="12" t="s">
        <v>284</v>
      </c>
    </row>
    <row r="40" ht="115.5" customHeight="1">
      <c r="A40" s="6" t="s">
        <v>449</v>
      </c>
      <c r="B40" s="6" t="s">
        <v>450</v>
      </c>
      <c r="C40" s="6" t="s">
        <v>451</v>
      </c>
      <c r="D40" s="6" t="s">
        <v>100</v>
      </c>
      <c r="E40" s="6" t="s">
        <v>453</v>
      </c>
      <c r="F40" s="12" t="s">
        <v>454</v>
      </c>
    </row>
    <row r="41" ht="115.5" customHeight="1">
      <c r="A41" s="6" t="s">
        <v>455</v>
      </c>
      <c r="B41" s="6" t="s">
        <v>457</v>
      </c>
      <c r="C41" s="6" t="s">
        <v>458</v>
      </c>
      <c r="D41" s="6" t="s">
        <v>100</v>
      </c>
      <c r="E41" s="6" t="s">
        <v>433</v>
      </c>
      <c r="F41" s="12" t="s">
        <v>435</v>
      </c>
    </row>
    <row r="42" ht="115.5" customHeight="1">
      <c r="A42" s="6" t="s">
        <v>459</v>
      </c>
      <c r="B42" s="6" t="s">
        <v>460</v>
      </c>
      <c r="C42" s="6" t="s">
        <v>462</v>
      </c>
      <c r="D42" s="6" t="s">
        <v>280</v>
      </c>
      <c r="E42" s="6" t="s">
        <v>29</v>
      </c>
      <c r="F42" s="12" t="s">
        <v>364</v>
      </c>
    </row>
    <row r="43" ht="115.5" customHeight="1">
      <c r="A43" s="6" t="s">
        <v>466</v>
      </c>
      <c r="B43" s="6" t="s">
        <v>468</v>
      </c>
      <c r="C43" s="6" t="s">
        <v>470</v>
      </c>
      <c r="D43" s="6" t="s">
        <v>471</v>
      </c>
      <c r="E43" s="6" t="s">
        <v>29</v>
      </c>
      <c r="F43" s="12" t="s">
        <v>364</v>
      </c>
    </row>
    <row r="44" ht="115.5" customHeight="1">
      <c r="A44" s="6" t="s">
        <v>474</v>
      </c>
      <c r="B44" s="6" t="s">
        <v>475</v>
      </c>
      <c r="C44" s="6" t="s">
        <v>476</v>
      </c>
      <c r="D44" s="6" t="s">
        <v>280</v>
      </c>
      <c r="E44" s="6" t="s">
        <v>29</v>
      </c>
      <c r="F44" s="12" t="s">
        <v>364</v>
      </c>
    </row>
    <row r="45" ht="115.5" customHeight="1">
      <c r="A45" s="6" t="s">
        <v>477</v>
      </c>
      <c r="B45" s="6" t="s">
        <v>478</v>
      </c>
      <c r="C45" s="6" t="s">
        <v>480</v>
      </c>
      <c r="D45" s="6" t="s">
        <v>100</v>
      </c>
      <c r="E45" s="6" t="s">
        <v>482</v>
      </c>
      <c r="F45" s="12" t="s">
        <v>485</v>
      </c>
    </row>
    <row r="46" ht="115.5" customHeight="1">
      <c r="A46" s="6" t="s">
        <v>487</v>
      </c>
      <c r="B46" s="6" t="s">
        <v>488</v>
      </c>
      <c r="C46" s="6" t="s">
        <v>489</v>
      </c>
      <c r="D46" s="6" t="s">
        <v>100</v>
      </c>
      <c r="E46" s="6" t="s">
        <v>136</v>
      </c>
      <c r="F46" s="12" t="s">
        <v>139</v>
      </c>
    </row>
    <row r="47" ht="115.5" customHeight="1">
      <c r="A47" s="6" t="s">
        <v>491</v>
      </c>
      <c r="B47" s="6" t="s">
        <v>492</v>
      </c>
      <c r="C47" s="6" t="s">
        <v>493</v>
      </c>
      <c r="D47" s="6" t="s">
        <v>100</v>
      </c>
      <c r="E47" s="6" t="s">
        <v>183</v>
      </c>
      <c r="F47" s="12" t="s">
        <v>186</v>
      </c>
    </row>
    <row r="48" ht="115.5" customHeight="1">
      <c r="A48" s="6" t="s">
        <v>496</v>
      </c>
      <c r="B48" s="6" t="s">
        <v>498</v>
      </c>
      <c r="C48" s="6" t="s">
        <v>500</v>
      </c>
      <c r="D48" s="6" t="s">
        <v>100</v>
      </c>
      <c r="E48" s="6" t="s">
        <v>236</v>
      </c>
      <c r="F48" s="12" t="s">
        <v>238</v>
      </c>
    </row>
    <row r="49" ht="115.5" customHeight="1">
      <c r="A49" s="6" t="s">
        <v>502</v>
      </c>
      <c r="B49" s="6" t="s">
        <v>504</v>
      </c>
      <c r="C49" s="6" t="s">
        <v>505</v>
      </c>
      <c r="D49" s="6" t="s">
        <v>280</v>
      </c>
      <c r="E49" s="6" t="s">
        <v>29</v>
      </c>
      <c r="F49" s="12" t="s">
        <v>364</v>
      </c>
    </row>
    <row r="50" ht="115.5" customHeight="1">
      <c r="A50" s="6" t="s">
        <v>506</v>
      </c>
      <c r="B50" s="6" t="s">
        <v>507</v>
      </c>
      <c r="C50" s="6" t="s">
        <v>508</v>
      </c>
      <c r="D50" s="6" t="s">
        <v>100</v>
      </c>
      <c r="E50" s="6" t="s">
        <v>511</v>
      </c>
      <c r="F50" s="12" t="s">
        <v>515</v>
      </c>
    </row>
    <row r="51" ht="115.5" customHeight="1">
      <c r="A51" s="6" t="s">
        <v>516</v>
      </c>
      <c r="B51" s="6" t="s">
        <v>517</v>
      </c>
      <c r="C51" s="6" t="s">
        <v>518</v>
      </c>
      <c r="D51" s="6" t="s">
        <v>519</v>
      </c>
      <c r="E51" s="6" t="s">
        <v>37</v>
      </c>
      <c r="F51" s="12" t="s">
        <v>521</v>
      </c>
    </row>
    <row r="52" ht="115.5" customHeight="1">
      <c r="A52" s="6" t="s">
        <v>522</v>
      </c>
      <c r="B52" s="6" t="s">
        <v>523</v>
      </c>
      <c r="C52" s="6" t="s">
        <v>524</v>
      </c>
      <c r="D52" s="6" t="s">
        <v>525</v>
      </c>
      <c r="E52" s="6" t="s">
        <v>37</v>
      </c>
      <c r="F52" s="12" t="s">
        <v>521</v>
      </c>
    </row>
    <row r="53" ht="115.5" customHeight="1">
      <c r="A53" s="6" t="s">
        <v>527</v>
      </c>
      <c r="B53" s="6" t="s">
        <v>529</v>
      </c>
      <c r="C53" s="6" t="s">
        <v>531</v>
      </c>
      <c r="D53" s="6" t="s">
        <v>525</v>
      </c>
      <c r="E53" s="6" t="s">
        <v>37</v>
      </c>
      <c r="F53" s="12" t="s">
        <v>521</v>
      </c>
    </row>
    <row r="54" ht="115.5" customHeight="1">
      <c r="A54" s="6" t="s">
        <v>533</v>
      </c>
      <c r="B54" s="6" t="s">
        <v>534</v>
      </c>
      <c r="C54" s="6" t="s">
        <v>536</v>
      </c>
      <c r="D54" s="6" t="s">
        <v>525</v>
      </c>
      <c r="E54" s="6" t="s">
        <v>37</v>
      </c>
      <c r="F54" s="12" t="s">
        <v>521</v>
      </c>
    </row>
    <row r="55" ht="115.5" customHeight="1">
      <c r="A55" s="6" t="s">
        <v>537</v>
      </c>
      <c r="B55" s="6" t="s">
        <v>538</v>
      </c>
      <c r="C55" s="6" t="s">
        <v>539</v>
      </c>
      <c r="D55" s="6" t="s">
        <v>525</v>
      </c>
      <c r="E55" s="6" t="s">
        <v>37</v>
      </c>
      <c r="F55" s="12" t="s">
        <v>521</v>
      </c>
    </row>
    <row r="56" ht="115.5" customHeight="1">
      <c r="A56" s="6" t="s">
        <v>540</v>
      </c>
      <c r="B56" s="6" t="s">
        <v>541</v>
      </c>
      <c r="C56" s="6" t="s">
        <v>543</v>
      </c>
      <c r="D56" s="6" t="s">
        <v>525</v>
      </c>
      <c r="E56" s="6" t="s">
        <v>37</v>
      </c>
      <c r="F56" s="12" t="s">
        <v>521</v>
      </c>
    </row>
    <row r="57" ht="115.5" customHeight="1">
      <c r="A57" s="6" t="s">
        <v>547</v>
      </c>
      <c r="B57" s="6" t="s">
        <v>548</v>
      </c>
      <c r="C57" s="6" t="s">
        <v>549</v>
      </c>
      <c r="D57" s="6" t="s">
        <v>525</v>
      </c>
      <c r="E57" s="6" t="s">
        <v>37</v>
      </c>
      <c r="F57" s="12" t="s">
        <v>521</v>
      </c>
    </row>
    <row r="58" ht="115.5" customHeight="1">
      <c r="A58" s="6" t="s">
        <v>550</v>
      </c>
      <c r="B58" s="6" t="s">
        <v>551</v>
      </c>
      <c r="C58" s="6" t="s">
        <v>553</v>
      </c>
      <c r="D58" s="6" t="s">
        <v>525</v>
      </c>
      <c r="E58" s="6" t="s">
        <v>37</v>
      </c>
      <c r="F58" s="12" t="s">
        <v>521</v>
      </c>
    </row>
    <row r="59" ht="115.5" customHeight="1">
      <c r="A59" s="6" t="s">
        <v>554</v>
      </c>
      <c r="B59" s="6" t="s">
        <v>555</v>
      </c>
      <c r="C59" s="6" t="s">
        <v>556</v>
      </c>
      <c r="D59" s="6" t="s">
        <v>525</v>
      </c>
      <c r="E59" s="6" t="s">
        <v>37</v>
      </c>
      <c r="F59" s="12" t="s">
        <v>521</v>
      </c>
    </row>
    <row r="60" ht="115.5" customHeight="1">
      <c r="A60" s="6" t="s">
        <v>557</v>
      </c>
      <c r="B60" s="6" t="s">
        <v>559</v>
      </c>
      <c r="C60" s="6" t="s">
        <v>561</v>
      </c>
      <c r="D60" s="6" t="s">
        <v>100</v>
      </c>
      <c r="E60" s="6" t="s">
        <v>159</v>
      </c>
      <c r="F60" s="9" t="s">
        <v>164</v>
      </c>
    </row>
    <row r="61" ht="115.5" customHeight="1">
      <c r="A61" s="14" t="s">
        <v>565</v>
      </c>
      <c r="B61" s="14" t="s">
        <v>571</v>
      </c>
      <c r="C61" s="14" t="s">
        <v>573</v>
      </c>
      <c r="D61" s="14" t="s">
        <v>100</v>
      </c>
      <c r="E61" s="14" t="s">
        <v>236</v>
      </c>
      <c r="F61" s="13" t="s">
        <v>238</v>
      </c>
    </row>
    <row r="62" ht="115.5" customHeight="1">
      <c r="A62" s="6"/>
      <c r="B62" s="6"/>
      <c r="C62" s="6"/>
      <c r="D62" s="6"/>
      <c r="E62" s="6"/>
      <c r="F62" s="12"/>
    </row>
    <row r="63" ht="115.5" customHeight="1">
      <c r="A63" s="6"/>
      <c r="B63" s="6"/>
      <c r="C63" s="6"/>
      <c r="D63" s="6"/>
      <c r="E63" s="6"/>
      <c r="F63" s="12"/>
    </row>
    <row r="64" ht="115.5" customHeight="1">
      <c r="A64" s="6"/>
      <c r="B64" s="6"/>
      <c r="C64" s="6"/>
      <c r="D64" s="6"/>
      <c r="E64" s="6"/>
      <c r="F64" s="12"/>
    </row>
    <row r="65" ht="115.5" customHeight="1">
      <c r="A65" s="6"/>
      <c r="B65" s="6"/>
      <c r="C65" s="6"/>
      <c r="D65" s="6"/>
      <c r="E65" s="6"/>
      <c r="F65" s="12"/>
    </row>
    <row r="66" ht="115.5" customHeight="1">
      <c r="A66" s="6"/>
      <c r="B66" s="6"/>
      <c r="C66" s="6"/>
      <c r="D66" s="6"/>
      <c r="E66" s="6"/>
      <c r="F66" s="12"/>
    </row>
    <row r="67" ht="115.5" customHeight="1">
      <c r="A67" s="6"/>
      <c r="B67" s="6"/>
      <c r="C67" s="6"/>
      <c r="D67" s="6"/>
      <c r="E67" s="6"/>
      <c r="F67" s="12"/>
    </row>
    <row r="68" ht="115.5" customHeight="1">
      <c r="A68" s="6"/>
      <c r="B68" s="6"/>
      <c r="C68" s="6"/>
      <c r="D68" s="6"/>
      <c r="E68" s="6"/>
      <c r="F68" s="12"/>
    </row>
    <row r="69" ht="115.5" customHeight="1">
      <c r="A69" s="6"/>
      <c r="B69" s="6"/>
      <c r="C69" s="6"/>
      <c r="D69" s="6"/>
      <c r="E69" s="6"/>
      <c r="F69" s="12"/>
    </row>
    <row r="70" ht="115.5" customHeight="1">
      <c r="A70" s="6"/>
      <c r="B70" s="6"/>
      <c r="C70" s="6"/>
      <c r="D70" s="6"/>
      <c r="E70" s="6"/>
      <c r="F70" s="12"/>
    </row>
    <row r="71" ht="115.5" customHeight="1">
      <c r="A71" s="6"/>
      <c r="B71" s="6"/>
      <c r="C71" s="6"/>
      <c r="D71" s="6"/>
      <c r="E71" s="6"/>
      <c r="F71" s="12"/>
    </row>
    <row r="72" ht="115.5" customHeight="1">
      <c r="A72" s="6"/>
      <c r="B72" s="6"/>
      <c r="C72" s="6"/>
      <c r="D72" s="6"/>
      <c r="E72" s="6"/>
      <c r="F72" s="12"/>
    </row>
    <row r="73" ht="115.5" customHeight="1">
      <c r="A73" s="6"/>
      <c r="B73" s="6"/>
      <c r="C73" s="6"/>
      <c r="D73" s="6"/>
      <c r="E73" s="6"/>
      <c r="F73" s="12"/>
    </row>
    <row r="74" ht="115.5" customHeight="1">
      <c r="A74" s="6"/>
      <c r="B74" s="6"/>
      <c r="C74" s="6"/>
      <c r="D74" s="6"/>
      <c r="E74" s="6"/>
      <c r="F74" s="12"/>
    </row>
    <row r="75" ht="115.5" customHeight="1">
      <c r="A75" s="6"/>
      <c r="B75" s="6"/>
      <c r="C75" s="6"/>
      <c r="D75" s="6"/>
      <c r="E75" s="6"/>
      <c r="F75" s="12"/>
    </row>
    <row r="76" ht="115.5" customHeight="1">
      <c r="A76" s="6"/>
      <c r="B76" s="6"/>
      <c r="C76" s="6"/>
      <c r="D76" s="6"/>
      <c r="E76" s="6"/>
      <c r="F76" s="12"/>
    </row>
    <row r="77" ht="115.5" customHeight="1">
      <c r="A77" s="6"/>
      <c r="B77" s="6"/>
      <c r="C77" s="6"/>
      <c r="D77" s="6"/>
      <c r="E77" s="6"/>
      <c r="F77" s="12"/>
    </row>
    <row r="78" ht="115.5" customHeight="1">
      <c r="A78" s="6"/>
      <c r="B78" s="6"/>
      <c r="C78" s="6"/>
      <c r="D78" s="6"/>
      <c r="E78" s="6"/>
      <c r="F78" s="12"/>
    </row>
    <row r="79" ht="115.5" customHeight="1">
      <c r="A79" s="6"/>
      <c r="B79" s="6"/>
      <c r="C79" s="6"/>
      <c r="D79" s="6"/>
      <c r="E79" s="6"/>
      <c r="F79" s="12"/>
    </row>
    <row r="80" ht="115.5" customHeight="1">
      <c r="A80" s="6"/>
      <c r="B80" s="6"/>
      <c r="C80" s="6"/>
      <c r="D80" s="6"/>
      <c r="E80" s="6"/>
      <c r="F80" s="12"/>
    </row>
    <row r="81" ht="115.5" customHeight="1">
      <c r="A81" s="6"/>
      <c r="B81" s="6"/>
      <c r="C81" s="6"/>
      <c r="D81" s="6"/>
      <c r="E81" s="6"/>
      <c r="F81" s="12"/>
    </row>
    <row r="82" ht="115.5" customHeight="1">
      <c r="A82" s="6"/>
      <c r="B82" s="6"/>
      <c r="C82" s="6"/>
      <c r="D82" s="6"/>
      <c r="E82" s="6"/>
      <c r="F82" s="12"/>
    </row>
    <row r="83" ht="115.5" customHeight="1">
      <c r="A83" s="6"/>
      <c r="B83" s="6"/>
      <c r="C83" s="6"/>
      <c r="D83" s="6"/>
      <c r="E83" s="6"/>
      <c r="F83" s="12"/>
    </row>
    <row r="84" ht="115.5" customHeight="1">
      <c r="A84" s="6"/>
      <c r="B84" s="6"/>
      <c r="C84" s="6"/>
      <c r="D84" s="6"/>
      <c r="E84" s="6"/>
      <c r="F84" s="12"/>
    </row>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F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46.0"/>
    <col customWidth="1" min="3" max="3" width="24.0"/>
    <col customWidth="1" min="4" max="4" width="60.0"/>
    <col customWidth="1" min="5" max="5" width="58.0"/>
    <col customWidth="1" min="6" max="26" width="8.88"/>
  </cols>
  <sheetData>
    <row r="1" ht="13.5" customHeight="1">
      <c r="A1" s="1" t="s">
        <v>0</v>
      </c>
      <c r="B1" s="2"/>
      <c r="C1" s="2"/>
      <c r="D1" s="2"/>
      <c r="E1" s="3"/>
    </row>
    <row r="2" ht="13.5" customHeight="1"/>
    <row r="3" ht="13.5" customHeight="1">
      <c r="A3" s="4" t="s">
        <v>4</v>
      </c>
      <c r="B3" s="4" t="s">
        <v>6</v>
      </c>
      <c r="C3" s="4" t="s">
        <v>7</v>
      </c>
      <c r="D3" s="4" t="s">
        <v>8</v>
      </c>
      <c r="E3" s="4" t="s">
        <v>9</v>
      </c>
    </row>
    <row r="4" ht="88.5" customHeight="1">
      <c r="A4" s="6" t="s">
        <v>11</v>
      </c>
      <c r="B4" s="6" t="s">
        <v>12</v>
      </c>
      <c r="C4" s="6" t="s">
        <v>13</v>
      </c>
      <c r="D4" s="6" t="s">
        <v>15</v>
      </c>
      <c r="E4" s="6" t="s">
        <v>16</v>
      </c>
    </row>
    <row r="5" ht="88.5" customHeight="1">
      <c r="A5" s="6" t="s">
        <v>19</v>
      </c>
      <c r="B5" s="6" t="s">
        <v>20</v>
      </c>
      <c r="C5" s="6" t="s">
        <v>21</v>
      </c>
      <c r="D5" s="6" t="s">
        <v>22</v>
      </c>
      <c r="E5" s="6" t="s">
        <v>23</v>
      </c>
    </row>
    <row r="6" ht="88.5" customHeight="1">
      <c r="A6" s="6" t="s">
        <v>24</v>
      </c>
      <c r="B6" s="6" t="s">
        <v>25</v>
      </c>
      <c r="C6" s="6" t="s">
        <v>26</v>
      </c>
      <c r="D6" s="6" t="s">
        <v>27</v>
      </c>
      <c r="E6" s="6" t="s">
        <v>28</v>
      </c>
    </row>
    <row r="7" ht="88.5" customHeight="1">
      <c r="A7" s="6" t="s">
        <v>29</v>
      </c>
      <c r="B7" s="6" t="s">
        <v>30</v>
      </c>
      <c r="C7" s="6" t="s">
        <v>32</v>
      </c>
      <c r="D7" s="6" t="s">
        <v>33</v>
      </c>
      <c r="E7" s="6" t="s">
        <v>35</v>
      </c>
    </row>
    <row r="8" ht="88.5" customHeight="1">
      <c r="A8" s="6" t="s">
        <v>37</v>
      </c>
      <c r="B8" s="6" t="s">
        <v>38</v>
      </c>
      <c r="C8" s="6" t="s">
        <v>40</v>
      </c>
      <c r="D8" s="6" t="s">
        <v>41</v>
      </c>
      <c r="E8" s="6" t="s">
        <v>42</v>
      </c>
    </row>
    <row r="9" ht="88.5" customHeight="1">
      <c r="A9" s="6" t="s">
        <v>44</v>
      </c>
      <c r="B9" s="6" t="s">
        <v>45</v>
      </c>
      <c r="C9" s="6" t="s">
        <v>46</v>
      </c>
      <c r="D9" s="6" t="s">
        <v>47</v>
      </c>
      <c r="E9" s="6" t="s">
        <v>50</v>
      </c>
    </row>
    <row r="10" ht="88.5" customHeight="1">
      <c r="A10" s="6" t="s">
        <v>53</v>
      </c>
      <c r="B10" s="6" t="s">
        <v>56</v>
      </c>
      <c r="C10" s="6" t="s">
        <v>58</v>
      </c>
      <c r="D10" s="6" t="s">
        <v>60</v>
      </c>
      <c r="E10" s="6" t="s">
        <v>83</v>
      </c>
    </row>
    <row r="11" ht="88.5" customHeight="1">
      <c r="A11" s="6" t="s">
        <v>87</v>
      </c>
      <c r="B11" s="6" t="s">
        <v>89</v>
      </c>
      <c r="C11" s="6" t="s">
        <v>91</v>
      </c>
      <c r="D11" s="6" t="s">
        <v>94</v>
      </c>
      <c r="E11" s="6" t="s">
        <v>97</v>
      </c>
    </row>
    <row r="12" ht="88.5" customHeight="1">
      <c r="A12" s="6" t="s">
        <v>101</v>
      </c>
      <c r="B12" s="6" t="s">
        <v>104</v>
      </c>
      <c r="C12" s="6" t="s">
        <v>106</v>
      </c>
      <c r="D12" s="6" t="s">
        <v>108</v>
      </c>
      <c r="E12" s="6" t="s">
        <v>110</v>
      </c>
    </row>
    <row r="13" ht="88.5" customHeight="1">
      <c r="A13" s="6" t="s">
        <v>113</v>
      </c>
      <c r="B13" s="6" t="s">
        <v>115</v>
      </c>
      <c r="C13" s="6" t="s">
        <v>117</v>
      </c>
      <c r="D13" s="6" t="s">
        <v>120</v>
      </c>
      <c r="E13" s="6" t="s">
        <v>122</v>
      </c>
    </row>
    <row r="14" ht="13.5" customHeight="1">
      <c r="A14" s="12" t="s">
        <v>126</v>
      </c>
      <c r="B14" s="12" t="s">
        <v>130</v>
      </c>
      <c r="C14" s="12" t="s">
        <v>132</v>
      </c>
      <c r="D14" s="12" t="s">
        <v>135</v>
      </c>
      <c r="E14" s="12" t="s">
        <v>138</v>
      </c>
    </row>
    <row r="15" ht="13.5" customHeight="1">
      <c r="A15" s="12"/>
      <c r="B15" s="12"/>
      <c r="C15" s="12"/>
      <c r="D15" s="12"/>
      <c r="E15" s="12"/>
    </row>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E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24.0"/>
    <col customWidth="1" min="3" max="3" width="38.0"/>
    <col customWidth="1" min="4" max="4" width="46.0"/>
    <col customWidth="1" min="5" max="5" width="55.0"/>
    <col customWidth="1" min="6" max="6" width="32.0"/>
    <col customWidth="1" min="7" max="7" width="20.0"/>
    <col customWidth="1" min="8" max="8" width="44.0"/>
    <col customWidth="1" min="9" max="26" width="8.88"/>
  </cols>
  <sheetData>
    <row r="1" ht="49.5" customHeight="1">
      <c r="A1" s="15" t="s">
        <v>576</v>
      </c>
      <c r="B1" s="2"/>
      <c r="C1" s="2"/>
      <c r="D1" s="2"/>
      <c r="E1" s="2"/>
      <c r="F1" s="2"/>
      <c r="G1" s="2"/>
      <c r="H1" s="3"/>
    </row>
    <row r="2" ht="74.25" customHeight="1">
      <c r="A2" s="16" t="s">
        <v>589</v>
      </c>
      <c r="B2" s="2"/>
      <c r="C2" s="2"/>
      <c r="D2" s="2"/>
      <c r="E2" s="2"/>
      <c r="F2" s="2"/>
      <c r="G2" s="2"/>
      <c r="H2" s="3"/>
    </row>
    <row r="3" ht="13.5" customHeight="1">
      <c r="A3" s="17"/>
      <c r="B3" s="17"/>
      <c r="C3" s="17"/>
      <c r="D3" s="17"/>
      <c r="E3" s="17"/>
      <c r="F3" s="17"/>
      <c r="G3" s="17"/>
      <c r="H3" s="17"/>
    </row>
    <row r="4" ht="60.0" customHeight="1">
      <c r="A4" s="18" t="s">
        <v>599</v>
      </c>
      <c r="B4" s="18" t="s">
        <v>602</v>
      </c>
      <c r="C4" s="18" t="s">
        <v>604</v>
      </c>
      <c r="D4" s="18" t="s">
        <v>606</v>
      </c>
      <c r="E4" s="18" t="s">
        <v>608</v>
      </c>
      <c r="F4" s="18" t="s">
        <v>609</v>
      </c>
      <c r="G4" s="18" t="s">
        <v>620</v>
      </c>
      <c r="H4" s="18" t="s">
        <v>93</v>
      </c>
    </row>
    <row r="5" ht="102.75" customHeight="1">
      <c r="A5" s="6" t="s">
        <v>625</v>
      </c>
      <c r="B5" s="6" t="s">
        <v>626</v>
      </c>
      <c r="C5" s="6" t="s">
        <v>627</v>
      </c>
      <c r="D5" s="6" t="s">
        <v>628</v>
      </c>
      <c r="E5" s="6" t="s">
        <v>629</v>
      </c>
      <c r="F5" s="6"/>
      <c r="G5" s="6" t="s">
        <v>145</v>
      </c>
      <c r="H5" s="6"/>
    </row>
    <row r="6" ht="102.75" customHeight="1">
      <c r="A6" s="6" t="s">
        <v>635</v>
      </c>
      <c r="B6" s="6" t="s">
        <v>626</v>
      </c>
      <c r="C6" s="6" t="s">
        <v>638</v>
      </c>
      <c r="D6" s="6" t="s">
        <v>639</v>
      </c>
      <c r="E6" s="6" t="s">
        <v>640</v>
      </c>
      <c r="F6" s="6"/>
      <c r="G6" s="6" t="s">
        <v>145</v>
      </c>
      <c r="H6" s="6"/>
    </row>
    <row r="7" ht="102.75" customHeight="1">
      <c r="A7" s="6" t="s">
        <v>646</v>
      </c>
      <c r="B7" s="6" t="s">
        <v>647</v>
      </c>
      <c r="C7" s="6" t="s">
        <v>648</v>
      </c>
      <c r="D7" s="6" t="s">
        <v>649</v>
      </c>
      <c r="E7" s="6" t="s">
        <v>652</v>
      </c>
      <c r="F7" s="6"/>
      <c r="G7" s="6" t="s">
        <v>145</v>
      </c>
      <c r="H7" s="6"/>
    </row>
    <row r="8" ht="102.75" customHeight="1">
      <c r="A8" s="6" t="s">
        <v>442</v>
      </c>
      <c r="B8" s="6" t="s">
        <v>647</v>
      </c>
      <c r="C8" s="6" t="s">
        <v>657</v>
      </c>
      <c r="D8" s="6" t="s">
        <v>658</v>
      </c>
      <c r="E8" s="6" t="s">
        <v>659</v>
      </c>
      <c r="F8" s="6"/>
      <c r="G8" s="6" t="s">
        <v>145</v>
      </c>
      <c r="H8" s="6"/>
    </row>
    <row r="9" ht="102.75" customHeight="1">
      <c r="A9" s="6" t="s">
        <v>665</v>
      </c>
      <c r="B9" s="6" t="s">
        <v>667</v>
      </c>
      <c r="C9" s="6" t="s">
        <v>668</v>
      </c>
      <c r="D9" s="6" t="s">
        <v>670</v>
      </c>
      <c r="E9" s="6" t="s">
        <v>671</v>
      </c>
      <c r="F9" s="6"/>
      <c r="G9" s="6" t="s">
        <v>145</v>
      </c>
      <c r="H9" s="6"/>
    </row>
    <row r="10" ht="102.75" customHeight="1">
      <c r="A10" s="6" t="s">
        <v>673</v>
      </c>
      <c r="B10" s="6" t="s">
        <v>647</v>
      </c>
      <c r="C10" s="6" t="s">
        <v>677</v>
      </c>
      <c r="D10" s="6" t="s">
        <v>679</v>
      </c>
      <c r="E10" s="6" t="s">
        <v>680</v>
      </c>
      <c r="F10" s="6"/>
      <c r="G10" s="6" t="s">
        <v>145</v>
      </c>
      <c r="H10" s="6"/>
    </row>
    <row r="11" ht="102.75" customHeight="1">
      <c r="A11" s="6" t="s">
        <v>682</v>
      </c>
      <c r="B11" s="6" t="s">
        <v>683</v>
      </c>
      <c r="C11" s="6" t="s">
        <v>684</v>
      </c>
      <c r="D11" s="6" t="s">
        <v>686</v>
      </c>
      <c r="E11" s="6" t="s">
        <v>688</v>
      </c>
      <c r="F11" s="6"/>
      <c r="G11" s="6" t="s">
        <v>145</v>
      </c>
      <c r="H11" s="6"/>
    </row>
    <row r="12" ht="102.75" customHeight="1">
      <c r="A12" s="6" t="s">
        <v>692</v>
      </c>
      <c r="B12" s="6" t="s">
        <v>693</v>
      </c>
      <c r="C12" s="6" t="s">
        <v>695</v>
      </c>
      <c r="D12" s="6" t="s">
        <v>696</v>
      </c>
      <c r="E12" s="6" t="s">
        <v>697</v>
      </c>
      <c r="F12" s="6" t="s">
        <v>698</v>
      </c>
      <c r="G12" s="6" t="s">
        <v>145</v>
      </c>
      <c r="H12" s="6"/>
    </row>
    <row r="13" ht="102.75" customHeight="1">
      <c r="A13" s="6"/>
      <c r="B13" s="6"/>
      <c r="C13" s="6"/>
      <c r="D13" s="6"/>
      <c r="E13" s="6"/>
      <c r="F13" s="6"/>
      <c r="G13" s="6"/>
      <c r="H13" s="6"/>
    </row>
    <row r="14" ht="102.75" customHeight="1">
      <c r="A14" s="6"/>
      <c r="B14" s="6"/>
      <c r="C14" s="6"/>
      <c r="D14" s="6"/>
      <c r="E14" s="6"/>
      <c r="F14" s="6"/>
      <c r="G14" s="6"/>
      <c r="H14" s="6"/>
    </row>
    <row r="15" ht="102.75" customHeight="1">
      <c r="A15" s="6"/>
      <c r="B15" s="6"/>
      <c r="C15" s="6"/>
      <c r="D15" s="6"/>
      <c r="E15" s="6"/>
      <c r="F15" s="6"/>
      <c r="G15" s="6"/>
      <c r="H15" s="6"/>
    </row>
    <row r="16" ht="102.75" customHeight="1">
      <c r="A16" s="6"/>
      <c r="B16" s="6"/>
      <c r="C16" s="6"/>
      <c r="D16" s="6"/>
      <c r="E16" s="6"/>
      <c r="F16" s="6"/>
      <c r="G16" s="6"/>
      <c r="H16" s="6"/>
    </row>
    <row r="17" ht="102.75" customHeight="1">
      <c r="A17" s="6"/>
      <c r="B17" s="6"/>
      <c r="C17" s="6"/>
      <c r="D17" s="6"/>
      <c r="E17" s="6"/>
      <c r="F17" s="6"/>
      <c r="G17" s="6"/>
      <c r="H17" s="6"/>
    </row>
    <row r="18" ht="102.75" customHeight="1">
      <c r="A18" s="6"/>
      <c r="B18" s="6"/>
      <c r="C18" s="6"/>
      <c r="D18" s="6"/>
      <c r="E18" s="6"/>
      <c r="F18" s="6"/>
      <c r="G18" s="6"/>
      <c r="H18" s="6"/>
    </row>
    <row r="19" ht="102.75" customHeight="1">
      <c r="A19" s="6"/>
      <c r="B19" s="6"/>
      <c r="C19" s="6"/>
      <c r="D19" s="6"/>
      <c r="E19" s="6"/>
      <c r="F19" s="6"/>
      <c r="G19" s="6"/>
      <c r="H19" s="6"/>
    </row>
    <row r="20" ht="102.75" customHeight="1">
      <c r="A20" s="6"/>
      <c r="B20" s="6"/>
      <c r="C20" s="6"/>
      <c r="D20" s="6"/>
      <c r="E20" s="6"/>
      <c r="F20" s="6"/>
      <c r="G20" s="6"/>
      <c r="H20" s="6"/>
    </row>
    <row r="21" ht="102.75" customHeight="1">
      <c r="A21" s="6"/>
      <c r="B21" s="6"/>
      <c r="C21" s="6"/>
      <c r="D21" s="6"/>
      <c r="E21" s="6"/>
      <c r="F21" s="6"/>
      <c r="G21" s="6"/>
      <c r="H21" s="6"/>
    </row>
    <row r="22" ht="102.75" customHeight="1">
      <c r="A22" s="6"/>
      <c r="B22" s="6"/>
      <c r="C22" s="6"/>
      <c r="D22" s="6"/>
      <c r="E22" s="6"/>
      <c r="F22" s="6"/>
      <c r="G22" s="6"/>
      <c r="H22" s="6"/>
    </row>
    <row r="23" ht="102.75" customHeight="1">
      <c r="A23" s="6"/>
      <c r="B23" s="6"/>
      <c r="C23" s="6"/>
      <c r="D23" s="6"/>
      <c r="E23" s="6"/>
      <c r="F23" s="6"/>
      <c r="G23" s="6"/>
      <c r="H23" s="6"/>
    </row>
    <row r="24" ht="106.5" customHeight="1">
      <c r="A24" s="6"/>
      <c r="B24" s="6"/>
      <c r="C24" s="6"/>
      <c r="D24" s="6"/>
      <c r="E24" s="6"/>
      <c r="F24" s="6"/>
      <c r="G24" s="6"/>
      <c r="H24" s="6"/>
    </row>
    <row r="25" ht="106.5" customHeight="1">
      <c r="A25" s="6"/>
      <c r="B25" s="6"/>
      <c r="C25" s="6"/>
      <c r="D25" s="6"/>
      <c r="E25" s="6"/>
      <c r="F25" s="6"/>
      <c r="G25" s="6"/>
      <c r="H25" s="6"/>
    </row>
    <row r="26" ht="106.5" customHeight="1">
      <c r="A26" s="6"/>
      <c r="B26" s="6"/>
      <c r="C26" s="6"/>
      <c r="D26" s="6"/>
      <c r="E26" s="6"/>
      <c r="F26" s="6"/>
      <c r="G26" s="6"/>
      <c r="H26" s="6"/>
    </row>
    <row r="27" ht="106.5" customHeight="1">
      <c r="A27" s="6"/>
      <c r="B27" s="6"/>
      <c r="C27" s="6"/>
      <c r="D27" s="6"/>
      <c r="E27" s="6"/>
      <c r="F27" s="6"/>
      <c r="G27" s="6"/>
      <c r="H27" s="6"/>
    </row>
    <row r="28" ht="106.5" customHeight="1">
      <c r="A28" s="6"/>
      <c r="B28" s="6"/>
      <c r="C28" s="6"/>
      <c r="D28" s="6"/>
      <c r="E28" s="6"/>
      <c r="F28" s="6"/>
      <c r="G28" s="6"/>
      <c r="H28" s="6"/>
    </row>
    <row r="29" ht="106.5" customHeight="1">
      <c r="A29" s="6"/>
      <c r="B29" s="6"/>
      <c r="C29" s="6"/>
      <c r="D29" s="6"/>
      <c r="E29" s="6"/>
      <c r="F29" s="6"/>
      <c r="G29" s="6"/>
      <c r="H29" s="6"/>
    </row>
    <row r="30" ht="106.5" customHeight="1">
      <c r="A30" s="6"/>
      <c r="B30" s="6"/>
      <c r="C30" s="6"/>
      <c r="D30" s="6"/>
      <c r="E30" s="6"/>
      <c r="F30" s="6"/>
      <c r="G30" s="6"/>
      <c r="H30" s="6"/>
    </row>
    <row r="31" ht="106.5" customHeight="1">
      <c r="A31" s="6"/>
      <c r="B31" s="6"/>
      <c r="C31" s="6"/>
      <c r="D31" s="6"/>
      <c r="E31" s="6"/>
      <c r="F31" s="6"/>
      <c r="G31" s="6"/>
      <c r="H31" s="6"/>
    </row>
    <row r="32" ht="106.5" customHeight="1">
      <c r="A32" s="6"/>
      <c r="B32" s="6"/>
      <c r="C32" s="6"/>
      <c r="D32" s="6"/>
      <c r="E32" s="6"/>
      <c r="F32" s="6"/>
      <c r="G32" s="6"/>
      <c r="H32" s="6"/>
    </row>
    <row r="33" ht="106.5" customHeight="1">
      <c r="A33" s="6"/>
      <c r="B33" s="6"/>
      <c r="C33" s="6"/>
      <c r="D33" s="6"/>
      <c r="E33" s="6"/>
      <c r="F33" s="6"/>
      <c r="G33" s="6"/>
      <c r="H33" s="6"/>
    </row>
    <row r="34" ht="106.5" customHeight="1">
      <c r="A34" s="6"/>
      <c r="B34" s="6"/>
      <c r="C34" s="6"/>
      <c r="D34" s="6"/>
      <c r="E34" s="6"/>
      <c r="F34" s="6"/>
      <c r="G34" s="6"/>
      <c r="H34" s="6"/>
    </row>
    <row r="35" ht="106.5" customHeight="1">
      <c r="A35" s="6"/>
      <c r="B35" s="6"/>
      <c r="C35" s="6"/>
      <c r="D35" s="6"/>
      <c r="E35" s="6"/>
      <c r="F35" s="6"/>
      <c r="G35" s="6"/>
      <c r="H35" s="6"/>
    </row>
    <row r="36" ht="106.5" customHeight="1">
      <c r="A36" s="6"/>
      <c r="B36" s="6"/>
      <c r="C36" s="6"/>
      <c r="D36" s="6"/>
      <c r="E36" s="6"/>
      <c r="F36" s="6"/>
      <c r="G36" s="6"/>
      <c r="H36" s="6"/>
    </row>
    <row r="37" ht="106.5" customHeight="1">
      <c r="A37" s="6"/>
      <c r="B37" s="6"/>
      <c r="C37" s="6"/>
      <c r="D37" s="6"/>
      <c r="E37" s="6"/>
      <c r="F37" s="6"/>
      <c r="G37" s="6"/>
      <c r="H37" s="6"/>
    </row>
    <row r="38" ht="106.5" customHeight="1">
      <c r="A38" s="6"/>
      <c r="B38" s="6"/>
      <c r="C38" s="6"/>
      <c r="D38" s="6"/>
      <c r="E38" s="6"/>
      <c r="F38" s="6"/>
      <c r="G38" s="6"/>
      <c r="H38" s="6"/>
    </row>
    <row r="39" ht="106.5" customHeight="1">
      <c r="A39" s="6"/>
      <c r="B39" s="6"/>
      <c r="C39" s="6"/>
      <c r="D39" s="6"/>
      <c r="E39" s="6"/>
      <c r="F39" s="6"/>
      <c r="G39" s="6"/>
      <c r="H39" s="6"/>
    </row>
    <row r="40" ht="106.5" customHeight="1">
      <c r="A40" s="6"/>
      <c r="B40" s="6"/>
      <c r="C40" s="6"/>
      <c r="D40" s="6"/>
      <c r="E40" s="6"/>
      <c r="F40" s="6"/>
      <c r="G40" s="6"/>
      <c r="H40" s="6"/>
    </row>
    <row r="41" ht="106.5" customHeight="1">
      <c r="A41" s="6"/>
      <c r="B41" s="6"/>
      <c r="C41" s="6"/>
      <c r="D41" s="6"/>
      <c r="E41" s="6"/>
      <c r="F41" s="6"/>
      <c r="G41" s="6"/>
      <c r="H41" s="6"/>
    </row>
    <row r="42" ht="106.5" customHeight="1">
      <c r="A42" s="6"/>
      <c r="B42" s="6"/>
      <c r="C42" s="6"/>
      <c r="D42" s="6"/>
      <c r="E42" s="6"/>
      <c r="F42" s="6"/>
      <c r="G42" s="6"/>
      <c r="H42" s="6"/>
    </row>
    <row r="43" ht="106.5" customHeight="1">
      <c r="A43" s="6"/>
      <c r="B43" s="6"/>
      <c r="C43" s="6"/>
      <c r="D43" s="6"/>
      <c r="E43" s="6"/>
      <c r="F43" s="6"/>
      <c r="G43" s="6"/>
      <c r="H43" s="6"/>
    </row>
    <row r="44" ht="106.5" customHeight="1">
      <c r="A44" s="6"/>
      <c r="B44" s="6"/>
      <c r="C44" s="6"/>
      <c r="D44" s="6"/>
      <c r="E44" s="6"/>
      <c r="F44" s="6"/>
      <c r="G44" s="6"/>
      <c r="H44" s="6"/>
    </row>
    <row r="45" ht="106.5" customHeight="1">
      <c r="A45" s="6"/>
      <c r="B45" s="6"/>
      <c r="C45" s="6"/>
      <c r="D45" s="6"/>
      <c r="E45" s="6"/>
      <c r="F45" s="6"/>
      <c r="G45" s="6"/>
      <c r="H45" s="6"/>
    </row>
    <row r="46" ht="106.5" customHeight="1">
      <c r="A46" s="6"/>
      <c r="B46" s="6"/>
      <c r="C46" s="6"/>
      <c r="D46" s="6"/>
      <c r="E46" s="6"/>
      <c r="F46" s="6"/>
      <c r="G46" s="6"/>
      <c r="H46" s="6"/>
    </row>
    <row r="47" ht="106.5" customHeight="1">
      <c r="A47" s="6"/>
      <c r="B47" s="6"/>
      <c r="C47" s="6"/>
      <c r="D47" s="6"/>
      <c r="E47" s="6"/>
      <c r="F47" s="6"/>
      <c r="G47" s="6"/>
      <c r="H47" s="6"/>
    </row>
    <row r="48" ht="106.5" customHeight="1">
      <c r="A48" s="6"/>
      <c r="B48" s="6"/>
      <c r="C48" s="6"/>
      <c r="D48" s="6"/>
      <c r="E48" s="6"/>
      <c r="F48" s="6"/>
      <c r="G48" s="6"/>
      <c r="H48" s="6"/>
    </row>
    <row r="49" ht="106.5" customHeight="1">
      <c r="A49" s="6"/>
      <c r="B49" s="6"/>
      <c r="C49" s="6"/>
      <c r="D49" s="6"/>
      <c r="E49" s="6"/>
      <c r="F49" s="6"/>
      <c r="G49" s="6"/>
      <c r="H49" s="6"/>
    </row>
    <row r="50" ht="106.5" customHeight="1">
      <c r="A50" s="6"/>
      <c r="B50" s="6"/>
      <c r="C50" s="6"/>
      <c r="D50" s="6"/>
      <c r="E50" s="6"/>
      <c r="F50" s="6"/>
      <c r="G50" s="6"/>
      <c r="H50" s="6"/>
    </row>
    <row r="51" ht="106.5" customHeight="1">
      <c r="A51" s="6"/>
      <c r="B51" s="6"/>
      <c r="C51" s="6"/>
      <c r="D51" s="6"/>
      <c r="E51" s="6"/>
      <c r="F51" s="6"/>
      <c r="G51" s="6"/>
      <c r="H51" s="6"/>
    </row>
    <row r="52" ht="106.5" customHeight="1">
      <c r="A52" s="6"/>
      <c r="B52" s="6"/>
      <c r="C52" s="6"/>
      <c r="D52" s="6"/>
      <c r="E52" s="6"/>
      <c r="F52" s="6"/>
      <c r="G52" s="6"/>
      <c r="H52" s="6"/>
    </row>
    <row r="53" ht="106.5" customHeight="1">
      <c r="A53" s="6"/>
      <c r="B53" s="6"/>
      <c r="C53" s="6"/>
      <c r="D53" s="6"/>
      <c r="E53" s="6"/>
      <c r="F53" s="6"/>
      <c r="G53" s="6"/>
      <c r="H53" s="6"/>
    </row>
    <row r="54" ht="106.5" customHeight="1">
      <c r="A54" s="6"/>
      <c r="B54" s="6"/>
      <c r="C54" s="6"/>
      <c r="D54" s="6"/>
      <c r="E54" s="6"/>
      <c r="F54" s="6"/>
      <c r="G54" s="6"/>
      <c r="H54" s="6"/>
    </row>
    <row r="55" ht="106.5" customHeight="1">
      <c r="A55" s="6"/>
      <c r="B55" s="6"/>
      <c r="C55" s="6"/>
      <c r="D55" s="6"/>
      <c r="E55" s="6"/>
      <c r="F55" s="6"/>
      <c r="G55" s="6"/>
      <c r="H55" s="6"/>
    </row>
    <row r="56" ht="106.5" customHeight="1">
      <c r="A56" s="6"/>
      <c r="B56" s="6"/>
      <c r="C56" s="6"/>
      <c r="D56" s="6"/>
      <c r="E56" s="6"/>
      <c r="F56" s="6"/>
      <c r="G56" s="6"/>
      <c r="H56" s="6"/>
    </row>
    <row r="57" ht="106.5" customHeight="1">
      <c r="A57" s="6"/>
      <c r="B57" s="6"/>
      <c r="C57" s="6"/>
      <c r="D57" s="6"/>
      <c r="E57" s="6"/>
      <c r="F57" s="6"/>
      <c r="G57" s="6"/>
      <c r="H57" s="6"/>
    </row>
    <row r="58" ht="106.5" customHeight="1">
      <c r="A58" s="6"/>
      <c r="B58" s="6"/>
      <c r="C58" s="6"/>
      <c r="D58" s="6"/>
      <c r="E58" s="6"/>
      <c r="F58" s="6"/>
      <c r="G58" s="6"/>
      <c r="H58" s="6"/>
    </row>
    <row r="59" ht="106.5" customHeight="1">
      <c r="A59" s="6"/>
      <c r="B59" s="6"/>
      <c r="C59" s="6"/>
      <c r="D59" s="6"/>
      <c r="E59" s="6"/>
      <c r="F59" s="6"/>
      <c r="G59" s="6"/>
      <c r="H59" s="6"/>
    </row>
    <row r="60" ht="106.5" customHeight="1">
      <c r="A60" s="6"/>
      <c r="B60" s="6"/>
      <c r="C60" s="6"/>
      <c r="D60" s="6"/>
      <c r="E60" s="6"/>
      <c r="F60" s="6"/>
      <c r="G60" s="6"/>
      <c r="H60" s="6"/>
    </row>
    <row r="61" ht="106.5" customHeight="1">
      <c r="A61" s="6"/>
      <c r="B61" s="6"/>
      <c r="C61" s="6"/>
      <c r="D61" s="6"/>
      <c r="E61" s="6"/>
      <c r="F61" s="6"/>
      <c r="G61" s="6"/>
      <c r="H61" s="6"/>
    </row>
    <row r="62" ht="106.5" customHeight="1">
      <c r="A62" s="6"/>
      <c r="B62" s="6"/>
      <c r="C62" s="6"/>
      <c r="D62" s="6"/>
      <c r="E62" s="6"/>
      <c r="F62" s="6"/>
      <c r="G62" s="6"/>
      <c r="H62" s="6"/>
    </row>
    <row r="63" ht="106.5" customHeight="1">
      <c r="A63" s="6"/>
      <c r="B63" s="6"/>
      <c r="C63" s="6"/>
      <c r="D63" s="6"/>
      <c r="E63" s="6"/>
      <c r="F63" s="6"/>
      <c r="G63" s="6"/>
      <c r="H63" s="6"/>
    </row>
    <row r="64" ht="106.5" customHeight="1">
      <c r="A64" s="6"/>
      <c r="B64" s="6"/>
      <c r="C64" s="6"/>
      <c r="D64" s="6"/>
      <c r="E64" s="6"/>
      <c r="F64" s="6"/>
      <c r="G64" s="6"/>
      <c r="H64" s="6"/>
    </row>
    <row r="65" ht="106.5" customHeight="1">
      <c r="A65" s="6"/>
      <c r="B65" s="6"/>
      <c r="C65" s="6"/>
      <c r="D65" s="6"/>
      <c r="E65" s="6"/>
      <c r="F65" s="6"/>
      <c r="G65" s="6"/>
      <c r="H65" s="6"/>
    </row>
    <row r="66" ht="106.5" customHeight="1">
      <c r="A66" s="6"/>
      <c r="B66" s="6"/>
      <c r="C66" s="6"/>
      <c r="D66" s="6"/>
      <c r="E66" s="6"/>
      <c r="F66" s="6"/>
      <c r="G66" s="6"/>
      <c r="H66" s="6"/>
    </row>
    <row r="67" ht="106.5" customHeight="1">
      <c r="A67" s="6"/>
      <c r="B67" s="6"/>
      <c r="C67" s="6"/>
      <c r="D67" s="6"/>
      <c r="E67" s="6"/>
      <c r="F67" s="6"/>
      <c r="G67" s="6"/>
      <c r="H67" s="6"/>
    </row>
    <row r="68" ht="106.5" customHeight="1">
      <c r="A68" s="6"/>
      <c r="B68" s="6"/>
      <c r="C68" s="6"/>
      <c r="D68" s="6"/>
      <c r="E68" s="6"/>
      <c r="F68" s="6"/>
      <c r="G68" s="6"/>
      <c r="H68" s="6"/>
    </row>
    <row r="69" ht="106.5" customHeight="1">
      <c r="A69" s="6"/>
      <c r="B69" s="6"/>
      <c r="C69" s="6"/>
      <c r="D69" s="6"/>
      <c r="E69" s="6"/>
      <c r="F69" s="6"/>
      <c r="G69" s="6"/>
      <c r="H69" s="6"/>
    </row>
    <row r="70" ht="106.5" customHeight="1">
      <c r="A70" s="6"/>
      <c r="B70" s="6"/>
      <c r="C70" s="6"/>
      <c r="D70" s="6"/>
      <c r="E70" s="6"/>
      <c r="F70" s="6"/>
      <c r="G70" s="6"/>
      <c r="H70" s="6"/>
    </row>
    <row r="71" ht="106.5" customHeight="1">
      <c r="A71" s="6"/>
      <c r="B71" s="6"/>
      <c r="C71" s="6"/>
      <c r="D71" s="6"/>
      <c r="E71" s="6"/>
      <c r="F71" s="6"/>
      <c r="G71" s="6"/>
      <c r="H71" s="6"/>
    </row>
    <row r="72" ht="106.5" customHeight="1">
      <c r="A72" s="6"/>
      <c r="B72" s="6"/>
      <c r="C72" s="6"/>
      <c r="D72" s="6"/>
      <c r="E72" s="6"/>
      <c r="F72" s="6"/>
      <c r="G72" s="6"/>
      <c r="H72" s="6"/>
    </row>
    <row r="73" ht="106.5" customHeight="1">
      <c r="A73" s="6"/>
      <c r="B73" s="6"/>
      <c r="C73" s="6"/>
      <c r="D73" s="6"/>
      <c r="E73" s="6"/>
      <c r="F73" s="6"/>
      <c r="G73" s="6"/>
      <c r="H73" s="6"/>
    </row>
    <row r="74" ht="106.5" customHeight="1">
      <c r="A74" s="6"/>
      <c r="B74" s="6"/>
      <c r="C74" s="6"/>
      <c r="D74" s="6"/>
      <c r="E74" s="6"/>
      <c r="F74" s="6"/>
      <c r="G74" s="6"/>
      <c r="H74" s="6"/>
    </row>
    <row r="75" ht="106.5" customHeight="1">
      <c r="A75" s="6"/>
      <c r="B75" s="6"/>
      <c r="C75" s="6"/>
      <c r="D75" s="6"/>
      <c r="E75" s="6"/>
      <c r="F75" s="6"/>
      <c r="G75" s="6"/>
      <c r="H75" s="6"/>
    </row>
    <row r="76" ht="106.5" customHeight="1">
      <c r="A76" s="6"/>
      <c r="B76" s="6"/>
      <c r="C76" s="6"/>
      <c r="D76" s="6"/>
      <c r="E76" s="6"/>
      <c r="F76" s="6"/>
      <c r="G76" s="6"/>
      <c r="H76" s="6"/>
    </row>
    <row r="77" ht="106.5" customHeight="1">
      <c r="A77" s="6"/>
      <c r="B77" s="6"/>
      <c r="C77" s="6"/>
      <c r="D77" s="6"/>
      <c r="E77" s="6"/>
      <c r="F77" s="6"/>
      <c r="G77" s="6"/>
      <c r="H77" s="6"/>
    </row>
    <row r="78" ht="106.5" customHeight="1">
      <c r="A78" s="6"/>
      <c r="B78" s="6"/>
      <c r="C78" s="6"/>
      <c r="D78" s="6"/>
      <c r="E78" s="6"/>
      <c r="F78" s="6"/>
      <c r="G78" s="6"/>
      <c r="H78" s="6"/>
    </row>
    <row r="79" ht="106.5" customHeight="1">
      <c r="A79" s="6"/>
      <c r="B79" s="6"/>
      <c r="C79" s="6"/>
      <c r="D79" s="6"/>
      <c r="E79" s="6"/>
      <c r="F79" s="6"/>
      <c r="G79" s="6"/>
      <c r="H79" s="6"/>
    </row>
    <row r="80" ht="106.5" customHeight="1">
      <c r="A80" s="6"/>
      <c r="B80" s="6"/>
      <c r="C80" s="6"/>
      <c r="D80" s="6"/>
      <c r="E80" s="6"/>
      <c r="F80" s="6"/>
      <c r="G80" s="6"/>
      <c r="H80" s="6"/>
    </row>
    <row r="81" ht="106.5" customHeight="1">
      <c r="A81" s="6"/>
      <c r="B81" s="6"/>
      <c r="C81" s="6"/>
      <c r="D81" s="6"/>
      <c r="E81" s="6"/>
      <c r="F81" s="6"/>
      <c r="G81" s="6"/>
      <c r="H81" s="6"/>
    </row>
    <row r="82" ht="106.5" customHeight="1">
      <c r="A82" s="6"/>
      <c r="B82" s="6"/>
      <c r="C82" s="6"/>
      <c r="D82" s="6"/>
      <c r="E82" s="6"/>
      <c r="F82" s="6"/>
      <c r="G82" s="6"/>
      <c r="H82" s="6"/>
    </row>
    <row r="83" ht="106.5" customHeight="1">
      <c r="A83" s="6"/>
      <c r="B83" s="6"/>
      <c r="C83" s="6"/>
      <c r="D83" s="6"/>
      <c r="E83" s="6"/>
      <c r="F83" s="6"/>
      <c r="G83" s="6"/>
      <c r="H83" s="6"/>
    </row>
    <row r="84" ht="106.5" customHeight="1">
      <c r="A84" s="6"/>
      <c r="B84" s="6"/>
      <c r="C84" s="6"/>
      <c r="D84" s="6"/>
      <c r="E84" s="6"/>
      <c r="F84" s="6"/>
      <c r="G84" s="6"/>
      <c r="H84" s="6"/>
    </row>
    <row r="85" ht="106.5" customHeight="1">
      <c r="A85" s="6"/>
      <c r="B85" s="6"/>
      <c r="C85" s="6"/>
      <c r="D85" s="6"/>
      <c r="E85" s="6"/>
      <c r="F85" s="6"/>
      <c r="G85" s="6"/>
      <c r="H85" s="6"/>
    </row>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H1"/>
    <mergeCell ref="A2:H2"/>
  </mergeCells>
  <conditionalFormatting sqref="G5:G22">
    <cfRule type="expression" dxfId="0" priority="1">
      <formula>G5="Resuelto"</formula>
    </cfRule>
  </conditionalFormatting>
  <conditionalFormatting sqref="G5:G22">
    <cfRule type="expression" dxfId="1" priority="2">
      <formula>G5="Pendiente"</formula>
    </cfRule>
  </conditionalFormatting>
  <conditionalFormatting sqref="G5:G22">
    <cfRule type="expression" dxfId="2" priority="3">
      <formula>G5="Requiere análisis"</formula>
    </cfRule>
  </conditionalFormatting>
  <conditionalFormatting sqref="G5:G22">
    <cfRule type="expression" dxfId="3" priority="4">
      <formula>G5="Fuera de alcance"</formula>
    </cfRule>
  </conditionalFormatting>
  <dataValidations>
    <dataValidation type="list" allowBlank="1" sqref="G4 G24:G85">
      <formula1>"Pendiente,Aprobado,Ajustar,Fuera de alcance,Requiere análisis"</formula1>
    </dataValidation>
    <dataValidation type="list" allowBlank="1" sqref="G5:G23">
      <formula1>"Pendiente,Resuelto,Requiere análisis,Fuera de alcance"</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0"/>
    <col customWidth="1" min="2" max="2" width="20.0"/>
    <col customWidth="1" min="3" max="3" width="16.0"/>
    <col customWidth="1" min="4" max="4" width="9.38"/>
    <col customWidth="1" min="5" max="5" width="28.0"/>
    <col customWidth="1" min="6" max="6" width="22.0"/>
    <col customWidth="1" min="7" max="7" width="52.0"/>
    <col customWidth="1" min="8" max="26" width="8.88"/>
  </cols>
  <sheetData>
    <row r="1" ht="53.25" customHeight="1">
      <c r="A1" s="19" t="s">
        <v>719</v>
      </c>
      <c r="B1" s="2"/>
      <c r="C1" s="2"/>
      <c r="D1" s="2"/>
      <c r="E1" s="2"/>
      <c r="F1" s="2"/>
      <c r="G1" s="3"/>
    </row>
    <row r="2" ht="13.5" customHeight="1"/>
    <row r="3" ht="13.5" customHeight="1">
      <c r="A3" s="4" t="s">
        <v>732</v>
      </c>
      <c r="B3" s="4" t="s">
        <v>734</v>
      </c>
      <c r="C3" s="20"/>
      <c r="D3" s="20"/>
      <c r="E3" s="21" t="s">
        <v>735</v>
      </c>
      <c r="F3" s="2"/>
      <c r="G3" s="3"/>
    </row>
    <row r="4" ht="13.5" customHeight="1">
      <c r="A4" s="22" t="s">
        <v>742</v>
      </c>
      <c r="B4" s="22">
        <f>COUNTA('Matriz Trazabilidad'!A5:A1000)</f>
        <v>86</v>
      </c>
      <c r="C4" s="20"/>
      <c r="D4" s="20"/>
      <c r="E4" s="20" t="s">
        <v>763</v>
      </c>
      <c r="F4" s="20" t="s">
        <v>764</v>
      </c>
      <c r="G4" s="20" t="s">
        <v>765</v>
      </c>
    </row>
    <row r="5" ht="13.5" customHeight="1">
      <c r="A5" s="22" t="s">
        <v>767</v>
      </c>
      <c r="B5" s="22">
        <f>COUNTA('Historias y CA'!A4:A1000)</f>
        <v>27</v>
      </c>
      <c r="C5" s="20"/>
      <c r="D5" s="20"/>
      <c r="E5" s="20" t="s">
        <v>769</v>
      </c>
      <c r="F5" s="20" t="s">
        <v>771</v>
      </c>
      <c r="G5" s="20" t="s">
        <v>773</v>
      </c>
    </row>
    <row r="6" ht="13.5" customHeight="1">
      <c r="A6" s="22" t="s">
        <v>775</v>
      </c>
      <c r="B6" s="22">
        <f>COUNTA('Reglas de Negocio'!A4:A1000)</f>
        <v>58</v>
      </c>
      <c r="C6" s="20"/>
      <c r="D6" s="20"/>
      <c r="E6" s="20" t="s">
        <v>780</v>
      </c>
      <c r="F6" s="20" t="s">
        <v>782</v>
      </c>
      <c r="G6" s="20" t="s">
        <v>784</v>
      </c>
    </row>
    <row r="7" ht="13.5" customHeight="1">
      <c r="A7" s="22" t="s">
        <v>787</v>
      </c>
      <c r="B7" s="22">
        <f>COUNTIF('Matriz Trazabilidad'!N5:N1000,"Passed")</f>
        <v>0</v>
      </c>
      <c r="C7" s="20"/>
      <c r="D7" s="20"/>
      <c r="E7" s="20" t="s">
        <v>793</v>
      </c>
      <c r="F7" s="20" t="s">
        <v>794</v>
      </c>
      <c r="G7" s="20" t="s">
        <v>796</v>
      </c>
    </row>
    <row r="8" ht="13.5" customHeight="1">
      <c r="A8" s="22" t="s">
        <v>797</v>
      </c>
      <c r="B8" s="22">
        <f>COUNTIF('Matriz Trazabilidad'!N5:N1000,"Pendiente")</f>
        <v>86</v>
      </c>
      <c r="C8" s="20"/>
      <c r="D8" s="20"/>
      <c r="E8" s="20"/>
      <c r="F8" s="20"/>
      <c r="G8" s="20"/>
    </row>
    <row r="9" ht="13.5" customHeight="1">
      <c r="A9" s="22" t="s">
        <v>801</v>
      </c>
      <c r="B9" s="22">
        <f>COUNTIF('Pendientes Cliente'!G5:G100,"Pendiente")</f>
        <v>8</v>
      </c>
      <c r="C9" s="20"/>
      <c r="D9" s="20"/>
      <c r="E9" s="20"/>
      <c r="F9" s="20"/>
      <c r="G9" s="20"/>
    </row>
    <row r="10" ht="31.5" customHeight="1">
      <c r="A10" s="20"/>
      <c r="B10" s="20"/>
      <c r="C10" s="20"/>
      <c r="D10" s="20"/>
      <c r="E10" s="20"/>
      <c r="F10" s="20"/>
      <c r="G10" s="20"/>
    </row>
    <row r="11" ht="63.75" customHeight="1">
      <c r="A11" s="20" t="s">
        <v>812</v>
      </c>
    </row>
    <row r="12" ht="13.5" customHeight="1">
      <c r="A12" s="23" t="s">
        <v>814</v>
      </c>
      <c r="B12" s="2"/>
      <c r="C12" s="3"/>
      <c r="D12" s="20"/>
      <c r="E12" s="23" t="s">
        <v>819</v>
      </c>
      <c r="F12" s="2"/>
      <c r="G12" s="3"/>
    </row>
    <row r="13" ht="13.5" customHeight="1">
      <c r="A13" s="24" t="s">
        <v>821</v>
      </c>
      <c r="B13" s="24" t="s">
        <v>829</v>
      </c>
      <c r="C13" s="24" t="s">
        <v>830</v>
      </c>
      <c r="D13" s="20"/>
      <c r="E13" s="24" t="s">
        <v>620</v>
      </c>
      <c r="F13" s="24" t="s">
        <v>829</v>
      </c>
      <c r="G13" s="24" t="s">
        <v>830</v>
      </c>
    </row>
    <row r="14" ht="13.5" customHeight="1">
      <c r="A14" s="25" t="s">
        <v>832</v>
      </c>
      <c r="B14" s="25">
        <f>COUNTIF('Matriz Trazabilidad'!$R$5:$R$87,"Aprobado")</f>
        <v>0</v>
      </c>
      <c r="C14" s="26">
        <f>IF($B$4=0,0,B14/$B$4)</f>
        <v>0</v>
      </c>
      <c r="D14" s="20"/>
      <c r="E14" s="27" t="s">
        <v>145</v>
      </c>
      <c r="F14" s="27">
        <f>COUNTIF('Pendientes Cliente'!$G$5:$G$23,"Pendiente")</f>
        <v>8</v>
      </c>
      <c r="G14" s="28">
        <f t="shared" ref="G14:G17" si="1">IF($B$9=0,0,F14/$B$9)</f>
        <v>1</v>
      </c>
    </row>
    <row r="15" ht="13.5" customHeight="1">
      <c r="A15" s="27" t="s">
        <v>145</v>
      </c>
      <c r="B15" s="27">
        <f>COUNTIF('Matriz Trazabilidad'!R5:R1000,"Pendiente")</f>
        <v>86</v>
      </c>
      <c r="C15" s="29">
        <f>IF(B4=0,0,B15/B4)</f>
        <v>1</v>
      </c>
      <c r="D15" s="20"/>
      <c r="E15" s="25" t="s">
        <v>885</v>
      </c>
      <c r="F15" s="25">
        <f>COUNTIF('Pendientes Cliente'!$G$5:$G$23,"Resuelto")</f>
        <v>0</v>
      </c>
      <c r="G15" s="26">
        <f t="shared" si="1"/>
        <v>0</v>
      </c>
    </row>
    <row r="16" ht="13.5" customHeight="1">
      <c r="A16" s="30" t="s">
        <v>890</v>
      </c>
      <c r="B16" s="30">
        <f>COUNTIF('Matriz Trazabilidad'!$R$5:$R$87,"Ajustar")</f>
        <v>0</v>
      </c>
      <c r="C16" s="31">
        <f t="shared" ref="C16:C18" si="2">IF($B$4=0,0,B16/$B$4)</f>
        <v>0</v>
      </c>
      <c r="D16" s="20"/>
      <c r="E16" s="30" t="s">
        <v>907</v>
      </c>
      <c r="F16" s="30">
        <f>COUNTIF('Pendientes Cliente'!$G$5:$G$23,"Requiere análisis")</f>
        <v>0</v>
      </c>
      <c r="G16" s="31">
        <f t="shared" si="1"/>
        <v>0</v>
      </c>
    </row>
    <row r="17" ht="13.5" customHeight="1">
      <c r="A17" s="32" t="s">
        <v>916</v>
      </c>
      <c r="B17" s="32">
        <f>COUNTIF('Matriz Trazabilidad'!$R$5:$R$87,"Fuera de alcance")</f>
        <v>0</v>
      </c>
      <c r="C17" s="33">
        <f t="shared" si="2"/>
        <v>0</v>
      </c>
      <c r="D17" s="20"/>
      <c r="E17" s="32" t="s">
        <v>916</v>
      </c>
      <c r="F17" s="32">
        <f>COUNTIF('Pendientes Cliente'!$G$5:$G$23,"Fuera de alcance")</f>
        <v>0</v>
      </c>
      <c r="G17" s="33">
        <f t="shared" si="1"/>
        <v>0</v>
      </c>
    </row>
    <row r="18" ht="13.5" customHeight="1">
      <c r="A18" s="34" t="s">
        <v>907</v>
      </c>
      <c r="B18" s="34">
        <f>COUNTIF('Matriz Trazabilidad'!$R$5:$R$87,"Requiere análisis")</f>
        <v>0</v>
      </c>
      <c r="C18" s="35">
        <f t="shared" si="2"/>
        <v>0</v>
      </c>
      <c r="D18" s="20"/>
      <c r="E18" s="20"/>
      <c r="F18" s="20"/>
      <c r="G18" s="20"/>
    </row>
    <row r="19" ht="13.5" customHeight="1">
      <c r="A19" s="20"/>
      <c r="B19" s="20"/>
      <c r="C19" s="20"/>
      <c r="D19" s="20"/>
      <c r="E19" s="20"/>
      <c r="F19" s="20"/>
      <c r="G19" s="20"/>
    </row>
    <row r="20" ht="13.5" customHeight="1">
      <c r="A20" s="36" t="s">
        <v>955</v>
      </c>
      <c r="B20" s="37">
        <f>B14+B16+B17+B18</f>
        <v>0</v>
      </c>
      <c r="C20" s="20"/>
      <c r="D20" s="20"/>
      <c r="E20" s="20"/>
      <c r="F20" s="20"/>
      <c r="G20" s="20"/>
    </row>
    <row r="21" ht="13.5" customHeight="1">
      <c r="A21" s="36" t="s">
        <v>964</v>
      </c>
      <c r="B21" s="38">
        <f>IF(B4=0,0,B20/B4)</f>
        <v>0</v>
      </c>
      <c r="C21" s="20"/>
      <c r="D21" s="20"/>
      <c r="E21" s="20"/>
      <c r="F21" s="20"/>
      <c r="G21" s="20"/>
    </row>
    <row r="22" ht="13.5" customHeight="1">
      <c r="A22" s="36" t="s">
        <v>977</v>
      </c>
      <c r="B22" s="38">
        <f>IF(B20=0,0,B14/B20)</f>
        <v>0</v>
      </c>
      <c r="C22" s="20"/>
      <c r="D22" s="20"/>
      <c r="E22" s="20"/>
      <c r="F22" s="20"/>
      <c r="G22" s="20"/>
    </row>
    <row r="23" ht="13.5" customHeight="1">
      <c r="A23" s="8"/>
      <c r="B23" s="8"/>
      <c r="D23" s="20"/>
    </row>
    <row r="24" ht="13.5" customHeight="1">
      <c r="A24" s="12"/>
      <c r="B24" s="12"/>
    </row>
    <row r="25" ht="13.5" customHeight="1">
      <c r="A25" s="12"/>
      <c r="B25" s="39"/>
    </row>
    <row r="26" ht="13.5" customHeight="1">
      <c r="A26" s="12"/>
      <c r="B26" s="12"/>
    </row>
    <row r="27" ht="13.5" customHeight="1">
      <c r="A27" s="12"/>
      <c r="B27" s="12"/>
    </row>
    <row r="28" ht="13.5" customHeight="1">
      <c r="A28" s="12"/>
      <c r="B28" s="12"/>
    </row>
    <row r="29" ht="13.5" customHeight="1">
      <c r="A29" s="12"/>
      <c r="B29" s="12"/>
    </row>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5">
    <mergeCell ref="A1:G1"/>
    <mergeCell ref="E3:G3"/>
    <mergeCell ref="A11:G11"/>
    <mergeCell ref="A12:C12"/>
    <mergeCell ref="E12:G1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