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e527bde4e944d8" /></Relationships>
</file>

<file path=xl/workbook.xml><?xml version="1.0" encoding="utf-8"?>
<x:workbook xmlns:x="http://schemas.openxmlformats.org/spreadsheetml/2006/main">
  <x:sheets>
    <x:sheet xmlns:r="http://schemas.openxmlformats.org/officeDocument/2006/relationships" name="00_Resumen" sheetId="1" r:id="R2bc2032cb4114176"/>
    <x:sheet xmlns:r="http://schemas.openxmlformats.org/officeDocument/2006/relationships" name="01_Matriz_Trazabilidad" sheetId="2" r:id="Rbfda8d1e089a435e"/>
    <x:sheet xmlns:r="http://schemas.openxmlformats.org/officeDocument/2006/relationships" name="02_Reglas_Walvy" sheetId="3" r:id="R1ff471cb1f4c4301"/>
    <x:sheet xmlns:r="http://schemas.openxmlformats.org/officeDocument/2006/relationships" name="03_Contrato_P4" sheetId="4" r:id="Raafe2b9d313f42fb"/>
    <x:sheet xmlns:r="http://schemas.openxmlformats.org/officeDocument/2006/relationships" name="04_Fuentes" sheetId="5" r:id="R94b049300a624324"/>
    <x:sheet xmlns:r="http://schemas.openxmlformats.org/officeDocument/2006/relationships" name="05_Condiciones_y_Limites" sheetId="6" r:id="Re845559deb514125"/>
    <x:sheet xmlns:r="http://schemas.openxmlformats.org/officeDocument/2006/relationships" name="06_Ajustes_Materializacion" sheetId="7" r:id="Rbe056636108744cf"/>
    <x:sheet xmlns:r="http://schemas.openxmlformats.org/officeDocument/2006/relationships" name="07_Reconciliacion_Producto" sheetId="8" r:id="Ra11e93ed60a34e6c"/>
    <x:sheet xmlns:r="http://schemas.openxmlformats.org/officeDocument/2006/relationships" name="08_HU_CA_Kabeli_Ref" sheetId="9" r:id="Re2133c76334e4e4e"/>
    <x:sheet xmlns:r="http://schemas.openxmlformats.org/officeDocument/2006/relationships" name="09_Fundamento_Producto" sheetId="10" r:id="Rc350035b4e0c4b74"/>
  </x:sheets>
</x:workbook>
</file>

<file path=xl/sharedStrings.xml><?xml version="1.0" encoding="utf-8"?>
<x:sst xmlns:x="http://schemas.openxmlformats.org/spreadsheetml/2006/main">
  <x:si>
    <x:t xml:space="preserve">Indicador</x:t>
  </x:si>
  <x:si>
    <x:t xml:space="preserve">Valor</x:t>
  </x:si>
  <x:si>
    <x:t xml:space="preserve">Lectura</x:t>
  </x:si>
  <x:si>
    <x:t xml:space="preserve">Traces contractuales</x:t>
  </x:si>
  <x:si>
    <x:t xml:space="preserve">Debe ser 93.</x:t>
  </x:si>
  <x:si>
    <x:t xml:space="preserve">Reglas Walvy</x:t>
  </x:si>
  <x:si>
    <x:t xml:space="preserve">Contract IDs P4</x:t>
  </x:si>
  <x:si>
    <x:t xml:space="preserve">Debe ser 25.</x:t>
  </x:si>
  <x:si>
    <x:t xml:space="preserve">Condiciones y límites visibles</x:t>
  </x:si>
  <x:si>
    <x:t xml:space="preserve">Temas externos o dependientes que no deben completarse por inferencia.</x:t>
  </x:si>
  <x:si>
    <x:t xml:space="preserve">Ajustes de materialización</x:t>
  </x:si>
  <x:si>
    <x:t xml:space="preserve">Filas pendientes de validación Kabeli</x:t>
  </x:si>
  <x:si>
    <x:t xml:space="preserve">No contiene</x:t>
  </x:si>
  <x:si>
    <x:t xml:space="preserve">No sustituye la Matriz de Validación Técnica M04, los artefactos específicos de Protección de Datos ni la orquestación transversal de avisos. No prescribe endpoints, tablas físicas, microservicios, infraestructura ni thresholds no aprobados.</x:t>
  </x:si>
  <x:si>
    <x:t xml:space="preserve">WALVY | M04 – Matriz de Trazabilidad para Kabeli</x:t>
  </x:si>
  <x:si>
    <x:t xml:space="preserve">Cadena contractual: Trace atómico → condición/variante → obligación → Regla Walvy / Contract ID P4 → dependencia/owner → criterio de aceptación → evidencia esperada. No replica columnas anterior ni working papers internos.</x:t>
  </x:si>
  <x:si>
    <x:t xml:space="preserve">Trace ID</x:t>
  </x:si>
  <x:si>
    <x:t xml:space="preserve">Flujo / Subflujo</x:t>
  </x:si>
  <x:si>
    <x:t xml:space="preserve">Variante / Escenario</x:t>
  </x:si>
  <x:si>
    <x:t xml:space="preserve">Condición / Disparador</x:t>
  </x:si>
  <x:si>
    <x:t xml:space="preserve">Estado inicial / Origen</x:t>
  </x:si>
  <x:si>
    <x:t xml:space="preserve">Obligación implementable</x:t>
  </x:si>
  <x:si>
    <x:t xml:space="preserve">Contract ID(s) P4</x:t>
  </x:si>
  <x:si>
    <x:t xml:space="preserve">RN / BDD origen</x:t>
  </x:si>
  <x:si>
    <x:t xml:space="preserve">Regla(s) Walvy</x:t>
  </x:si>
  <x:si>
    <x:t xml:space="preserve">Dato / Cálculo / Estado</x:t>
  </x:si>
  <x:si>
    <x:t xml:space="preserve">CTA / Acción</x:t>
  </x:si>
  <x:si>
    <x:t xml:space="preserve">Destino</x:t>
  </x:si>
  <x:si>
    <x:t xml:space="preserve">Retorno / Continuación</x:t>
  </x:si>
  <x:si>
    <x:t xml:space="preserve">Consumidor</x:t>
  </x:si>
  <x:si>
    <x:t xml:space="preserve">Dependencia / Owner</x:t>
  </x:si>
  <x:si>
    <x:t xml:space="preserve">Criterio de aceptación</x:t>
  </x:si>
  <x:si>
    <x:t xml:space="preserve">Evidencia esperada</x:t>
  </x:si>
  <x:si>
    <x:t xml:space="preserve">Figma / Frame</x:t>
  </x:si>
  <x:si>
    <x:t xml:space="preserve">Materialización actual</x:t>
  </x:si>
  <x:si>
    <x:t xml:space="preserve">Caso(s) de validación</x:t>
  </x:si>
  <x:si>
    <x:t xml:space="preserve">Validación Cliente</x:t>
  </x:si>
  <x:si>
    <x:t xml:space="preserve">Decisión / Guardrail / ID pendiente</x:t>
  </x:si>
  <x:si>
    <x:t xml:space="preserve">Observación / referencia Kabeli</x:t>
  </x:si>
  <x:si>
    <x:t xml:space="preserve">TR-M04-044</x:t>
  </x:si>
  <x:si>
    <x:t xml:space="preserve">FLOW-M04-001 · Entrada contextual</x:t>
  </x:si>
  <x:si>
    <x:t xml:space="preserve">Existe candidato/proyección M04 accionable ya resuelto por el módulo dueño; Home solo consume el contrato.</x:t>
  </x:si>
  <x:si>
    <x:t xml:space="preserve">Home | CTA contextual</x:t>
  </x:si>
  <x:si>
    <x:t xml:space="preserve">Home</x:t>
  </x:si>
  <x:si>
    <x:t xml:space="preserve">Home representa el candidato M04 y deriva a su destino sin recalcular estado, reason ni Ruta; la selección del ganador global queda fuera de M04.</x:t>
  </x:si>
  <x:si>
    <x:t xml:space="preserve">M04-RGL-002; M04-RGL-039</x:t>
  </x:si>
  <x:si>
    <x:t xml:space="preserve">CTA contextual</x:t>
  </x:si>
  <x:si>
    <x:t xml:space="preserve">M04</x:t>
  </x:si>
  <x:si>
    <x:t xml:space="preserve">OD-01 / OD-02 / RD según estado</x:t>
  </x:si>
  <x:si>
    <x:t xml:space="preserve">M03/Home</x:t>
  </x:si>
  <x:si>
    <x:t xml:space="preserve">M04 | M03/Home</x:t>
  </x:si>
  <x:si>
    <x:t xml:space="preserve">Obligación: Home representa el candidato M04 y deriva a su destino sin recalcular estado, reason ni Ruta; la selección del ganador global queda fuera de M04. | Resultado: OD-01 / OD-02 / RD según estado | Negativo/borde: No mostrar múltiples acciones de deuda compitiendo.</x:t>
  </x:si>
  <x:si>
    <x:t xml:space="preserve">Figma/pieza: consumidor visual/Figma | QA: TC-M04-057 | Soporte: Flujo funcional/Copy UX Home</x:t>
  </x:si>
  <x:si>
    <x:t xml:space="preserve">consumidor visual/Figma</x:t>
  </x:si>
  <x:si>
    <x:t xml:space="preserve">Documentado</x:t>
  </x:si>
  <x:si>
    <x:t xml:space="preserve">TC-M04-057</x:t>
  </x:si>
  <x:si>
    <x:t xml:space="preserve">Pendiente de validación</x:t>
  </x:si>
  <x:si>
    <x:t xml:space="preserve">BC-M04-002 cerrada para producción/proyección M04; orquestación global fuera.</x:t>
  </x:si>
  <x:si>
    <x:t xml:space="preserve">TR-M04-045</x:t>
  </x:si>
  <x:si>
    <x:t xml:space="preserve">Señal corresponde a pago próximo/al día/vencimiento simple con capacidad</x:t>
  </x:si>
  <x:si>
    <x:t xml:space="preserve">Home deriva a M06/Pagos-Alertas; no a Ruta.</x:t>
  </x:si>
  <x:si>
    <x:t xml:space="preserve">M04-RGL-016; M04-RGL-002, M04-RGL-039 | debt_signal · arrears_relevant_signal / mora_risk_signal</x:t>
  </x:si>
  <x:si>
    <x:t xml:space="preserve">M04-RGL-016; M04-RGL-002, M04-RGL-039</x:t>
  </x:si>
  <x:si>
    <x:t xml:space="preserve">debt_signal · arrears_relevant_signal / mora_risk_signal</x:t>
  </x:si>
  <x:si>
    <x:t xml:space="preserve">Revisar pago / alerta</x:t>
  </x:si>
  <x:si>
    <x:t xml:space="preserve">M06</x:t>
  </x:si>
  <x:si>
    <x:t xml:space="preserve">M06 / Pagos-Alertas</x:t>
  </x:si>
  <x:si>
    <x:t xml:space="preserve">M06 | M06/Pagos</x:t>
  </x:si>
  <x:si>
    <x:t xml:space="preserve">Obligación: Home deriva a M06/Pagos-Alertas; no a Ruta. | Resultado: M06 / Pagos-Alertas | Negativo/borde: No elevar por mero vencimiento con capacidad.</x:t>
  </x:si>
  <x:si>
    <x:t xml:space="preserve">Figma/pieza: consumidor visual/Figma | QA: TC-M04-057 | Soporte: Reglas contextuales y severidad/Copy UX Home</x:t>
  </x:si>
  <x:si>
    <x:t xml:space="preserve">TR-M04-046</x:t>
  </x:si>
  <x:si>
    <x:t xml:space="preserve">Existe deuda confirmada con faltante material accionable; si aún no está confirmada, precede F2.</x:t>
  </x:si>
  <x:si>
    <x:t xml:space="preserve">Home | Completar</x:t>
  </x:si>
  <x:si>
    <x:t xml:space="preserve">Proyectar F1/completitud hacia revisión; no plan activo. Consolidar pendings de calidad por deuda y preservar reasons secundarios.</x:t>
  </x:si>
  <x:si>
    <x:t xml:space="preserve">M04-RGL-012; M04-RGL-002, M04-RGL-039 | debt · data_completeness_status / minimum_data_ready</x:t>
  </x:si>
  <x:si>
    <x:t xml:space="preserve">M04-RGL-012; M04-RGL-002, M04-RGL-039</x:t>
  </x:si>
  <x:si>
    <x:t xml:space="preserve">debt · data_completeness_status / minimum_data_ready</x:t>
  </x:si>
  <x:si>
    <x:t xml:space="preserve">Completar</x:t>
  </x:si>
  <x:si>
    <x:t xml:space="preserve">OD-02</x:t>
  </x:si>
  <x:si>
    <x:t xml:space="preserve">OD-02 / edición contextual</x:t>
  </x:si>
  <x:si>
    <x:t xml:space="preserve">Obligación: Proyectar F1/completitud hacia revisión; no plan activo. Consolidar pendings de calidad por deuda y preservar reasons secundarios. | Resultado: OD-02 / edición contextual | Negativo/borde: No mostrar Ruta completa con dato crítico faltante.</x:t>
  </x:si>
  <x:si>
    <x:t xml:space="preserve">Figma/pieza: consumidor visual/Figma | QA: TC-M04-057 | Soporte: Copy UX Home</x:t>
  </x:si>
  <x:si>
    <x:t xml:space="preserve">TR-M04-047</x:t>
  </x:si>
  <x:si>
    <x:t xml:space="preserve">Existe estado/proyección M04 consumible por Perfil (Salud, Ruta, calidad u orientación permitida).</x:t>
  </x:si>
  <x:si>
    <x:t xml:space="preserve">Perfil Financiero | CTA/lectura contextual</x:t>
  </x:si>
  <x:si>
    <x:t xml:space="preserve">Perfil Financiero</x:t>
  </x:si>
  <x:si>
    <x:t xml:space="preserve">Perfil representa estado/CTA compacto heredado del owner M04; no recalcula ni crea state machine o señal paralela.</x:t>
  </x:si>
  <x:si>
    <x:t xml:space="preserve">M04-RGL-002; M04-RGL-037, M04-RGL-039 | debt · functional_debt_state / pressure_evaluation_status / data_completeness_status</x:t>
  </x:si>
  <x:si>
    <x:t xml:space="preserve">M04-RGL-002; M04-RGL-037, M04-RGL-039</x:t>
  </x:si>
  <x:si>
    <x:t xml:space="preserve">debt · functional_debt_state / pressure_evaluation_status / data_completeness_status</x:t>
  </x:si>
  <x:si>
    <x:t xml:space="preserve">Según estado</x:t>
  </x:si>
  <x:si>
    <x:t xml:space="preserve">M04 / Perfil</x:t>
  </x:si>
  <x:si>
    <x:t xml:space="preserve">Perfil / punto M04 según CTA</x:t>
  </x:si>
  <x:si>
    <x:t xml:space="preserve">Perfil</x:t>
  </x:si>
  <x:si>
    <x:t xml:space="preserve">Obligación: Perfil representa estado/CTA compacto heredado del owner M04; no recalcula ni crea state machine o señal paralela. | Resultado: Perfil / punto M04 según CTA | Negativo/borde: No convertir Perfil en dashboard de deuda/Ruta.</x:t>
  </x:si>
  <x:si>
    <x:t xml:space="preserve">Figma/pieza: consumidor visual/Figma | QA: TC-M04-057 | Soporte: Matriz de pantallas y acciones/Copy UX Perfil</x:t>
  </x:si>
  <x:si>
    <x:t xml:space="preserve">TR-M04-048</x:t>
  </x:si>
  <x:si>
    <x:t xml:space="preserve">FLOW-M04-002 · Onboarding 1 · Carga</x:t>
  </x:si>
  <x:si>
    <x:t xml:space="preserve">Usuario selecciona documento de deuda permitido</x:t>
  </x:si>
  <x:si>
    <x:t xml:space="preserve">OD-01 Agrega tus deudas | Cargar documentos</x:t>
  </x:si>
  <x:si>
    <x:t xml:space="preserve">OD-01 Agrega tus deudas</x:t>
  </x:si>
  <x:si>
    <x:t xml:space="preserve">El archivo entra a procesamiento documental manual y queda pendiente hasta lectura/revisión.</x:t>
  </x:si>
  <x:si>
    <x:t xml:space="preserve">M04-RGL-003; M04-RGL-036, M04-RGL-040 | debt / document processing · document_processing_status / data_origin / confirmation_status</x:t>
  </x:si>
  <x:si>
    <x:t xml:space="preserve">M04-RGL-003; M04-RGL-036, M04-RGL-040</x:t>
  </x:si>
  <x:si>
    <x:t xml:space="preserve">debt / document processing · document_processing_status / data_origin / confirmation_status</x:t>
  </x:si>
  <x:si>
    <x:t xml:space="preserve">Cargar documentos</x:t>
  </x:si>
  <x:si>
    <x:t xml:space="preserve">Procesamiento/OD-02</x:t>
  </x:si>
  <x:si>
    <x:t xml:space="preserve">Analizando / OD-02</x:t>
  </x:si>
  <x:si>
    <x:t xml:space="preserve">M04 | Procesamiento documental</x:t>
  </x:si>
  <x:si>
    <x:t xml:space="preserve">Obligación: El archivo entra a procesamiento documental manual y queda pendiente hasta lectura/revisión. | Resultado: Analizando / OD-02 | Negativo/borde: No confirmar deuda antes de revisión.</x:t>
  </x:si>
  <x:si>
    <x:t xml:space="preserve">Figma/pieza: Onboarding Deudas - 1. Carga de documentos.png | QA: TC-M04-003, TC-M04-060 | Soporte: Figma 4.3-4.4 / Matriz de pantallas y acciones</x:t>
  </x:si>
  <x:si>
    <x:t xml:space="preserve">Onboarding Deudas - 1. Carga de documentos.png</x:t>
  </x:si>
  <x:si>
    <x:t xml:space="preserve">Observado</x:t>
  </x:si>
  <x:si>
    <x:t xml:space="preserve">TC-M04-003, TC-M04-060</x:t>
  </x:si>
  <x:si>
    <x:t xml:space="preserve">Vigente</x:t>
  </x:si>
  <x:si>
    <x:t xml:space="preserve">TR-M04-049</x:t>
  </x:si>
  <x:si>
    <x:t xml:space="preserve">Archivo es Informe de Deudas CMF cargado manualmente</x:t>
  </x:si>
  <x:si>
    <x:t xml:space="preserve">M04 | CMF/SFA externo</x:t>
  </x:si>
  <x:si>
    <x:t xml:space="preserve">TC-M04-001, TC-M04-002; TC-M04-003</x:t>
  </x:si>
  <x:si>
    <x:t xml:space="preserve">TR-M04-050</x:t>
  </x:si>
  <x:si>
    <x:t xml:space="preserve">Procesamiento aún no termina</x:t>
  </x:si>
  <x:si>
    <x:t xml:space="preserve">Procesamiento documental | Estado de procesamiento</x:t>
  </x:si>
  <x:si>
    <x:t xml:space="preserve">Procesamiento documental</x:t>
  </x:si>
  <x:si>
    <x:t xml:space="preserve">Mantener processing pending; no producir deuda confirmada ni Ruta completa.</x:t>
  </x:si>
  <x:si>
    <x:t xml:space="preserve">M04-RGL-012; M04-RGL-040 | document processing / debt · document_processing_status=procesamiento_pendiente / confirmation_status</x:t>
  </x:si>
  <x:si>
    <x:t xml:space="preserve">M04-RGL-012; M04-RGL-040</x:t>
  </x:si>
  <x:si>
    <x:t xml:space="preserve">document processing / debt · document_processing_status=procesamiento_pendiente / confirmation_status</x:t>
  </x:si>
  <x:si>
    <x:t xml:space="preserve">Estado de procesamiento</x:t>
  </x:si>
  <x:si>
    <x:t xml:space="preserve">Pendiente / OD-02 al completar</x:t>
  </x:si>
  <x:si>
    <x:t xml:space="preserve">Obligación: Mantener processing pending; no producir deuda confirmada ni Ruta completa. | Resultado: Pendiente / OD-02 al completar | Negativo/borde: No fabricar lectura durante procesamiento.</x:t>
  </x:si>
  <x:si>
    <x:t xml:space="preserve">Figma/pieza: Figma Analizando | QA: TC-M04-060 | Soporte: BDD Tabla 24</x:t>
  </x:si>
  <x:si>
    <x:t xml:space="preserve">Figma Analizando</x:t>
  </x:si>
  <x:si>
    <x:t xml:space="preserve">TC-M04-060</x:t>
  </x:si>
  <x:si>
    <x:t xml:space="preserve">TR-M04-051</x:t>
  </x:si>
  <x:si>
    <x:t xml:space="preserve">FLOW-M04-003 · Onboarding 1 · Carga</x:t>
  </x:si>
  <x:si>
    <x:t xml:space="preserve">Registro manual formal con campos de registro básico</x:t>
  </x:si>
  <x:si>
    <x:t xml:space="preserve">OD-01 / sheet deuda manual | Guardar deuda</x:t>
  </x:si>
  <x:si>
    <x:t xml:space="preserve">OD-01 / sheet deuda manual</x:t>
  </x:si>
  <x:si>
    <x:t xml:space="preserve">Guardar deuda formal y reevaluar completitud; registro no implica presión ni Ruta.</x:t>
  </x:si>
  <x:si>
    <x:t xml:space="preserve">M04-RGL-005; M04-RGL-012 | debt · debt_category / debt_type / current_balance_amount / data_origin / confirmation_status</x:t>
  </x:si>
  <x:si>
    <x:t xml:space="preserve">M04-RGL-005; M04-RGL-012</x:t>
  </x:si>
  <x:si>
    <x:t xml:space="preserve">debt · debt_category / debt_type / current_balance_amount / data_origin / confirmation_status</x:t>
  </x:si>
  <x:si>
    <x:t xml:space="preserve">Guardar / Agregar otra</x:t>
  </x:si>
  <x:si>
    <x:t xml:space="preserve">OD-01/OD-02</x:t>
  </x:si>
  <x:si>
    <x:t xml:space="preserve">Obligación: Guardar deuda formal y reevaluar completitud; registro no implica presión ni Ruta. | Resultado: OD-01/OD-02 | Negativo/borde: No usar registro básico para conclusiones fuertes.</x:t>
  </x:si>
  <x:si>
    <x:t xml:space="preserve">Figma/pieza: Sheet_Deuda Manual_Ingresar datos*.png | QA: TC-M04-004, TC-M04-005 | Soporte: Matriz de pantallas y acciones Tabla17/18 + BDD Tabla28/30</x:t>
  </x:si>
  <x:si>
    <x:t xml:space="preserve">Sheet_Deuda Manual_Ingresar datos*.png</x:t>
  </x:si>
  <x:si>
    <x:t xml:space="preserve">TC-M04-004, TC-M04-005</x:t>
  </x:si>
  <x:si>
    <x:t xml:space="preserve">TR-M04-052</x:t>
  </x:si>
  <x:si>
    <x:t xml:space="preserve">Registro es préstamo personal o compromiso informal con monto/frecuencia</x:t>
  </x:si>
  <x:si>
    <x:t xml:space="preserve">Guardar como deuda manual/informal sin tratamiento estigmatizante; evaluar luego según mismas reglas de presión.</x:t>
  </x:si>
  <x:si>
    <x:t xml:space="preserve">M04-RGL-005; M04-RGL-012 | debt · debt_category=manual_debt / debt_subtype=informal_loan / is_informal / monthly_equivalent_amount</x:t>
  </x:si>
  <x:si>
    <x:t xml:space="preserve">debt · debt_category=manual_debt / debt_subtype=informal_loan / is_informal / monthly_equivalent_amount</x:t>
  </x:si>
  <x:si>
    <x:t xml:space="preserve">Guardar</x:t>
  </x:si>
  <x:si>
    <x:t xml:space="preserve">Obligación: Guardar como deuda manual/informal sin tratamiento estigmatizante; evaluar luego según mismas reglas de presión. | Resultado: OD-01/OD-02 | Negativo/borde: No exigir vencimiento formal; sí compromiso/frecuencia para presión.</x:t>
  </x:si>
  <x:si>
    <x:t xml:space="preserve">Figma/pieza: Sheet_Deuda Manual_Ingresar datos*.png | QA: TC-M04-004, TC-M04-005 | Soporte: Matriz de pantallas y acciones deuda informal + BDD §8.7</x:t>
  </x:si>
  <x:si>
    <x:t xml:space="preserve">TR-M04-053</x:t>
  </x:si>
  <x:si>
    <x:t xml:space="preserve">Faltan datos para presión/Ruta</x:t>
  </x:si>
  <x:si>
    <x:t xml:space="preserve">Guardar como pendiente/incompleta; no evaluar presión fuerte, priorización ni cronograma.</x:t>
  </x:si>
  <x:si>
    <x:t xml:space="preserve">M04-RGL-005; M04-RGL-012 | debt · data_completeness_status / minimum_data_ready=false / pressure_evaluation_status=no_evaluada</x:t>
  </x:si>
  <x:si>
    <x:t xml:space="preserve">debt · data_completeness_status / minimum_data_ready=false / pressure_evaluation_status=no_evaluada</x:t>
  </x:si>
  <x:si>
    <x:t xml:space="preserve">Guardar pendiente / Completar</x:t>
  </x:si>
  <x:si>
    <x:t xml:space="preserve">OD-02 / pendiente</x:t>
  </x:si>
  <x:si>
    <x:t xml:space="preserve">Obligación: Guardar como pendiente/incompleta; no evaluar presión fuerte, priorización ni cronograma. | Resultado: OD-02 / pendiente | Negativo/borde: No activar Ruta ni cronograma.</x:t>
  </x:si>
  <x:si>
    <x:t xml:space="preserve">Figma/pieza: Sheet_Deuda Manual_Ingresar datos*.png | QA: TC-M04-004, TC-M04-005 | Soporte: Matriz de pantallas y acciones/BDD completitud; BDD §9.2 / TABLE 27-28</x:t>
  </x:si>
  <x:si>
    <x:t xml:space="preserve">TR-M04-054</x:t>
  </x:si>
  <x:si>
    <x:t xml:space="preserve">FLOW-M04-004 · Onboarding 1 · Documento protegido</x:t>
  </x:si>
  <x:si>
    <x:t xml:space="preserve">Documento está protegido con contraseña</x:t>
  </x:si>
  <x:si>
    <x:t xml:space="preserve">Carga documental | Detectar protección</x:t>
  </x:si>
  <x:si>
    <x:t xml:space="preserve">Carga documental</x:t>
  </x:si>
  <x:si>
    <x:t xml:space="preserve">Mostrar estado recuperable y solicitar clave solo cuando sea necesaria.</x:t>
  </x:si>
  <x:si>
    <x:t xml:space="preserve">M04-RGL-009 | document processing · document_processing_status=requiere_clave</x:t>
  </x:si>
  <x:si>
    <x:t xml:space="preserve">M04-RGL-009</x:t>
  </x:si>
  <x:si>
    <x:t xml:space="preserve">document processing · document_processing_status=requiere_clave</x:t>
  </x:si>
  <x:si>
    <x:t xml:space="preserve">Continuar revisión</x:t>
  </x:si>
  <x:si>
    <x:t xml:space="preserve">Procesamiento</x:t>
  </x:si>
  <x:si>
    <x:t xml:space="preserve">Estado requiere clave</x:t>
  </x:si>
  <x:si>
    <x:t xml:space="preserve">M04 | Documento protegido</x:t>
  </x:si>
  <x:si>
    <x:t xml:space="preserve">Obligación: Mostrar estado recuperable y solicitar clave solo cuando sea necesaria. | Resultado: Estado requiere clave | Negativo/borde: No mostrar campo clave por defecto.</x:t>
  </x:si>
  <x:si>
    <x:t xml:space="preserve">Figma/pieza: Export 4.3-4.4 / documentado | QA: TC-M04-006, TC-M04-007, TC-M04-008 | Soporte: Matriz de pantallas y acciones §13.1.1 / BDD Tabla24</x:t>
  </x:si>
  <x:si>
    <x:t xml:space="preserve">Export 4.3-4.4 / documentado</x:t>
  </x:si>
  <x:si>
    <x:t xml:space="preserve">Documentado no inequívoco</x:t>
  </x:si>
  <x:si>
    <x:t xml:space="preserve">TC-M04-006, TC-M04-007, TC-M04-008</x:t>
  </x:si>
  <x:si>
    <x:t xml:space="preserve">TR-M04-055</x:t>
  </x:si>
  <x:si>
    <x:t xml:space="preserve">Clave correcta</x:t>
  </x:si>
  <x:si>
    <x:t xml:space="preserve">Estado requiere clave | Continuar revisión</x:t>
  </x:si>
  <x:si>
    <x:t xml:space="preserve">Procesar documento y continuar a revisión; clave no se persiste como atributo de deuda.</x:t>
  </x:si>
  <x:si>
    <x:t xml:space="preserve">M04-RGL-009; M04-RGL-040 | document processing · document_processing_status=documento_legible</x:t>
  </x:si>
  <x:si>
    <x:t xml:space="preserve">M04-RGL-009; M04-RGL-040</x:t>
  </x:si>
  <x:si>
    <x:t xml:space="preserve">document processing · document_processing_status=documento_legible</x:t>
  </x:si>
  <x:si>
    <x:t xml:space="preserve">Obligación: Procesar documento y continuar a revisión; clave no se persiste como atributo de deuda. | Resultado: Analizando / OD-02 | Negativo/borde: No persistir secreto.</x:t>
  </x:si>
  <x:si>
    <x:t xml:space="preserve">Figma/pieza: Documentado | QA: TC-M04-006, TC-M04-007, TC-M04-008 | Soporte: BDD §8.13</x:t>
  </x:si>
  <x:si>
    <x:t xml:space="preserve">TR-M04-056</x:t>
  </x:si>
  <x:si>
    <x:t xml:space="preserve">Clave incorrecta</x:t>
  </x:si>
  <x:si>
    <x:t xml:space="preserve">Estado requiere clave | Reintentar</x:t>
  </x:si>
  <x:si>
    <x:t xml:space="preserve">Mantener recuperación; permitir reintento u otro documento sin confirmar deuda.</x:t>
  </x:si>
  <x:si>
    <x:t xml:space="preserve">M04-RGL-009 | document processing · document_processing_status=clave_incorrecta</x:t>
  </x:si>
  <x:si>
    <x:t xml:space="preserve">document processing · document_processing_status=clave_incorrecta</x:t>
  </x:si>
  <x:si>
    <x:t xml:space="preserve">Reintentar / Subir otro</x:t>
  </x:si>
  <x:si>
    <x:t xml:space="preserve">Carga</x:t>
  </x:si>
  <x:si>
    <x:t xml:space="preserve">Estado clave incorrecta</x:t>
  </x:si>
  <x:si>
    <x:t xml:space="preserve">Obligación: Mantener recuperación; permitir reintento u otro documento sin confirmar deuda. | Resultado: Estado clave incorrecta | Negativo/borde: No tratar error como dato de deuda.</x:t>
  </x:si>
  <x:si>
    <x:t xml:space="preserve">Figma/pieza: Documentado | QA: TC-M04-006, TC-M04-007, TC-M04-008 | Soporte: BDD Tabla24</x:t>
  </x:si>
  <x:si>
    <x:t xml:space="preserve">TR-M04-057</x:t>
  </x:si>
  <x:si>
    <x:t xml:space="preserve">Usuario no dispone de clave</x:t>
  </x:si>
  <x:si>
    <x:t xml:space="preserve">Estado requiere clave | Alternativa</x:t>
  </x:si>
  <x:si>
    <x:t xml:space="preserve">Permitir subir otro documento o registrar manualmente; flujo M04 no queda bloqueado.</x:t>
  </x:si>
  <x:si>
    <x:t xml:space="preserve">M04-RGL-009; M04-RGL-042</x:t>
  </x:si>
  <x:si>
    <x:t xml:space="preserve">Subir otro / Manual</x:t>
  </x:si>
  <x:si>
    <x:t xml:space="preserve">OD-01 / manual</x:t>
  </x:si>
  <x:si>
    <x:t xml:space="preserve">Obligación: Permitir subir otro documento o registrar manualmente; flujo M04 no queda bloqueado. | Resultado: OD-01 / manual | Negativo/borde: No bloquear el módulo.</x:t>
  </x:si>
  <x:si>
    <x:t xml:space="preserve">Figma/pieza: Documentado | QA: TC-M04-006, TC-M04-007, TC-M04-008 | Soporte: Matriz de pantallas y acciones §13.1.1 / BDD §8.13 / TABLE 24</x:t>
  </x:si>
  <x:si>
    <x:t xml:space="preserve">TR-M04-058</x:t>
  </x:si>
  <x:si>
    <x:t xml:space="preserve">FLOW-M04-005 · Onboarding 1 · Error documento</x:t>
  </x:si>
  <x:si>
    <x:t xml:space="preserve">Documento no procesable o sin datos suficientes</x:t>
  </x:si>
  <x:si>
    <x:t xml:space="preserve">Carga/Analizando | Error de procesamiento</x:t>
  </x:si>
  <x:si>
    <x:t xml:space="preserve">Carga/Analizando</x:t>
  </x:si>
  <x:si>
    <x:t xml:space="preserve">Ofrecer otro documento o carga manual; no producir deuda confirmada ni lectura fuerte.</x:t>
  </x:si>
  <x:si>
    <x:t xml:space="preserve">M04-RGL-010; M04-RGL-042 | document processing · document_processing_status=documento_no_procesable</x:t>
  </x:si>
  <x:si>
    <x:t xml:space="preserve">M04-RGL-010; M04-RGL-042</x:t>
  </x:si>
  <x:si>
    <x:t xml:space="preserve">document processing · document_processing_status=documento_no_procesable</x:t>
  </x:si>
  <x:si>
    <x:t xml:space="preserve">Obligación: Ofrecer otro documento o carga manual; no producir deuda confirmada ni lectura fuerte. | Resultado: OD-01 / manual | Negativo/borde: No bloquear ni concluir.</x:t>
  </x:si>
  <x:si>
    <x:t xml:space="preserve">Figma/pieza: Documentado | QA: TC-M04-009 | Soporte: Matriz de pantallas y acciones/Copy UX fallback</x:t>
  </x:si>
  <x:si>
    <x:t xml:space="preserve">TC-M04-009</x:t>
  </x:si>
  <x:si>
    <x:t xml:space="preserve">TR-M04-059</x:t>
  </x:si>
  <x:si>
    <x:t xml:space="preserve">FLOW-M04-006 · Onboarding 2 · Revisión</x:t>
  </x:si>
  <x:si>
    <x:t xml:space="preserve">Deuda detectada con datos suficientes y sin confirmación</x:t>
  </x:si>
  <x:si>
    <x:t xml:space="preserve">OD-02 | Confirmar deuda</x:t>
  </x:si>
  <x:si>
    <x:t xml:space="preserve">Cambiar confirmation_status a confirmed; mantener separación entre confirmar y activar Ruta.</x:t>
  </x:si>
  <x:si>
    <x:t xml:space="preserve">M04-RGL-006; M04-RGL-014, M04-RGL-043 | debt · confirmation_status=confirmed / functional_debt_state</x:t>
  </x:si>
  <x:si>
    <x:t xml:space="preserve">M04-RGL-006; M04-RGL-014, M04-RGL-043</x:t>
  </x:si>
  <x:si>
    <x:t xml:space="preserve">debt · confirmation_status=confirmed / functional_debt_state</x:t>
  </x:si>
  <x:si>
    <x:t xml:space="preserve">Confirmar deuda</x:t>
  </x:si>
  <x:si>
    <x:t xml:space="preserve">OD-02/OD-03</x:t>
  </x:si>
  <x:si>
    <x:t xml:space="preserve">Deuda confirmada; continúa revisión</x:t>
  </x:si>
  <x:si>
    <x:t xml:space="preserve">Obligación: Cambiar confirmation_status a confirmed; mantener separación entre confirmar y activar Ruta. | Resultado: Deuda confirmada; continúa revisión | Negativo/borde: Confirmar deuda no activa la Ruta; la activación requiere el primer “Seguir plan” válido desde RD-02.</x:t>
  </x:si>
  <x:si>
    <x:t xml:space="preserve">Figma/pieza: A- Deudas detectadas, sólo falta confirmación.png | QA: TC-M04-012, TC-M04-013 | Soporte: Figma A deudas detectadas</x:t>
  </x:si>
  <x:si>
    <x:t xml:space="preserve">A- Deudas detectadas, sólo falta confirmación.png</x:t>
  </x:si>
  <x:si>
    <x:t xml:space="preserve">TC-M04-012, TC-M04-013</x:t>
  </x:si>
  <x:si>
    <x:t xml:space="preserve">D-M04-ACT-01 cerrada: elegible ≠ activa; activa con primer “Seguir plan” válido desde RD-02.</x:t>
  </x:si>
  <x:si>
    <x:t xml:space="preserve">TR-M04-060</x:t>
  </x:si>
  <x:si>
    <x:t xml:space="preserve">FLOW-M04-007 · Onboarding 2 · Revisión</x:t>
  </x:si>
  <x:si>
    <x:t xml:space="preserve">Falta dato crítico identificable</x:t>
  </x:si>
  <x:si>
    <x:t xml:space="preserve">OD-02 | Completar información</x:t>
  </x:si>
  <x:si>
    <x:t xml:space="preserve">Mostrar qué falta y acción concreta de completitud; separar tipo/origen/validación.</x:t>
  </x:si>
  <x:si>
    <x:t xml:space="preserve">M04-RGL-043; M04-RGL-012, M04-RGL-013 | debt · debt_type / data_origin / confirmation_status / data_review_required_reason / data_completeness_status</x:t>
  </x:si>
  <x:si>
    <x:t xml:space="preserve">M04-RGL-043; M04-RGL-012, M04-RGL-013</x:t>
  </x:si>
  <x:si>
    <x:t xml:space="preserve">debt · debt_type / data_origin / confirmation_status / data_review_required_reason / data_completeness_status</x:t>
  </x:si>
  <x:si>
    <x:t xml:space="preserve">Completar información</x:t>
  </x:si>
  <x:si>
    <x:t xml:space="preserve">Sheet completar</x:t>
  </x:si>
  <x:si>
    <x:t xml:space="preserve">Sheet completar / reevaluación</x:t>
  </x:si>
  <x:si>
    <x:t xml:space="preserve">Obligación: Mostrar qué falta y acción concreta de completitud; separar tipo/origen/validación. | Resultado: Sheet completar / reevaluación | Negativo/borde: No usar “?” sin acción.</x:t>
  </x:si>
  <x:si>
    <x:t xml:space="preserve">Figma/pieza: B-... + Sheet_Completar datos*.png | QA: TC-M04-074; TC-M04-016, TC-M04-018 | Soporte: Matriz de pantallas y acciones F2-T22/F2-T23 + BDD §8.11-8.12 / TABLE 21-23</x:t>
  </x:si>
  <x:si>
    <x:t xml:space="preserve">B-... + Sheet_Completar datos*.png</x:t>
  </x:si>
  <x:si>
    <x:t xml:space="preserve">TC-M04-074; TC-M04-016, TC-M04-018</x:t>
  </x:si>
  <x:si>
    <x:t xml:space="preserve">TR-M04-061</x:t>
  </x:si>
  <x:si>
    <x:t xml:space="preserve">Usuario completa dato crítico</x:t>
  </x:si>
  <x:si>
    <x:t xml:space="preserve">Sheet completar | Guardar</x:t>
  </x:si>
  <x:si>
    <x:t xml:space="preserve">Persistir dato y reevaluar frescura, completitud y el contrato P4; si el gate queda completo, dejar Ruta elegible sin activarla.</x:t>
  </x:si>
  <x:si>
    <x:t xml:space="preserve">P4-CNT-001; P4-CNT-007; P4-CNT-018</x:t>
  </x:si>
  <x:si>
    <x:t xml:space="preserve">M04-RGL-012; M04-RGL-013, M04-RGL-014 | debt · minimum_data_ready / data_completeness_status / evaluación P4 de Presión / elegibilidad de Ruta</x:t>
  </x:si>
  <x:si>
    <x:t xml:space="preserve">M04-RGL-012; M04-RGL-013, M04-RGL-014</x:t>
  </x:si>
  <x:si>
    <x:t xml:space="preserve">debt · minimum_data_ready / data_completeness_status / evaluación P4 de Presión / elegibilidad de Ruta | P4-CNT-001; P4-CNT-007; P4-CNT-018</x:t>
  </x:si>
  <x:si>
    <x:t xml:space="preserve">OD-02 / OD-03 según gate</x:t>
  </x:si>
  <x:si>
    <x:t xml:space="preserve">Obligación: Persistir dato y reevaluar frescura, completitud y el contrato P4; si el gate queda completo, dejar Ruta elegible sin activarla. | Resultado: OD-02 / OD-03 según gate | Negativo/borde: Reevaluar; completar el gate solo deja la Ruta elegible. La activación ocurre en el primer “Seguir plan” válido.</x:t>
  </x:si>
  <x:si>
    <x:t xml:space="preserve">Figma/pieza: Sheet_Completar datos*.png | QA: TC-M04-016, TC-M04-018 | Soporte: BDD gating</x:t>
  </x:si>
  <x:si>
    <x:t xml:space="preserve">Sheet_Completar datos*.png</x:t>
  </x:si>
  <x:si>
    <x:t xml:space="preserve">TC-M04-016, TC-M04-018</x:t>
  </x:si>
  <x:si>
    <x:t xml:space="preserve">D-M04-ACT-01 cerrada: elegible ≠ activa; activa con primer “Seguir plan” válido desde RD-02. | BC-M04-001 cerrada funcionalmente. Aplicar P4-CNT-001, P4-CNT-007 y P4-CNT-018.</x:t>
  </x:si>
  <x:si>
    <x:t xml:space="preserve">TR-M04-062</x:t>
  </x:si>
  <x:si>
    <x:t xml:space="preserve">Usuario no conoce dato crítico</x:t>
  </x:si>
  <x:si>
    <x:t xml:space="preserve">OD-02 | Guardar pendiente</x:t>
  </x:si>
  <x:si>
    <x:t xml:space="preserve">Conservar como pendiente/incompleta y excluir de conclusión fuerte.</x:t>
  </x:si>
  <x:si>
    <x:t xml:space="preserve">M04-RGL-012; M04-RGL-043 | debt · data_completeness_status / minimum_data_ready=false</x:t>
  </x:si>
  <x:si>
    <x:t xml:space="preserve">M04-RGL-012; M04-RGL-043</x:t>
  </x:si>
  <x:si>
    <x:t xml:space="preserve">debt · data_completeness_status / minimum_data_ready=false</x:t>
  </x:si>
  <x:si>
    <x:t xml:space="preserve">Guardar pendiente</x:t>
  </x:si>
  <x:si>
    <x:t xml:space="preserve">Pendiente visible</x:t>
  </x:si>
  <x:si>
    <x:t xml:space="preserve">Obligación: Conservar como pendiente/incompleta y excluir de conclusión fuerte. | Resultado: Pendiente visible | Negativo/borde: No obligar a inventar dato.</x:t>
  </x:si>
  <x:si>
    <x:t xml:space="preserve">Figma/pieza: Documentado | QA: TC-M04-016, TC-M04-018; TC-M04-074 | Soporte: Matriz de pantallas y acciones F2-T23 + BDD §9.2 / TABLE 27-28</x:t>
  </x:si>
  <x:si>
    <x:t xml:space="preserve">TC-M04-016, TC-M04-018; TC-M04-074</x:t>
  </x:si>
  <x:si>
    <x:t xml:space="preserve">TR-M04-063</x:t>
  </x:si>
  <x:si>
    <x:t xml:space="preserve">Documento identifica deuda/pago pero datos son parciales</x:t>
  </x:si>
  <x:si>
    <x:t xml:space="preserve">OD-02 | Revisar/Completar</x:t>
  </x:si>
  <x:si>
    <x:t xml:space="preserve">Crear deuda pendiente con origen parcial; si el quality gate no permite una evaluación confiable, mantener resultado parcial/no calculable y orientar a completar/revisar; si está confirmada pero imprecisa, conservar lectura condicionada.</x:t>
  </x:si>
  <x:si>
    <x:t xml:space="preserve">M04-RGL-012; M04-RGL-013, M04-RGL-043 | debt · data_origin / data_confidence_level / data_completeness_status / pressure_evaluation_status</x:t>
  </x:si>
  <x:si>
    <x:t xml:space="preserve">M04-RGL-012; M04-RGL-013, M04-RGL-043</x:t>
  </x:si>
  <x:si>
    <x:t xml:space="preserve">debt · data_origin / data_confidence_level / data_completeness_status / pressure_evaluation_status</x:t>
  </x:si>
  <x:si>
    <x:t xml:space="preserve">Completar / Revisar</x:t>
  </x:si>
  <x:si>
    <x:t xml:space="preserve">Pendiente / atención condicionada</x:t>
  </x:si>
  <x:si>
    <x:t xml:space="preserve">M04 | Documento parcial</x:t>
  </x:si>
  <x:si>
    <x:t xml:space="preserve">Obligación: Crear deuda pendiente con origen parcial; si el quality gate no permite una evaluación confiable, mantener resultado parcial/no calculable y orientar a completar/revisar; si está confirmada pero imprecisa, conservar lectura condicionada. | Resultado: Pendiente / atención condicionada | Negativo/borde: No concluir fuerte con extracción parcial.</x:t>
  </x:si>
  <x:si>
    <x:t xml:space="preserve">Figma/pieza: No inequívoco en Figma | QA: TC-M04-016, TC-M04-018 | Soporte: Reglas contextuales y severidad OP-004</x:t>
  </x:si>
  <x:si>
    <x:t xml:space="preserve">No inequívoco en Figma</x:t>
  </x:si>
  <x:si>
    <x:t xml:space="preserve">TR-M04-064</x:t>
  </x:si>
  <x:si>
    <x:t xml:space="preserve">FLOW-M04-008 · Onboarding 2 · Revisión</x:t>
  </x:si>
  <x:si>
    <x:t xml:space="preserve">Deuda ya confirmada</x:t>
  </x:si>
  <x:si>
    <x:t xml:space="preserve">OD-02 | Continuar/Revisar</x:t>
  </x:si>
  <x:si>
    <x:t xml:space="preserve">Mantener estado confirmado y continuar resolución del resto de instancias.</x:t>
  </x:si>
  <x:si>
    <x:t xml:space="preserve">M04-RGL-006; M04-RGL-011 | debt · confirmation_status / functional_debt_state</x:t>
  </x:si>
  <x:si>
    <x:t xml:space="preserve">M04-RGL-006; M04-RGL-011</x:t>
  </x:si>
  <x:si>
    <x:t xml:space="preserve">debt · confirmation_status / functional_debt_state</x:t>
  </x:si>
  <x:si>
    <x:t xml:space="preserve">Continuar</x:t>
  </x:si>
  <x:si>
    <x:t xml:space="preserve">OD-02 / OD-03 al completar</x:t>
  </x:si>
  <x:si>
    <x:t xml:space="preserve">Obligación: Mantener estado confirmado y continuar resolución del resto de instancias. | Resultado: OD-02 / OD-03 al completar | Negativo/borde: No reconfirmar ni duplicar.</x:t>
  </x:si>
  <x:si>
    <x:t xml:space="preserve">Figma/pieza: C- Deudas confirmadas.png | Soporte: Matriz de pantallas y acciones estado deuda + BDD §11.1 / TABLE 29</x:t>
  </x:si>
  <x:si>
    <x:t xml:space="preserve">C- Deudas confirmadas.png</x:t>
  </x:si>
  <x:si>
    <x:t xml:space="preserve">TR-M04-065</x:t>
  </x:si>
  <x:si>
    <x:t xml:space="preserve">Todas las instancias relevantes están resueltas</x:t>
  </x:si>
  <x:si>
    <x:t xml:space="preserve">OD-02 | Finalizar revisión</x:t>
  </x:si>
  <x:si>
    <x:t xml:space="preserve">Cerrar revisión por lote y derivar a evaluación/resultado.</x:t>
  </x:si>
  <x:si>
    <x:t xml:space="preserve">M04-RGL-011; M04-RGL-012 | debt · confirmation_status por instancia / data_completeness_status</x:t>
  </x:si>
  <x:si>
    <x:t xml:space="preserve">M04-RGL-011; M04-RGL-012</x:t>
  </x:si>
  <x:si>
    <x:t xml:space="preserve">debt · confirmation_status por instancia / data_completeness_status</x:t>
  </x:si>
  <x:si>
    <x:t xml:space="preserve">OD-03</x:t>
  </x:si>
  <x:si>
    <x:t xml:space="preserve">Obligación: Cerrar revisión por lote y derivar a evaluación/resultado. | Resultado: OD-03 | Negativo/borde: Pendientes restantes no deben colarse a conclusión fuerte.</x:t>
  </x:si>
  <x:si>
    <x:t xml:space="preserve">Figma/pieza: Figma revisión | Soporte: Matriz de pantallas y acciones revisión lote</x:t>
  </x:si>
  <x:si>
    <x:t xml:space="preserve">Figma revisión</x:t>
  </x:si>
  <x:si>
    <x:t xml:space="preserve">TR-M04-066</x:t>
  </x:si>
  <x:si>
    <x:t xml:space="preserve">FLOW-M04-009 · Onboarding 2 · Revisión</x:t>
  </x:si>
  <x:si>
    <x:t xml:space="preserve">Usuario no reconoce deuda</x:t>
  </x:si>
  <x:si>
    <x:t xml:space="preserve">OD-02 deuda detectada | No corresponde</x:t>
  </x:si>
  <x:si>
    <x:t xml:space="preserve">OD-02 deuda detectada</x:t>
  </x:si>
  <x:si>
    <x:t xml:space="preserve">Excluir de Salud/Ruta; conservar provenance mínima de origen/decisión.</x:t>
  </x:si>
  <x:si>
    <x:t xml:space="preserve">M04-RGL-007 | debt · confirmation_status=dismissed / debt_status=no_corresponde / data_origin</x:t>
  </x:si>
  <x:si>
    <x:t xml:space="preserve">M04-RGL-007</x:t>
  </x:si>
  <x:si>
    <x:t xml:space="preserve">debt · confirmation_status=dismissed / debt_status=no_corresponde / data_origin</x:t>
  </x:si>
  <x:si>
    <x:t xml:space="preserve">No corresponde</x:t>
  </x:si>
  <x:si>
    <x:t xml:space="preserve">Instancia descartada</x:t>
  </x:si>
  <x:si>
    <x:t xml:space="preserve">Obligación: Excluir de Salud/Ruta; conservar provenance mínima de origen/decisión. | Resultado: Instancia descartada | Negativo/borde: No borrar trazabilidad necesaria.</x:t>
  </x:si>
  <x:si>
    <x:t xml:space="preserve">Figma/pieza: Modal No corresponde · documentado | QA: TC-M04-014 | Soporte: Reglas contextuales y severidad/Copy UX</x:t>
  </x:si>
  <x:si>
    <x:t xml:space="preserve">Modal No corresponde · documentado</x:t>
  </x:si>
  <x:si>
    <x:t xml:space="preserve">TC-M04-014</x:t>
  </x:si>
  <x:si>
    <x:t xml:space="preserve">TR-M04-067</x:t>
  </x:si>
  <x:si>
    <x:t xml:space="preserve">FLOW-M04-010 · Onboarding 2 · Revisión</x:t>
  </x:si>
  <x:si>
    <x:t xml:space="preserve">Existe duplicado probable</x:t>
  </x:si>
  <x:si>
    <x:t xml:space="preserve">OD-02 deuda detectada/registrada | Revisar coincidencia</x:t>
  </x:si>
  <x:si>
    <x:t xml:space="preserve">OD-02 deuda detectada/registrada</x:t>
  </x:si>
  <x:si>
    <x:t xml:space="preserve">Solicitar revisión; no fusionar automáticamente ni doble contabilizar.</x:t>
  </x:si>
  <x:si>
    <x:t xml:space="preserve">M04-RGL-008 | debt · debt_id / signal_status / confirmation_status</x:t>
  </x:si>
  <x:si>
    <x:t xml:space="preserve">M04-RGL-008</x:t>
  </x:si>
  <x:si>
    <x:t xml:space="preserve">debt · debt_id / signal_status / confirmation_status</x:t>
  </x:si>
  <x:si>
    <x:t xml:space="preserve">Revisar coincidencia</x:t>
  </x:si>
  <x:si>
    <x:t xml:space="preserve">Una instancia válida / pendiente resolución</x:t>
  </x:si>
  <x:si>
    <x:t xml:space="preserve">Obligación: Solicitar revisión; no fusionar automáticamente ni doble contabilizar. | Resultado: Una instancia válida / pendiente resolución | Negativo/borde: No auto-merge.</x:t>
  </x:si>
  <x:si>
    <x:t xml:space="preserve">Figma/pieza: Modal duplicado · documentado | QA: TC-M04-015 | Soporte: Reglas contextuales y severidad/Copy UX</x:t>
  </x:si>
  <x:si>
    <x:t xml:space="preserve">Modal duplicado · documentado</x:t>
  </x:si>
  <x:si>
    <x:t xml:space="preserve">TC-M04-015</x:t>
  </x:si>
  <x:si>
    <x:t xml:space="preserve">TR-M04-068</x:t>
  </x:si>
  <x:si>
    <x:t xml:space="preserve">FLOW-M04-011 · Onboarding 2 · Revisión</x:t>
  </x:si>
  <x:si>
    <x:t xml:space="preserve">Documento contiene múltiples posibles deudas</x:t>
  </x:si>
  <x:si>
    <x:t xml:space="preserve">OD-02 lote | Revisar pendientes</x:t>
  </x:si>
  <x:si>
    <x:t xml:space="preserve">OD-02 lote</x:t>
  </x:si>
  <x:si>
    <x:t xml:space="preserve">Separar instancias y revisar individualmente; no consolidar lote por defecto.</x:t>
  </x:si>
  <x:si>
    <x:t xml:space="preserve">M04-RGL-011; M04-RGL-043 | debt · debt_id por instancia / confirmation_status / data_completeness_status</x:t>
  </x:si>
  <x:si>
    <x:t xml:space="preserve">M04-RGL-011; M04-RGL-043</x:t>
  </x:si>
  <x:si>
    <x:t xml:space="preserve">debt · debt_id por instancia / confirmation_status / data_completeness_status</x:t>
  </x:si>
  <x:si>
    <x:t xml:space="preserve">Revisar pendientes</x:t>
  </x:si>
  <x:si>
    <x:t xml:space="preserve">Lista con estados individuales</x:t>
  </x:si>
  <x:si>
    <x:t xml:space="preserve">Obligación: Separar instancias y revisar individualmente; no consolidar lote por defecto. | Resultado: Lista con estados individuales | Negativo/borde: No confirmar todas en bloque.</x:t>
  </x:si>
  <x:si>
    <x:t xml:space="preserve">Figma/pieza: Revisión por lote | QA: TC-M04-011, TC-M04-017 | Soporte: Figma/Reglas contextuales y severidad</x:t>
  </x:si>
  <x:si>
    <x:t xml:space="preserve">Revisión por lote</x:t>
  </x:si>
  <x:si>
    <x:t xml:space="preserve">TC-M04-011, TC-M04-017</x:t>
  </x:si>
  <x:si>
    <x:t xml:space="preserve">TR-M04-069</x:t>
  </x:si>
  <x:si>
    <x:t xml:space="preserve">Solo parte del lote está resuelta</x:t>
  </x:si>
  <x:si>
    <x:t xml:space="preserve">OD-02 lote | Continuar revisión</x:t>
  </x:si>
  <x:si>
    <x:t xml:space="preserve">Mantener pendientes visibles y fuera de lectura concluyente hasta resolverlas.</x:t>
  </x:si>
  <x:si>
    <x:t xml:space="preserve">M04-RGL-011; M04-RGL-012 | debt · confirmation_status / data_completeness_status</x:t>
  </x:si>
  <x:si>
    <x:t xml:space="preserve">debt · confirmation_status / data_completeness_status</x:t>
  </x:si>
  <x:si>
    <x:t xml:space="preserve">OD-02 / perfil pendiente</x:t>
  </x:si>
  <x:si>
    <x:t xml:space="preserve">Obligación: Mantener pendientes visibles y fuera de lectura concluyente hasta resolverlas. | Resultado: OD-02 / perfil pendiente | Negativo/borde: No mezclar confirmadas y pendientes en conclusión fuerte.</x:t>
  </x:si>
  <x:si>
    <x:t xml:space="preserve">Figma/pieza: Figma revisión | QA: TC-M04-011, TC-M04-017 | Soporte: Reglas contextuales y severidad/Matriz de pantallas y acciones</x:t>
  </x:si>
  <x:si>
    <x:t xml:space="preserve">TR-M04-070</x:t>
  </x:si>
  <x:si>
    <x:t xml:space="preserve">FLOW-M04-012 · Onboarding 2→3</x:t>
  </x:si>
  <x:si>
    <x:t xml:space="preserve">Base completa para evaluación</x:t>
  </x:si>
  <x:si>
    <x:t xml:space="preserve">OD-02→OD-03 | Siguiente/Validar</x:t>
  </x:si>
  <x:si>
    <x:t xml:space="preserve">OD-02→OD-03</x:t>
  </x:si>
  <x:si>
    <x:t xml:space="preserve">Evaluar confirmación, suficiencia, frescura y Presión P4 antes de producir resultado.</x:t>
  </x:si>
  <x:si>
    <x:t xml:space="preserve">P4-CNT-001; P4-CNT-007; P4-CNT-008</x:t>
  </x:si>
  <x:si>
    <x:t xml:space="preserve">M04-RGL-012; M04-RGL-013, M04-RGL-014, M04-RGL-038 | debt / debt_signal · confirmation_status / minimum_data_ready / data_freshness_status / inputs C-K-D / Presión final / versión de regla</x:t>
  </x:si>
  <x:si>
    <x:t xml:space="preserve">M04-RGL-012; M04-RGL-013, M04-RGL-014, M04-RGL-038</x:t>
  </x:si>
  <x:si>
    <x:t xml:space="preserve">debt / debt_signal · confirmation_status / minimum_data_ready / data_freshness_status / inputs C-K-D / Presión final / versión de regla | P4-CNT-001; P4-CNT-007; P4-CNT-008</x:t>
  </x:si>
  <x:si>
    <x:t xml:space="preserve">Siguiente/Validar</x:t>
  </x:si>
  <x:si>
    <x:t xml:space="preserve">OD-03 con lectura aplicable</x:t>
  </x:si>
  <x:si>
    <x:t xml:space="preserve">Obligación: Evaluar confirmación, suficiencia, frescura y Presión P4 antes de producir resultado. | Resultado: OD-03 con lectura aplicable | Negativo/borde: No usar Figma porcentaje como oráculo.</x:t>
  </x:si>
  <x:si>
    <x:t xml:space="preserve">Figma/pieza: onboarding 3. Resultado.png | QA: TC-M04-019; TC-M04-020, TC-M04-021, TC-M04-071 | Soporte: Flujo funcional/Reglas contextuales y severidad/BDD</x:t>
  </x:si>
  <x:si>
    <x:t xml:space="preserve">onboarding 3. Resultado.png</x:t>
  </x:si>
  <x:si>
    <x:t xml:space="preserve">TC-M04-019; TC-M04-020, TC-M04-021, TC-M04-071</x:t>
  </x:si>
  <x:si>
    <x:t xml:space="preserve">Vigente | Oráculo financiero: P4-CNT-001, P4-CNT-007, P4-CNT-008. Porcentajes Figma no son input.</x:t>
  </x:si>
  <x:si>
    <x:t xml:space="preserve">TR-M04-071</x:t>
  </x:si>
  <x:si>
    <x:t xml:space="preserve">Base permite lectura cualitativa pero precisión es limitada</x:t>
  </x:si>
  <x:si>
    <x:t xml:space="preserve">Degradar la lectura cuando la calidad es insuficiente; un faltante material bloquea En Control, sin borrar evidencia adversa independientemente suficiente.</x:t>
  </x:si>
  <x:si>
    <x:t xml:space="preserve">P4-CNT-001</x:t>
  </x:si>
  <x:si>
    <x:t xml:space="preserve">M04-RGL-013; M04-RGL-012, M04-RGL-037 | debt · data_confidence_level / data_freshness_status / blocking_missing_fields</x:t>
  </x:si>
  <x:si>
    <x:t xml:space="preserve">M04-RGL-013; M04-RGL-012, M04-RGL-037</x:t>
  </x:si>
  <x:si>
    <x:t xml:space="preserve">debt · data_confidence_level / data_freshness_status / blocking_missing_fields | P4-CNT-001</x:t>
  </x:si>
  <x:si>
    <x:t xml:space="preserve">Completar/Corregir</x:t>
  </x:si>
  <x:si>
    <x:t xml:space="preserve">OD-03 parcial / completitud; sin conclusión favorable fuerte</x:t>
  </x:si>
  <x:si>
    <x:t xml:space="preserve">Obligación: Degradar la lectura cuando la calidad es insuficiente; un faltante material bloquea En Control, sin borrar evidencia adversa independientemente suficiente. | Resultado: OD-03 parcial / completitud; sin conclusión favorable fuerte | Negativo/borde: No simular certeza.</x:t>
  </x:si>
  <x:si>
    <x:t xml:space="preserve">Figma/pieza: Figma resultado + doc | QA: TC-M04-020, TC-M04-021, TC-M04-071; TC-M04-019 | Soporte: Reglas contextuales y severidad/Copy UX</x:t>
  </x:si>
  <x:si>
    <x:t xml:space="preserve">Figma resultado + doc</x:t>
  </x:si>
  <x:si>
    <x:t xml:space="preserve">Documentado/observado</x:t>
  </x:si>
  <x:si>
    <x:t xml:space="preserve">TC-M04-020, TC-M04-021, TC-M04-071; TC-M04-019</x:t>
  </x:si>
  <x:si>
    <x:t xml:space="preserve">Vigente | Aplicar G1/G2 de P4-CNT-001; Salud solo si es evaluable.</x:t>
  </x:si>
  <x:si>
    <x:t xml:space="preserve">TR-M04-072</x:t>
  </x:si>
  <x:si>
    <x:t xml:space="preserve">Falta dato crítico o confirmación</x:t>
  </x:si>
  <x:si>
    <x:t xml:space="preserve">Bloquear conclusión fuerte favorable y devolver a completitud/confirmación cuando falte dato material o confirmación.</x:t>
  </x:si>
  <x:si>
    <x:t xml:space="preserve">P4-CNT-001; P4-CNT-018</x:t>
  </x:si>
  <x:si>
    <x:t xml:space="preserve">M04-RGL-012; M04-RGL-014 | debt · minimum_data_ready=false / confirmation_status / route_activation_allowed=false</x:t>
  </x:si>
  <x:si>
    <x:t xml:space="preserve">M04-RGL-012; M04-RGL-014</x:t>
  </x:si>
  <x:si>
    <x:t xml:space="preserve">debt · minimum_data_ready=false / confirmation_status / route_activation_allowed=false | P4-CNT-001; P4-CNT-018</x:t>
  </x:si>
  <x:si>
    <x:t xml:space="preserve">Completar/Confirmar</x:t>
  </x:si>
  <x:si>
    <x:t xml:space="preserve">Obligación: Bloquear conclusión fuerte favorable y devolver a completitud/confirmación cuando falte dato material o confirmación. | Resultado: OD-02 / pendiente | Negativo/borde: No mostrar plan/cronograma.</x:t>
  </x:si>
  <x:si>
    <x:t xml:space="preserve">Figma/pieza: Documentado | QA: TC-M04-019 | Soporte: BDD gating</x:t>
  </x:si>
  <x:si>
    <x:t xml:space="preserve">TC-M04-019</x:t>
  </x:si>
  <x:si>
    <x:t xml:space="preserve">Vigente | Aplicar P4-CNT-001 y P4-CNT-018; no fabricar En Control.</x:t>
  </x:si>
  <x:si>
    <x:t xml:space="preserve">TR-M04-073</x:t>
  </x:si>
  <x:si>
    <x:t xml:space="preserve">FLOW-M04-013 · Onboarding 3 · Resultado</x:t>
  </x:si>
  <x:si>
    <x:t xml:space="preserve">Deuda confirmada con Presión final En Control y datos suficientes</x:t>
  </x:si>
  <x:si>
    <x:t xml:space="preserve">OD-03 Resultado | Ver detalle/Revisar pagos</x:t>
  </x:si>
  <x:si>
    <x:t xml:space="preserve">OD-03 Resultado</x:t>
  </x:si>
  <x:si>
    <x:t xml:space="preserve">Mostrar En Control/seguimiento y mantener Ruta inactiva; el CTA operativo puede derivar a M06 sin cambiar ownership.</x:t>
  </x:si>
  <x:si>
    <x:t xml:space="preserve">P4-CNT-007</x:t>
  </x:si>
  <x:si>
    <x:t xml:space="preserve">M04-RGL-017; M04-RGL-037 | debt · Presión final=En Control / Salud según aging y suficiencia</x:t>
  </x:si>
  <x:si>
    <x:t xml:space="preserve">M04-RGL-017; M04-RGL-037</x:t>
  </x:si>
  <x:si>
    <x:t xml:space="preserve">debt · Presión final=En Control / Salud según aging y suficiencia | P4-CNT-007</x:t>
  </x:si>
  <x:si>
    <x:t xml:space="preserve">Ver detalle / Revisar pagos</x:t>
  </x:si>
  <x:si>
    <x:t xml:space="preserve">DD-01 / M06</x:t>
  </x:si>
  <x:si>
    <x:t xml:space="preserve">En Control · detalle/seguimiento</x:t>
  </x:si>
  <x:si>
    <x:t xml:space="preserve">M04/M06</x:t>
  </x:si>
  <x:si>
    <x:t xml:space="preserve">M04 | M06 pagos</x:t>
  </x:si>
  <x:si>
    <x:t xml:space="preserve">Obligación: Mostrar En Control/seguimiento y mantener Ruta inactiva; el CTA operativo puede derivar a M06 sin cambiar ownership. | Resultado: En Control · detalle/seguimiento | Negativo/borde: No activar Ruta por deuda confirmada sin presión.</x:t>
  </x:si>
  <x:si>
    <x:t xml:space="preserve">Figma/pieza: Primera lectura - en control*.png | QA: TC-M04-023; TC-M04-035 | Soporte: Reglas contextuales y severidad/Copy UX/Figma</x:t>
  </x:si>
  <x:si>
    <x:t xml:space="preserve">Primera lectura - en control*.png</x:t>
  </x:si>
  <x:si>
    <x:t xml:space="preserve">TC-M04-023; TC-M04-035</x:t>
  </x:si>
  <x:si>
    <x:t xml:space="preserve">Vigente | Estado funcional calculado por P4-CNT-007; representación visual se mantiene desacoplada.</x:t>
  </x:si>
  <x:si>
    <x:t xml:space="preserve">TR-M04-074</x:t>
  </x:si>
  <x:si>
    <x:t xml:space="preserve">Estado En Control M04 con acción operativa de pagos perteneciente a M06.</x:t>
  </x:si>
  <x:si>
    <x:t xml:space="preserve">OD-03 Resultado | Revisar mis pagos</x:t>
  </x:si>
  <x:si>
    <x:t xml:space="preserve">CTA observado deriva a M06/Pagos manteniendo owner M06.</x:t>
  </x:si>
  <x:si>
    <x:t xml:space="preserve">M04-RGL-016; M04-RGL-039 | debt_signal · signal_code inbound M06</x:t>
  </x:si>
  <x:si>
    <x:t xml:space="preserve">M04-RGL-016; M04-RGL-039</x:t>
  </x:si>
  <x:si>
    <x:t xml:space="preserve">debt_signal · signal_code inbound M06</x:t>
  </x:si>
  <x:si>
    <x:t xml:space="preserve">Revisar mis pagos</x:t>
  </x:si>
  <x:si>
    <x:t xml:space="preserve">M06/Pagos</x:t>
  </x:si>
  <x:si>
    <x:t xml:space="preserve">M04/M03</x:t>
  </x:si>
  <x:si>
    <x:t xml:space="preserve">Obligación: CTA observado deriva a M06/Pagos manteniendo owner M06. | Resultado: M06/Pagos | Negativo/borde: No convertir CTA M06 en señal producida por M04.</x:t>
  </x:si>
  <x:si>
    <x:t xml:space="preserve">Figma/pieza: Primera lectura - en control*.png | Soporte: Figma 4.5 En Control</x:t>
  </x:si>
  <x:si>
    <x:t xml:space="preserve">TR-M04-075</x:t>
  </x:si>
  <x:si>
    <x:t xml:space="preserve">Tarjeta con total facturado pagado dentro del ciclo</x:t>
  </x:si>
  <x:si>
    <x:t xml:space="preserve">OD-03 Resultado | Lectura de ciclo</x:t>
  </x:si>
  <x:si>
    <x:t xml:space="preserve">Ciclo con total facturado cubierto: D0 por este comportamiento. La Presión final se determina por el contrato P4 completo; no escalar por el ciclo pagado.</x:t>
  </x:si>
  <x:si>
    <x:t xml:space="preserve">P4-CNT-015</x:t>
  </x:si>
  <x:si>
    <x:t xml:space="preserve">debt_cycle · statement_total_amount / payment_made_amount / cycle_evaluation_status / D=D0 | P4-CNT-015</x:t>
  </x:si>
  <x:si>
    <x:t xml:space="preserve">Lectura de ciclo</x:t>
  </x:si>
  <x:si>
    <x:t xml:space="preserve">D0 por ciclo; Presión/Salud según contrato P4</x:t>
  </x:si>
  <x:si>
    <x:t xml:space="preserve">Obligación: Ciclo con total facturado cubierto: D0 por este comportamiento. La Presión final se determina por el contrato P4 completo; no escalar por el ciclo pagado. | Resultado: D0 por ciclo; Presión/Salud según contrato P4 | Negativo/borde: No falso rojo.</x:t>
  </x:si>
  <x:si>
    <x:t xml:space="preserve">Figma/pieza: Figma En Control + BDD | QA: TC-M04-067; TC-M04-023 | Soporte: BDD tarjetas por ciclo</x:t>
  </x:si>
  <x:si>
    <x:t xml:space="preserve">Figma En Control + BDD</x:t>
  </x:si>
  <x:si>
    <x:t xml:space="preserve">TC-M04-067; TC-M04-023</x:t>
  </x:si>
  <x:si>
    <x:t xml:space="preserve">TR-M04-076</x:t>
  </x:si>
  <x:si>
    <x:t xml:space="preserve">Compras en cuotas al día</x:t>
  </x:si>
  <x:si>
    <x:t xml:space="preserve">OD-03 Resultado | Lectura de cuotas</x:t>
  </x:si>
  <x:si>
    <x:t xml:space="preserve">Compras en cuotas al día: D0 por ese comportamiento; la cuota sí integra C cuando corresponda y no activa Ruta por existir.</x:t>
  </x:si>
  <x:si>
    <x:t xml:space="preserve">P4-CNT-002; P4-CNT-015</x:t>
  </x:si>
  <x:si>
    <x:t xml:space="preserve">debt_cycle · installment_monthly_amount / payment_status_cycle / D=D0 | P4-CNT-002; P4-CNT-015</x:t>
  </x:si>
  <x:si>
    <x:t xml:space="preserve">Lectura de cuotas</x:t>
  </x:si>
  <x:si>
    <x:t xml:space="preserve">D0 por cuotas al día; Presión según C×K×D</x:t>
  </x:si>
  <x:si>
    <x:t xml:space="preserve">Obligación: Compras en cuotas al día: D0 por ese comportamiento; la cuota sí integra C cuando corresponda y no activa Ruta por existir. | Resultado: D0 por cuotas al día; Presión según C×K×D | Negativo/borde: No crisis por existir cuotas.</x:t>
  </x:si>
  <x:si>
    <x:t xml:space="preserve">Figma/pieza: Figma En Control + BDD | QA: TC-M04-067; TC-M04-023 | Soporte: BDD compras en cuotas</x:t>
  </x:si>
  <x:si>
    <x:t xml:space="preserve">TR-M04-077</x:t>
  </x:si>
  <x:si>
    <x:t xml:space="preserve">FLOW-M04-014 · Onboarding 3 · Resultado</x:t>
  </x:si>
  <x:si>
    <x:t xml:space="preserve">Capacidad ajustada/baja según K canónico</x:t>
  </x:si>
  <x:si>
    <x:t xml:space="preserve">OD-03 Resultado | Revisar</x:t>
  </x:si>
  <x:si>
    <x:t xml:space="preserve">No aplicar un floor independiente de 5%. Consumir K canónico y dejar que C×K×D determine Presión.</x:t>
  </x:si>
  <x:si>
    <x:t xml:space="preserve">P4-CNT-004; P4-CNT-005</x:t>
  </x:si>
  <x:si>
    <x:t xml:space="preserve">M04-RGL-023; M04-RGL-018 | debt_signal · headroom canónico M05 / banda K / versión</x:t>
  </x:si>
  <x:si>
    <x:t xml:space="preserve">M04-RGL-023; M04-RGL-018</x:t>
  </x:si>
  <x:si>
    <x:t xml:space="preserve">debt_signal · headroom canónico M05 / banda K / versión | P4-CNT-004; P4-CNT-005</x:t>
  </x:si>
  <x:si>
    <x:t xml:space="preserve">Revisar</x:t>
  </x:si>
  <x:si>
    <x:t xml:space="preserve">DD-01/OD</x:t>
  </x:si>
  <x:si>
    <x:t xml:space="preserve">Presión según K y resto del motor; sin mapping 5% autónomo</x:t>
  </x:si>
  <x:si>
    <x:t xml:space="preserve">Obligación: No aplicar un floor independiente de 5%. Consumir K canónico y dejar que C×K×D determine Presión. | Resultado: Presión según K y resto del motor; sin mapping 5% autónomo | Negativo/borde: No convertir holgura en score Figma.</x:t>
  </x:si>
  <x:si>
    <x:t xml:space="preserve">Figma/pieza: OD-03 Atención | QA: TC-M04-034 | Soporte: Reglas contextuales y severidad/BDD</x:t>
  </x:si>
  <x:si>
    <x:t xml:space="preserve">OD-03 Atención</x:t>
  </x:si>
  <x:si>
    <x:t xml:space="preserve">TC-M04-034</x:t>
  </x:si>
  <x:si>
    <x:t xml:space="preserve">Vigente | RGL-023 absorbida por P4-CNT-004/P4-CNT-005.</x:t>
  </x:si>
  <x:si>
    <x:t xml:space="preserve">TR-M04-078</x:t>
  </x:si>
  <x:si>
    <x:t xml:space="preserve">4+ cuotas y ratio agregado &gt;=8% del ingreso</x:t>
  </x:si>
  <x:si>
    <x:t xml:space="preserve">OD-03 Resultado | Revisar deudas</x:t>
  </x:si>
  <x:si>
    <x:t xml:space="preserve">Registrar detector contextual de fragmentación. No altera por sí solo la banda de Presión ni la elegibilidad de Ruta.</x:t>
  </x:si>
  <x:si>
    <x:t xml:space="preserve">P4-CNT-014</x:t>
  </x:si>
  <x:si>
    <x:t xml:space="preserve">M04-RGL-022; M04-RGL-018 | debt_signal · conteo de cuotas activas / ratio agregado / versión de parámetros</x:t>
  </x:si>
  <x:si>
    <x:t xml:space="preserve">M04-RGL-022; M04-RGL-018</x:t>
  </x:si>
  <x:si>
    <x:t xml:space="preserve">debt_signal · conteo de cuotas activas / ratio agregado / versión de parámetros | P4-CNT-014</x:t>
  </x:si>
  <x:si>
    <x:t xml:space="preserve">Revisar deudas</x:t>
  </x:si>
  <x:si>
    <x:t xml:space="preserve">DD-01/RD si escala</x:t>
  </x:si>
  <x:si>
    <x:t xml:space="preserve">Detector contextual; Presión conserva resultado de C×K×D/overlays</x:t>
  </x:si>
  <x:si>
    <x:t xml:space="preserve">Obligación: Registrar detector contextual de fragmentación. No altera por sí solo la banda de Presión ni la elegibilidad de Ruta. | Resultado: Detector contextual; Presión conserva resultado de C×K×D/overlays | Negativo/borde: No activar Ruta por regla aislada.</x:t>
  </x:si>
  <x:si>
    <x:t xml:space="preserve">Figma/pieza: OD-03 Atención | QA: TC-M04-032, TC-M04-033 | Soporte: Reglas contextuales y severidad/BDD</x:t>
  </x:si>
  <x:si>
    <x:t xml:space="preserve">TC-M04-032, TC-M04-033</x:t>
  </x:si>
  <x:si>
    <x:t xml:space="preserve">Vigente | Aplicar P4-CNT-014; no floor.</x:t>
  </x:si>
  <x:si>
    <x:t xml:space="preserve">TR-M04-079</x:t>
  </x:si>
  <x:si>
    <x:t xml:space="preserve">Liquidez financiada puntual para flujo ordinario, justificable como descalce y no recurrente</x:t>
  </x:si>
  <x:si>
    <x:t xml:space="preserve">Mantener contexto sin floor en el primer ciclo; si reaparece en ciclos consecutivos comparables, reevaluar bajo recurrencia RGL-021.</x:t>
  </x:si>
  <x:si>
    <x:t xml:space="preserve">P4-CNT-011; P4-CNT-012; P4-CNT-013</x:t>
  </x:si>
  <x:si>
    <x:t xml:space="preserve">M04-RGL-021; M04-RGL-018 | debt_signal · naturaleza financiada / finalidad confirmada / ciclo / comparabilidad / recurrencia</x:t>
  </x:si>
  <x:si>
    <x:t xml:space="preserve">M04-RGL-021; M04-RGL-018</x:t>
  </x:si>
  <x:si>
    <x:t xml:space="preserve">debt_signal · naturaleza financiada / finalidad confirmada / ciclo / comparabilidad / recurrencia | P4-CNT-011; P4-CNT-012; P4-CNT-013</x:t>
  </x:si>
  <x:si>
    <x:t xml:space="preserve">DD-01</x:t>
  </x:si>
  <x:si>
    <x:t xml:space="preserve">Contexto / seguimiento; posible primer ciclo de patrón</x:t>
  </x:si>
  <x:si>
    <x:t xml:space="preserve">Obligación: Mantener contexto sin floor en el primer ciclo; si reaparece en ciclos consecutivos comparables, reevaluar bajo recurrencia RGL-021. | Resultado: Contexto / seguimiento; posible primer ciclo de patrón | Negativo/borde: No promover a regla cerrada durante .</x:t>
  </x:si>
  <x:si>
    <x:t xml:space="preserve">Figma/pieza: OD-03 Atención | QA: TC-M04-028 | Soporte: Reglas contextuales y severidad SD-015</x:t>
  </x:si>
  <x:si>
    <x:t xml:space="preserve">Observado conceptual</x:t>
  </x:si>
  <x:si>
    <x:t xml:space="preserve">TC-M04-028</x:t>
  </x:si>
  <x:si>
    <x:t xml:space="preserve">Vigente | Aplicar P4-CNT-011, P4-CNT-013, P4-CNT-012.</x:t>
  </x:si>
  <x:si>
    <x:t xml:space="preserve">TR-M04-080</x:t>
  </x:si>
  <x:si>
    <x:t xml:space="preserve">Cuotas con intereses/CAE/comisiones sin presión fuerte</x:t>
  </x:si>
  <x:si>
    <x:t xml:space="preserve">Interés, CAE o comisión financiera ordinaria no genera D por sí sola. Si está incorporada en la cuota/servicio, impacta C sin doble conteo.</x:t>
  </x:si>
  <x:si>
    <x:t xml:space="preserve">debt_cycle · costo financiero confirmado / servicio mensual normalizado / D=D0 | P4-CNT-002; P4-CNT-015</x:t>
  </x:si>
  <x:si>
    <x:t xml:space="preserve">D0 por costo ordinario; Presión según C×K×D</x:t>
  </x:si>
  <x:si>
    <x:t xml:space="preserve">Obligación: Interés, CAE o comisión financiera ordinaria no genera D por sí sola. Si está incorporada en la cuota/servicio, impacta C sin doble conteo. | Resultado: D0 por costo ordinario; Presión según C×K×D | Negativo/borde: No equiparar costo a incumplimiento.</x:t>
  </x:si>
  <x:si>
    <x:t xml:space="preserve">Figma/pieza: OD-03 Atención | QA: TC-M04-069 | Soporte: BDD cuotas/intereses</x:t>
  </x:si>
  <x:si>
    <x:t xml:space="preserve">TC-M04-069</x:t>
  </x:si>
  <x:si>
    <x:t xml:space="preserve">TR-M04-081</x:t>
  </x:si>
  <x:si>
    <x:t xml:space="preserve">Dato crítico no vigente o confianza insuficiente</x:t>
  </x:si>
  <x:si>
    <x:t xml:space="preserve">OD-03 Resultado | Corregir</x:t>
  </x:si>
  <x:si>
    <x:t xml:space="preserve">Degradar lectura y pedir corrección cuando un dato material no sea vigente/confiable; faltantes materiales bloquean En Control.</x:t>
  </x:si>
  <x:si>
    <x:t xml:space="preserve">M04-RGL-013; M04-RGL-018 | debt · data_freshness_status / data_review_required_reason / confidence_level / evaluated_at</x:t>
  </x:si>
  <x:si>
    <x:t xml:space="preserve">M04-RGL-013; M04-RGL-018</x:t>
  </x:si>
  <x:si>
    <x:t xml:space="preserve">debt · data_freshness_status / data_review_required_reason / confidence_level / evaluated_at | P4-CNT-001</x:t>
  </x:si>
  <x:si>
    <x:t xml:space="preserve">Corregir</x:t>
  </x:si>
  <x:si>
    <x:t xml:space="preserve">OD-02 / revisión</x:t>
  </x:si>
  <x:si>
    <x:t xml:space="preserve">Obligación: Degradar lectura y pedir corrección cuando un dato material no sea vigente/confiable; faltantes materiales bloquean En Control. | Resultado: OD-02 / revisión | Negativo/borde: No usar dato crítico desactualizado para Ruta.</x:t>
  </x:si>
  <x:si>
    <x:t xml:space="preserve">Figma/pieza: OD-03 Atención / copy dato | Soporte: Reglas contextuales y severidad/BDD/Copy UX</x:t>
  </x:si>
  <x:si>
    <x:t xml:space="preserve">OD-03 Atención / copy dato</x:t>
  </x:si>
  <x:si>
    <x:t xml:space="preserve">Vigente | Aplicar P4-CNT-001; no usar dato crítico desactualizado como soporte favorable.</x:t>
  </x:si>
  <x:si>
    <x:t xml:space="preserve">TR-M04-082</x:t>
  </x:si>
  <x:si>
    <x:t xml:space="preserve">Pago parcial antes de cierre + evidencia posterior suficiente</x:t>
  </x:si>
  <x:si>
    <x:t xml:space="preserve">OD-03 Resultado | Mantener seguimiento/validar ciclo</x:t>
  </x:si>
  <x:si>
    <x:t xml:space="preserve">Pago parcial antes del cierre no determina D todavía. Reconciliar el ciclo; si luego queda totalmente cubierto, D0; si queda shortfall confirmado, D1 o D2 según recurrencia M06.</x:t>
  </x:si>
  <x:si>
    <x:t xml:space="preserve">debt_cycle · billing_cycle_close_date / payment_status_cycle / cycle_evaluation_status / D | P4-CNT-015</x:t>
  </x:si>
  <x:si>
    <x:t xml:space="preserve">Mantener seguimiento / validar</x:t>
  </x:si>
  <x:si>
    <x:t xml:space="preserve">OD-03/DD</x:t>
  </x:si>
  <x:si>
    <x:t xml:space="preserve">No concluyente para D hasta resolver ciclo; luego D0/D1/D2</x:t>
  </x:si>
  <x:si>
    <x:t xml:space="preserve">Obligación: Pago parcial antes del cierre no determina D todavía. Reconciliar el ciclo; si luego queda totalmente cubierto, D0; si queda shortfall confirmado, D1 o D2 según recurrencia M06. | Resultado: No concluyente para D hasta resolver ciclo; luego D0/D1/D2 | Negativo/borde: No falso positivo antes de cierre.</x:t>
  </x:si>
  <x:si>
    <x:t xml:space="preserve">Figma/pieza: OD-03/Reglas contextuales y severidad | QA: TC-M04-069 | Soporte: Reglas contextuales y severidad/BDD</x:t>
  </x:si>
  <x:si>
    <x:t xml:space="preserve">OD-03/Reglas contextuales y severidad</x:t>
  </x:si>
  <x:si>
    <x:t xml:space="preserve">TR-M04-083</x:t>
  </x:si>
  <x:si>
    <x:t xml:space="preserve">Coexisten confirmación pendiente, dato faltante y/o dato no vigente sobre una deuda, con o sin evidencia adversa suficiente.</x:t>
  </x:si>
  <x:si>
    <x:t xml:space="preserve">OD-03 Resultado | Confirmar/Completar</x:t>
  </x:si>
  <x:si>
    <x:t xml:space="preserve">Conservar todos los facts pero exponer un único work item de calidad por deuda con precedencia F2 confirmar→F1 completar→F3 actualizar; evidencia adversa suficiente puede mantener estado, sin habilitar Ruta hasta gate.</x:t>
  </x:si>
  <x:si>
    <x:t xml:space="preserve">M04-RGL-018; M04-RGL-014, M04-RGL-039 | debt · confirmation_status / minimum_data_ready / calidad / Presión si existe evidencia adversa suficiente</x:t>
  </x:si>
  <x:si>
    <x:t xml:space="preserve">M04-RGL-018; M04-RGL-014, M04-RGL-039</x:t>
  </x:si>
  <x:si>
    <x:t xml:space="preserve">debt · confirmation_status / minimum_data_ready / calidad / Presión si existe evidencia adversa suficiente</x:t>
  </x:si>
  <x:si>
    <x:t xml:space="preserve">Confirmar / Completar</x:t>
  </x:si>
  <x:si>
    <x:t xml:space="preserve">OD-02 / pendiente; sin En Control fuerte</x:t>
  </x:si>
  <x:si>
    <x:t xml:space="preserve">Obligación: Conservar todos los facts pero exponer un único work item de calidad por deuda con precedencia F2 confirmar→F1 completar→F3 actualizar; evidencia adversa suficiente puede mantener estado, sin habilitar Ruta hasta gate. | Resultado: OD-02 / pendiente; sin En Control fuerte | Negativo/borde: No dejar que señal sospechosa venza el gate de calidad/completitud.</x:t>
  </x:si>
  <x:si>
    <x:t xml:space="preserve">Figma/pieza: OD-03 Atención | QA: TC-M04-075 | Soporte: Matriz de pantallas y acciones múltiples señales</x:t>
  </x:si>
  <x:si>
    <x:t xml:space="preserve">TC-M04-075</x:t>
  </x:si>
  <x:si>
    <x:t xml:space="preserve">TR-M04-084</x:t>
  </x:si>
  <x:si>
    <x:t xml:space="preserve">FLOW-M04-015 · Onboarding 3 · Resultado</x:t>
  </x:si>
  <x:si>
    <x:t xml:space="preserve">Evento deuda→deuda causalmente confirmado; K2</x:t>
  </x:si>
  <x:si>
    <x:t xml:space="preserve">OD-03 Resultado | Ver Ruta Despeje</x:t>
  </x:si>
  <x:si>
    <x:t xml:space="preserve">Registrar contexto sin floor adicional; nunca degradar una Presión ya más severa.</x:t>
  </x:si>
  <x:si>
    <x:t xml:space="preserve">P4-CNT-009</x:t>
  </x:si>
  <x:si>
    <x:t xml:space="preserve">M04-RGL-020; M04-RGL-014, M04-RGL-038 | debt_signal · vínculo causal confirmado / evidencia / K=K2 / ciclo / provenance</x:t>
  </x:si>
  <x:si>
    <x:t xml:space="preserve">M04-RGL-020; M04-RGL-014, M04-RGL-038</x:t>
  </x:si>
  <x:si>
    <x:t xml:space="preserve">debt_signal · vínculo causal confirmado / evidencia / K=K2 / ciclo / provenance | P4-CNT-009</x:t>
  </x:si>
  <x:si>
    <x:t xml:space="preserve">Ver Ruta Despeje</x:t>
  </x:si>
  <x:si>
    <x:t xml:space="preserve">RD-01</x:t>
  </x:si>
  <x:si>
    <x:t xml:space="preserve">Presión base sin downgrade; contexto R020</x:t>
  </x:si>
  <x:si>
    <x:t xml:space="preserve">Obligación: Registrar contexto sin floor adicional; nunca degradar una Presión ya más severa. | Resultado: Presión base sin downgrade; contexto R020 | Negativo/borde: No tratar como regla cerrada en .</x:t>
  </x:si>
  <x:si>
    <x:t xml:space="preserve">Figma/pieza: OD-03 Riesgo | QA: TC-M04-026, TC-M04-027; TC-M04-022 | Soporte: Reglas contextuales y severidad</x:t>
  </x:si>
  <x:si>
    <x:t xml:space="preserve">OD-03 Riesgo</x:t>
  </x:si>
  <x:si>
    <x:t xml:space="preserve">TC-M04-026, TC-M04-027; TC-M04-022</x:t>
  </x:si>
  <x:si>
    <x:t xml:space="preserve">Vigente | P4-CNT-009: K2 sin floor.</x:t>
  </x:si>
  <x:si>
    <x:t xml:space="preserve">TR-M04-085</x:t>
  </x:si>
  <x:si>
    <x:t xml:space="preserve">Evento deuda→deuda adverso K1/K0 o recurrencia confirmada</x:t>
  </x:si>
  <x:si>
    <x:t xml:space="preserve">OD-03 Resultado | Ruta Despeje prioritaria</x:t>
  </x:si>
  <x:si>
    <x:t xml:space="preserve">K1 establece floor Atención; K0 establece floor Riesgo; recurrencia confirmada establece floor Riesgo + condición estructural/persistente.</x:t>
  </x:si>
  <x:si>
    <x:t xml:space="preserve">P4-CNT-009; P4-CNT-010</x:t>
  </x:si>
  <x:si>
    <x:t xml:space="preserve">M04-RGL-020; M04-RGL-014, M04-RGL-038 | debt_signal · vínculo causal / K por snapshot / ciclos comparables / recurrencia / structural flag / provenance</x:t>
  </x:si>
  <x:si>
    <x:t xml:space="preserve">debt_signal · vínculo causal / K por snapshot / ciclos comparables / recurrencia / structural flag / provenance | P4-CNT-009; P4-CNT-010</x:t>
  </x:si>
  <x:si>
    <x:t xml:space="preserve">Atención o Riesgo según K/recurrencia; Ruta solo si gate completo</x:t>
  </x:si>
  <x:si>
    <x:t xml:space="preserve">Obligación: K1 establece floor Atención; K0 establece floor Riesgo; recurrencia confirmada establece floor Riesgo + condición estructural/persistente. | Resultado: Atención o Riesgo según K/recurrencia; Ruta solo si gate completo | Negativo/borde: No tratar como regla cerrada en .</x:t>
  </x:si>
  <x:si>
    <x:t xml:space="preserve">Vigente | Aplicar P4-CNT-009/P4-CNT-010; no sumar severidades.</x:t>
  </x:si>
  <x:si>
    <x:t xml:space="preserve">TR-M04-086</x:t>
  </x:si>
  <x:si>
    <x:t xml:space="preserve">Liquidez financiada confirmada destinada a gasto/compromiso ordinario no financiero en un ciclo</x:t>
  </x:si>
  <x:si>
    <x:t xml:space="preserve">Aplicar floor Atención. Si el destino es deuda, delegar exclusivamente a RGL-020; finalidad desconocida no aplica floor.</x:t>
  </x:si>
  <x:si>
    <x:t xml:space="preserve">P4-CNT-011</x:t>
  </x:si>
  <x:si>
    <x:t xml:space="preserve">M04-RGL-021; M04-RGL-014, M04-RGL-038 | debt_signal · naturaleza financiada / finalidad / ciclo / evidencia / provenance</x:t>
  </x:si>
  <x:si>
    <x:t xml:space="preserve">M04-RGL-021; M04-RGL-014, M04-RGL-038</x:t>
  </x:si>
  <x:si>
    <x:t xml:space="preserve">debt_signal · naturaleza financiada / finalidad / ciclo / evidencia / provenance | P4-CNT-011</x:t>
  </x:si>
  <x:si>
    <x:t xml:space="preserve">Atención como mínimo por evento qualifying; Ruta solo si Presión final=Riesgo y gate completo</x:t>
  </x:si>
  <x:si>
    <x:t xml:space="preserve">Obligación: Aplicar floor Atención. Si el destino es deuda, delegar exclusivamente a RGL-020; finalidad desconocida no aplica floor. | Resultado: Atención como mínimo por evento qualifying; Ruta solo si Presión final=Riesgo y gate completo | Negativo/borde: No promover estado de fuente.</x:t>
  </x:si>
  <x:si>
    <x:t xml:space="preserve">Figma/pieza: OD-03 Riesgo | QA: TC-M04-029, TC-M04-030; TC-M04-022 | Soporte: Reglas contextuales y severidad</x:t>
  </x:si>
  <x:si>
    <x:t xml:space="preserve">TC-M04-029, TC-M04-030; TC-M04-022</x:t>
  </x:si>
  <x:si>
    <x:t xml:space="preserve">Vigente | Aplicar P4-CNT-011.</x:t>
  </x:si>
  <x:si>
    <x:t xml:space="preserve">TR-M04-087</x:t>
  </x:si>
  <x:si>
    <x:t xml:space="preserve">2+ ciclos mensuales consecutivos y comparables con liquidez financiada para flujo ordinario no financiero</x:t>
  </x:si>
  <x:si>
    <x:t xml:space="preserve">Aplicar floor Riesgo + condición estructural/persistente; K no neutraliza la recurrencia. Finalidad desconocida no cuenta.</x:t>
  </x:si>
  <x:si>
    <x:t xml:space="preserve">P4-CNT-012</x:t>
  </x:si>
  <x:si>
    <x:t xml:space="preserve">M04-RGL-021; M04-RGL-014, M04-RGL-038 | debt_signal · ciclos comparables / finalidad confirmada / recurrencia / structural flag / dedup</x:t>
  </x:si>
  <x:si>
    <x:t xml:space="preserve">debt_signal · ciclos comparables / finalidad confirmada / recurrencia / structural flag / dedup | P4-CNT-012</x:t>
  </x:si>
  <x:si>
    <x:t xml:space="preserve">Riesgo + estructural; Ruta solo si gate completo</x:t>
  </x:si>
  <x:si>
    <x:t xml:space="preserve">Obligación: Aplicar floor Riesgo + condición estructural/persistente; K no neutraliza la recurrencia. Finalidad desconocida no cuenta. | Resultado: Riesgo + estructural; Ruta solo si gate completo | Negativo/borde: No promover estado de fuente.</x:t>
  </x:si>
  <x:si>
    <x:t xml:space="preserve">Vigente | Aplicar P4-CNT-012; deuda como destino pertenece a R020.</x:t>
  </x:si>
  <x:si>
    <x:t xml:space="preserve">TR-M04-088</x:t>
  </x:si>
  <x:si>
    <x:t xml:space="preserve">Pago solo mínimo, parcial final o saldo arrastrado en ciclo reconciliado</x:t>
  </x:si>
  <x:si>
    <x:t xml:space="preserve">Evento aislado confirmado → D1. Recurrencia/persistencia confirmada por M06 → D2. Varias etiquetas del mismo ciclo no se suman.</x:t>
  </x:si>
  <x:si>
    <x:t xml:space="preserve">P4-CNT-006; P4-CNT-015</x:t>
  </x:si>
  <x:si>
    <x:t xml:space="preserve">debt_cycle / debt_signal · resultado de ciclo / tipo de comportamiento / recurrencia M06 / D / dedup | P4-CNT-006; P4-CNT-015</x:t>
  </x:si>
  <x:si>
    <x:t xml:space="preserve">D1 o D2; Presión según C×K×D</x:t>
  </x:si>
  <x:si>
    <x:t xml:space="preserve">Obligación: Evento aislado confirmado → D1. Recurrencia/persistencia confirmada por M06 → D2. Varias etiquetas del mismo ciclo no se suman. | Resultado: D1 o D2; Presión según C×K×D | Negativo/borde: No saltar gate de confirmación/datos.</x:t>
  </x:si>
  <x:si>
    <x:t xml:space="preserve">Figma/pieza: OD-03 Riesgo | QA: TC-M04-068; TC-M04-022 | Soporte: BDD tarjetas</x:t>
  </x:si>
  <x:si>
    <x:t xml:space="preserve">TC-M04-068; TC-M04-022</x:t>
  </x:si>
  <x:si>
    <x:t xml:space="preserve">TR-M04-089</x:t>
  </x:si>
  <x:si>
    <x:t xml:space="preserve">Vencimiento crítico sin capacidad clara/atraso relevante/mora</x:t>
  </x:si>
  <x:si>
    <x:t xml:space="preserve">Un vencimiento/atraso relevante consumido desde M06 alimenta aging y/o D según evidencia; M04 no crea un threshold temporal paralelo.</x:t>
  </x:si>
  <x:si>
    <x:t xml:space="preserve">P4-CNT-006; P4-CNT-017</x:t>
  </x:si>
  <x:si>
    <x:t xml:space="preserve">M04-RGL-016; M04-RGL-019, M04-RGL-014 | debt_signal · arrears_relevant_signal / mora_risk_signal / commitment_exceeds_capacity</x:t>
  </x:si>
  <x:si>
    <x:t xml:space="preserve">M04-RGL-016; M04-RGL-019, M04-RGL-014</x:t>
  </x:si>
  <x:si>
    <x:t xml:space="preserve">debt_signal · arrears_relevant_signal / mora_risk_signal / commitment_exceeds_capacity | P4-CNT-006; P4-CNT-017</x:t>
  </x:si>
  <x:si>
    <x:t xml:space="preserve">Revisar Ruta Despeje</x:t>
  </x:si>
  <x:si>
    <x:t xml:space="preserve">RD-01/DD</x:t>
  </x:si>
  <x:si>
    <x:t xml:space="preserve">Presión/Salud según aging, C×K×D y suficiencia</x:t>
  </x:si>
  <x:si>
    <x:t xml:space="preserve">M06/M04</x:t>
  </x:si>
  <x:si>
    <x:t xml:space="preserve">Obligación: Un vencimiento/atraso relevante consumido desde M06 alimenta aging y/o D según evidencia; M04 no crea un threshold temporal paralelo. | Resultado: Presión/Salud según aging, C×K×D y suficiencia | Negativo/borde: Distinguir owner señal pago vs interpretación M04.</x:t>
  </x:si>
  <x:si>
    <x:t xml:space="preserve">Figma/pieza: OD-03 Riesgo | QA: TC-M04-025; TC-M04-022 | Soporte: Reglas contextuales y severidad</x:t>
  </x:si>
  <x:si>
    <x:t xml:space="preserve">TC-M04-025; TC-M04-022</x:t>
  </x:si>
  <x:si>
    <x:t xml:space="preserve">Vigente | Aplicar P4-CNT-017 y P4-CNT-006; ownership temporal M06.</x:t>
  </x:si>
  <x:si>
    <x:t xml:space="preserve">TR-M04-090</x:t>
  </x:si>
  <x:si>
    <x:t xml:space="preserve">Muchas cuotas + incapacidad real/saldo negativo/mora</x:t>
  </x:si>
  <x:si>
    <x:t xml:space="preserve">OD-03 Resultado | Priorizar/Revisar Ruta</x:t>
  </x:si>
  <x:si>
    <x:t xml:space="preserve">Muchas cuotas no crean Riesgo por sí solas. Mantener detector R022 y dejar que C×K×D/overlays determine la Presión.</x:t>
  </x:si>
  <x:si>
    <x:t xml:space="preserve">P4-CNT-007; P4-CNT-014</x:t>
  </x:si>
  <x:si>
    <x:t xml:space="preserve">M04-RGL-022; M04-RGL-019, M04-RGL-014 | debt_signal · installment_count_active / small_installments_threshold_ratio / severity / pressure_rule_met</x:t>
  </x:si>
  <x:si>
    <x:t xml:space="preserve">M04-RGL-022; M04-RGL-019, M04-RGL-014</x:t>
  </x:si>
  <x:si>
    <x:t xml:space="preserve">debt_signal · installment_count_active / small_installments_threshold_ratio / severity / pressure_rule_met | P4-CNT-007; P4-CNT-014</x:t>
  </x:si>
  <x:si>
    <x:t xml:space="preserve">Revisar/Ver Ruta</x:t>
  </x:si>
  <x:si>
    <x:t xml:space="preserve">Detector contextual + Presión canónica</x:t>
  </x:si>
  <x:si>
    <x:t xml:space="preserve">Obligación: Muchas cuotas no crean Riesgo por sí solas. Mantener detector R022 y dejar que C×K×D/overlays determine la Presión. | Resultado: Detector contextual + Presión canónica | Negativo/borde: No cerrar fórmula de Salud.</x:t>
  </x:si>
  <x:si>
    <x:t xml:space="preserve">Figma/pieza: OD-03 Riesgo | QA: TC-M04-022 | Soporte: Reglas contextuales y severidad/BDD</x:t>
  </x:si>
  <x:si>
    <x:t xml:space="preserve">TC-M04-022</x:t>
  </x:si>
  <x:si>
    <x:t xml:space="preserve">Vigente | Aplicar P4-CNT-014/P4-CNT-007.</x:t>
  </x:si>
  <x:si>
    <x:t xml:space="preserve">TR-M04-091</x:t>
  </x:si>
  <x:si>
    <x:t xml:space="preserve">Deuda confirmada + datos mínimos + presión financiera</x:t>
  </x:si>
  <x:si>
    <x:t xml:space="preserve">Aplicar Presión final canónica conservando el resultado más severo entre base C×K×D y floors válidos; no sumar puntos ni crear cuarto nivel.</x:t>
  </x:si>
  <x:si>
    <x:t xml:space="preserve">P4-CNT-007; P4-CNT-008</x:t>
  </x:si>
  <x:si>
    <x:t xml:space="preserve">M04-RGL-014; M04-RGL-019 | debt · confirmation_status=confirmed / minimum_data_ready=true / pressure_rule_met=true / route_activation_allowed=true / route_eligibility_status=elegible</x:t>
  </x:si>
  <x:si>
    <x:t xml:space="preserve">M04-RGL-014; M04-RGL-019</x:t>
  </x:si>
  <x:si>
    <x:t xml:space="preserve">debt · confirmation_status=confirmed / minimum_data_ready=true / pressure_rule_met=true / route_activation_allowed=true / route_eligibility_status=elegible | P4-CNT-007; P4-CNT-008</x:t>
  </x:si>
  <x:si>
    <x:t xml:space="preserve">En Control / Atención / Riesgo</x:t>
  </x:si>
  <x:si>
    <x:t xml:space="preserve">Obligación: Aplicar Presión final canónica conservando el resultado más severo entre base C×K×D y floors válidos; no sumar puntos ni crear cuarto nivel. | Resultado: En Control / Atención / Riesgo | Negativo/borde: Gate, “Ver Ruta Despeje” y entrada a RD-01 no activan; el primer “Seguir plan” válido desde RD-02 activa.</x:t>
  </x:si>
  <x:si>
    <x:t xml:space="preserve">Vigente | Aplicar P4-CNT-007/P4-CNT-008.</x:t>
  </x:si>
  <x:si>
    <x:t xml:space="preserve">TR-M04-092</x:t>
  </x:si>
  <x:si>
    <x:t xml:space="preserve">Presión=Riesgo sustentada, pero falta confirmación o suficiencia mínima</x:t>
  </x:si>
  <x:si>
    <x:t xml:space="preserve">Una señal adversa no sustituye confirmación/suficiencia de Ruta. Riesgo habilita elegibilidad solo con deuda confirmada y mínimos suficientes.</x:t>
  </x:si>
  <x:si>
    <x:t xml:space="preserve">P4-CNT-001; P4-CNT-018; P4-CNT-019</x:t>
  </x:si>
  <x:si>
    <x:t xml:space="preserve">M04-RGL-014; M04-RGL-019 | debt · route_activation_allowed=false / blocking_missing_fields</x:t>
  </x:si>
  <x:si>
    <x:t xml:space="preserve">debt · route_activation_allowed=false / blocking_missing_fields | P4-CNT-001; P4-CNT-018; P4-CNT-019</x:t>
  </x:si>
  <x:si>
    <x:t xml:space="preserve">Completar/confirmar o Ruta elegible según gate; nunca activación automática</x:t>
  </x:si>
  <x:si>
    <x:t xml:space="preserve">Obligación: Una señal adversa no sustituye confirmación/suficiencia de Ruta. Riesgo habilita elegibilidad solo con deuda confirmada y mínimos suficientes. | Resultado: Completar/confirmar o Ruta elegible según gate; nunca activación automática | Negativo/borde: Presión=Riesgo por sí sola no basta.</x:t>
  </x:si>
  <x:si>
    <x:t xml:space="preserve">Figma/pieza: OD-03 Riesgo | QA: TC-M04-022 | Soporte: BDD guardrail</x:t>
  </x:si>
  <x:si>
    <x:t xml:space="preserve">Vigente | Aplicar P4-CNT-001/P4-CNT-018/P4-CNT-019.</x:t>
  </x:si>
  <x:si>
    <x:t xml:space="preserve">TR-M04-093</x:t>
  </x:si>
  <x:si>
    <x:t xml:space="preserve">FLOW-M04-016 · Ruta 1 · Resumen</x:t>
  </x:si>
  <x:si>
    <x:t xml:space="preserve">Ruta elegible/disponible; primer “Seguir plan” válido aún no ejecutado.</x:t>
  </x:si>
  <x:si>
    <x:t xml:space="preserve">RD-01 Resumen | Mostrar resumen</x:t>
  </x:si>
  <x:si>
    <x:t xml:space="preserve">RD-01 Resumen</x:t>
  </x:si>
  <x:si>
    <x:t xml:space="preserve">Construir orden/plan solo cuando la Ruta está elegible; preservar snowball y no activar por navegación.</x:t>
  </x:si>
  <x:si>
    <x:t xml:space="preserve">P4-CNT-018; P4-CNT-019</x:t>
  </x:si>
  <x:si>
    <x:t xml:space="preserve">M04-RGL-028; M04-RGL-037, M04-RGL-039 | debt / debt_recommendation · priority_order / recommended_action / copy_state</x:t>
  </x:si>
  <x:si>
    <x:t xml:space="preserve">M04-RGL-028; M04-RGL-037, M04-RGL-039</x:t>
  </x:si>
  <x:si>
    <x:t xml:space="preserve">debt / debt_recommendation · priority_order / recommended_action / copy_state | P4-CNT-018; P4-CNT-019</x:t>
  </x:si>
  <x:si>
    <x:t xml:space="preserve">Ver mi plan</x:t>
  </x:si>
  <x:si>
    <x:t xml:space="preserve">RD-02</x:t>
  </x:si>
  <x:si>
    <x:t xml:space="preserve">RD-01 visible</x:t>
  </x:si>
  <x:si>
    <x:t xml:space="preserve">Obligación: Construir orden/plan solo cuando la Ruta está elegible; preservar snowball y no activar por navegación. | Resultado: RD-01 visible | Negativo/borde: No usar porcentaje como score canónico.</x:t>
  </x:si>
  <x:si>
    <x:t xml:space="preserve">Figma/pieza: Ruta Despeje - 1. Resumen*.png | Soporte: Matriz de pantallas y acciones RD01/Figma</x:t>
  </x:si>
  <x:si>
    <x:t xml:space="preserve">Ruta Despeje - 1. Resumen*.png</x:t>
  </x:si>
  <x:si>
    <x:t xml:space="preserve">BC-M04-002 cerrada para producción/proyección M04; orquestación global fuera. | BC001 resuelta; preservar BC002 y P4-CNT-018/P4-CNT-019.</x:t>
  </x:si>
  <x:si>
    <x:t xml:space="preserve">TR-M04-094</x:t>
  </x:si>
  <x:si>
    <x:t xml:space="preserve">Existen múltiples deudas confirmadas dentro del plan</x:t>
  </x:si>
  <x:si>
    <x:t xml:space="preserve">RD-01 Resumen | Priorización</x:t>
  </x:si>
  <x:si>
    <x:t xml:space="preserve">Priorizar menor saldo actual; mantener pagos mínimos/compromisos de las demás.</x:t>
  </x:si>
  <x:si>
    <x:t xml:space="preserve">M04-RGL-028 | debt_projection · priority_order / current_balance_amount / minimum_payment_amount / projection_method=bola_nieve</x:t>
  </x:si>
  <x:si>
    <x:t xml:space="preserve">M04-RGL-028</x:t>
  </x:si>
  <x:si>
    <x:t xml:space="preserve">debt_projection · priority_order / current_balance_amount / minimum_payment_amount / projection_method=bola_nieve</x:t>
  </x:si>
  <x:si>
    <x:t xml:space="preserve">Priorización</x:t>
  </x:si>
  <x:si>
    <x:t xml:space="preserve">RD-01/RD-02</x:t>
  </x:si>
  <x:si>
    <x:t xml:space="preserve">Orden base mostrado</x:t>
  </x:si>
  <x:si>
    <x:t xml:space="preserve">Obligación: Priorizar menor saldo actual; mantener pagos mínimos/compromisos de las demás. | Resultado: Orden base mostrado | Negativo/borde: No confundir urgencia operativa M06 con orden metodológico sin regla.</x:t>
  </x:si>
  <x:si>
    <x:t xml:space="preserve">Figma/pieza: Ruta Despeje - 1. Resumen*.png | Soporte: Rector/Ruta/BDD</x:t>
  </x:si>
  <x:si>
    <x:t xml:space="preserve">TR-M04-095</x:t>
  </x:si>
  <x:si>
    <x:t xml:space="preserve">Usuario continúa a plan</x:t>
  </x:si>
  <x:si>
    <x:t xml:space="preserve">RD-01 Resumen | Ver mi plan</x:t>
  </x:si>
  <x:si>
    <x:t xml:space="preserve">Navegar a RD-02 conservando estado elegible y orden; “Ver mi plan” no activa la Ruta.</x:t>
  </x:si>
  <x:si>
    <x:t xml:space="preserve">M04-RGL-030; M04-RGL-028 | debt · route_eligibility_status=elegible / functional_debt_state sin ruta_activa</x:t>
  </x:si>
  <x:si>
    <x:t xml:space="preserve">M04-RGL-030; M04-RGL-028</x:t>
  </x:si>
  <x:si>
    <x:t xml:space="preserve">debt · route_eligibility_status=elegible / functional_debt_state sin ruta_activa</x:t>
  </x:si>
  <x:si>
    <x:t xml:space="preserve">RD-02 Plan</x:t>
  </x:si>
  <x:si>
    <x:t xml:space="preserve">Obligación: Navegar a RD-02 conservando estado elegible y orden; “Ver mi plan” no activa la Ruta. | Resultado: RD-02 Plan | Negativo/borde: “Ver mi plan” y visualizar RD-02 no activan la Ruta.</x:t>
  </x:si>
  <x:si>
    <x:t xml:space="preserve">Figma/pieza: Ruta Despeje - 1. Resumen*.png | QA: TC-M04-065 | Soporte: Figma RD01→RD02</x:t>
  </x:si>
  <x:si>
    <x:t xml:space="preserve">TC-M04-065</x:t>
  </x:si>
  <x:si>
    <x:t xml:space="preserve">TR-M04-096</x:t>
  </x:si>
  <x:si>
    <x:t xml:space="preserve">FLOW-M04-017 · Detalle deuda</x:t>
  </x:si>
  <x:si>
    <x:t xml:space="preserve">Deuda manejable/atención requiere precisión</x:t>
  </x:si>
  <x:si>
    <x:t xml:space="preserve">DD-01 / seguimiento | Editar datos</x:t>
  </x:si>
  <x:si>
    <x:t xml:space="preserve">DD-01 / seguimiento</x:t>
  </x:si>
  <x:si>
    <x:t xml:space="preserve">Permitir edición/corrección puntual y reevaluar sin crear formulario paralelo.</x:t>
  </x:si>
  <x:si>
    <x:t xml:space="preserve">M04-RGL-017; M04-RGL-013, M04-RGL-042 | debt · updated_at / data_review_required_reason / data_freshness_status</x:t>
  </x:si>
  <x:si>
    <x:t xml:space="preserve">M04-RGL-017; M04-RGL-013, M04-RGL-042</x:t>
  </x:si>
  <x:si>
    <x:t xml:space="preserve">debt · updated_at / data_review_required_reason / data_freshness_status</x:t>
  </x:si>
  <x:si>
    <x:t xml:space="preserve">Editar/Corregir</x:t>
  </x:si>
  <x:si>
    <x:t xml:space="preserve">DD/OD-02</x:t>
  </x:si>
  <x:si>
    <x:t xml:space="preserve">DD/OD-02 según necesidad</x:t>
  </x:si>
  <x:si>
    <x:t xml:space="preserve">Obligación: Permitir edición/corrección puntual y reevaluar sin crear formulario paralelo. | Resultado: DD/OD-02 según necesidad | Negativo/borde: No crear formulario paralelo por superficie.</x:t>
  </x:si>
  <x:si>
    <x:t xml:space="preserve">Figma/pieza: Documentado | QA: TC-M04-073 | Soporte: Matriz de pantallas y acciones F2-T31 + BDD §8.11 / TABLE 21 + §11 / TABLE 30</x:t>
  </x:si>
  <x:si>
    <x:t xml:space="preserve">TC-M04-073</x:t>
  </x:si>
  <x:si>
    <x:t xml:space="preserve">TR-M04-097</x:t>
  </x:si>
  <x:si>
    <x:t xml:space="preserve">Vencimiento/pago operativo requiere seguimiento sin presión M04</x:t>
  </x:si>
  <x:si>
    <x:t xml:space="preserve">DD-01 / seguimiento | Activar alerta</x:t>
  </x:si>
  <x:si>
    <x:t xml:space="preserve">Derivar a M06/Alertas; M04 no administra calendario/pago.</x:t>
  </x:si>
  <x:si>
    <x:t xml:space="preserve">M04-RGL-016; M04-RGL-042 | debt_signal · due_date / signal_code inbound M06</x:t>
  </x:si>
  <x:si>
    <x:t xml:space="preserve">M04-RGL-016; M04-RGL-042</x:t>
  </x:si>
  <x:si>
    <x:t xml:space="preserve">debt_signal · due_date / signal_code inbound M06</x:t>
  </x:si>
  <x:si>
    <x:t xml:space="preserve">Activar alerta</x:t>
  </x:si>
  <x:si>
    <x:t xml:space="preserve">M06/Alertas</x:t>
  </x:si>
  <x:si>
    <x:t xml:space="preserve">M06 | M06/Alertas</x:t>
  </x:si>
  <x:si>
    <x:t xml:space="preserve">Obligación: Derivar a M06/Alertas; M04 no administra calendario/pago. | Resultado: M06/Alertas | Negativo/borde: No crear alerta propia paralela.</x:t>
  </x:si>
  <x:si>
    <x:t xml:space="preserve">Figma/pieza: Documentado | QA: TC-M04-066; TC-M04-073 | Soporte: Matriz de pantallas y acciones DD/Reglas contextuales y severidad</x:t>
  </x:si>
  <x:si>
    <x:t xml:space="preserve">TC-M04-066; TC-M04-073</x:t>
  </x:si>
  <x:si>
    <x:t xml:space="preserve">TR-M04-098</x:t>
  </x:si>
  <x:si>
    <x:t xml:space="preserve">Deuda pasa a cumplir gate de Ruta</x:t>
  </x:si>
  <x:si>
    <x:t xml:space="preserve">DD-01 / seguimiento | Ver Ruta Despeje</x:t>
  </x:si>
  <x:si>
    <x:t xml:space="preserve">Derivar a RD-01 con Ruta elegible/disponible; la vista DD y “Ver Ruta Despeje” no activan la Ruta.</x:t>
  </x:si>
  <x:si>
    <x:t xml:space="preserve">M04-RGL-014; M04-RGL-016, M04-RGL-042 | debt · route_activation_allowed=true / route_eligibility_status=elegible</x:t>
  </x:si>
  <x:si>
    <x:t xml:space="preserve">M04-RGL-014; M04-RGL-016, M04-RGL-042</x:t>
  </x:si>
  <x:si>
    <x:t xml:space="preserve">debt · route_activation_allowed=true / route_eligibility_status=elegible</x:t>
  </x:si>
  <x:si>
    <x:t xml:space="preserve">Obligación: Derivar a RD-01 con Ruta elegible/disponible; la vista DD y “Ver Ruta Despeje” no activan la Ruta. | Resultado: RD-01 | Negativo/borde: DD-01 y “Ver Ruta Despeje” no activan; el primer “Seguir plan” válido desde RD-02 activa.</x:t>
  </x:si>
  <x:si>
    <x:t xml:space="preserve">Figma/pieza: Documentado | QA: TC-M04-066, TC-M04-073 | Soporte: Matriz de pantallas y acciones/Reglas contextuales y severidad</x:t>
  </x:si>
  <x:si>
    <x:t xml:space="preserve">TC-M04-066, TC-M04-073</x:t>
  </x:si>
  <x:si>
    <x:t xml:space="preserve">TR-M04-099</x:t>
  </x:si>
  <x:si>
    <x:t xml:space="preserve">Dependencia destino no está disponible</x:t>
  </x:si>
  <x:si>
    <x:t xml:space="preserve">DD-01 / seguimiento | Acción contextual</x:t>
  </x:si>
  <x:si>
    <x:t xml:space="preserve">Aplicar fallback documentado sin bloquear M04 ni crear owner paralelo.</x:t>
  </x:si>
  <x:si>
    <x:t xml:space="preserve">M04-RGL-042</x:t>
  </x:si>
  <x:si>
    <x:t xml:space="preserve">Acción contextual</x:t>
  </x:si>
  <x:si>
    <x:t xml:space="preserve">DD / mensaje equivalente</x:t>
  </x:si>
  <x:si>
    <x:t xml:space="preserve">M04 | M05/M06/Alertas</x:t>
  </x:si>
  <x:si>
    <x:t xml:space="preserve">Obligación: Aplicar fallback documentado sin bloquear M04 ni crear owner paralelo. | Resultado: DD / mensaje equivalente | Negativo/borde: No reinterpretar indisponibilidad como cambio de lógica.</x:t>
  </x:si>
  <x:si>
    <x:t xml:space="preserve">Figma/pieza: Documentado | QA: TC-M04-073 | Soporte: Flujo funcional §18 dependencias/fallback; Copy UX §20 dependencias y fallback textual</x:t>
  </x:si>
  <x:si>
    <x:t xml:space="preserve">TR-M04-100</x:t>
  </x:si>
  <x:si>
    <x:t xml:space="preserve">FLOW-M04-018 · Home consumidor</x:t>
  </x:si>
  <x:si>
    <x:t xml:space="preserve">Deuda es señal dominante del mes y gate permite acción M04</x:t>
  </x:si>
  <x:si>
    <x:t xml:space="preserve">Home | CTA dominante</x:t>
  </x:si>
  <x:si>
    <x:t xml:space="preserve">Home puede representar una acción M04 ya resuelta por el owner; no recalcula ni decide aquí el ganador transversal.</x:t>
  </x:si>
  <x:si>
    <x:t xml:space="preserve">M04-RGL-002; M04-RGL-039, M04-RGL-042 | debt_recommendation · recommended_action / recommendation_status</x:t>
  </x:si>
  <x:si>
    <x:t xml:space="preserve">M04-RGL-002; M04-RGL-039, M04-RGL-042</x:t>
  </x:si>
  <x:si>
    <x:t xml:space="preserve">debt_recommendation · recommended_action / recommendation_status</x:t>
  </x:si>
  <x:si>
    <x:t xml:space="preserve">OD/RD</x:t>
  </x:si>
  <x:si>
    <x:t xml:space="preserve">Obligación: Home puede representar una acción M04 ya resuelta por el owner; no recalcula ni decide aquí el ganador transversal. | Resultado: OD/RD | Negativo/borde: No múltiples CTA deuda compitiendo.</x:t>
  </x:si>
  <x:si>
    <x:t xml:space="preserve">Figma/pieza: Documentado | QA: TC-M04-054, TC-M04-055; TC-M04-058, TC-M04-073 | Soporte: Copy UX Home</x:t>
  </x:si>
  <x:si>
    <x:t xml:space="preserve">TC-M04-054, TC-M04-055; TC-M04-058, TC-M04-073</x:t>
  </x:si>
  <x:si>
    <x:t xml:space="preserve">TR-M04-101</x:t>
  </x:si>
  <x:si>
    <x:t xml:space="preserve">Deuda no es señal dominante</x:t>
  </x:si>
  <x:si>
    <x:t xml:space="preserve">Home | Sin CTA dominante deuda</x:t>
  </x:si>
  <x:si>
    <x:t xml:space="preserve">Si el candidato M04 no ocupa el slot dominante, Home puede mantenerlo como siguiente paso secundario o no mostrarlo según orquestación; no se crea otra señal.</x:t>
  </x:si>
  <x:si>
    <x:t xml:space="preserve">Sin CTA dominante deuda</x:t>
  </x:si>
  <x:si>
    <x:t xml:space="preserve">Home sin deuda dominante</x:t>
  </x:si>
  <x:si>
    <x:t xml:space="preserve">Obligación: Si el candidato M04 no ocupa el slot dominante, Home puede mantenerlo como siguiente paso secundario o no mostrarlo según orquestación; no se crea otra señal. | Resultado: Home sin deuda dominante | Negativo/borde: No competir con otros focos.</x:t>
  </x:si>
  <x:si>
    <x:t xml:space="preserve">Figma/pieza: Documentado | QA: TC-M04-054, TC-M04-055; TC-M04-058 | Soporte: Copy UX Home</x:t>
  </x:si>
  <x:si>
    <x:t xml:space="preserve">TC-M04-054, TC-M04-055; TC-M04-058</x:t>
  </x:si>
  <x:si>
    <x:t xml:space="preserve">TR-M04-102</x:t>
  </x:si>
  <x:si>
    <x:t xml:space="preserve">Señal de pago pertenece a M06</x:t>
  </x:si>
  <x:si>
    <x:t xml:space="preserve">Home | Revisar pago/alerta</x:t>
  </x:si>
  <x:si>
    <x:t xml:space="preserve">Derivar a M06/Pagos-Alertas y no a Ruta salvo condición de elevación.</x:t>
  </x:si>
  <x:si>
    <x:t xml:space="preserve">M04-RGL-016; M04-RGL-002 | debt_signal · signal_code inbound M06</x:t>
  </x:si>
  <x:si>
    <x:t xml:space="preserve">M04-RGL-016; M04-RGL-002</x:t>
  </x:si>
  <x:si>
    <x:t xml:space="preserve">Revisar pago</x:t>
  </x:si>
  <x:si>
    <x:t xml:space="preserve">Obligación: Derivar a M06/Pagos-Alertas y no a Ruta salvo condición de elevación. | Resultado: M06 | Negativo/borde: No contaminar catálogo de señales producidas M04.</x:t>
  </x:si>
  <x:si>
    <x:t xml:space="preserve">Figma/pieza: Documentado | QA: TC-M04-024; TC-M04-054, TC-M04-055 | Soporte: Reglas contextuales y severidad/Copy UX</x:t>
  </x:si>
  <x:si>
    <x:t xml:space="preserve">TC-M04-024; TC-M04-054, TC-M04-055</x:t>
  </x:si>
  <x:si>
    <x:t xml:space="preserve">TR-M04-103</x:t>
  </x:si>
  <x:si>
    <x:t xml:space="preserve">Dependencia destino no disponible</x:t>
  </x:si>
  <x:si>
    <x:t xml:space="preserve">Usar fallback definido y conservar owner/estado.</x:t>
  </x:si>
  <x:si>
    <x:t xml:space="preserve">Home / M04</x:t>
  </x:si>
  <x:si>
    <x:t xml:space="preserve">M04/M03 | M05/M06/Alertas</x:t>
  </x:si>
  <x:si>
    <x:t xml:space="preserve">Obligación: Usar fallback definido y conservar owner/estado. | Resultado: Home / M04 | Negativo/borde: No bloquear M04.</x:t>
  </x:si>
  <x:si>
    <x:t xml:space="preserve">Figma/pieza: Documentado | QA: TC-M04-073 | Soporte: Flujo funcional/Copy UX</x:t>
  </x:si>
  <x:si>
    <x:t xml:space="preserve">TR-M04-104</x:t>
  </x:si>
  <x:si>
    <x:t xml:space="preserve">FLOW-M04-019 · Ruta 2 · Plan</x:t>
  </x:si>
  <x:si>
    <x:t xml:space="preserve">Deudas confirmadas y base de plan disponible</x:t>
  </x:si>
  <x:si>
    <x:t xml:space="preserve">RD-02 Plan | Mostrar orden</x:t>
  </x:si>
  <x:si>
    <x:t xml:space="preserve">Mostrar orden sugerido por menor saldo actual con mínimos protegidos.</x:t>
  </x:si>
  <x:si>
    <x:t xml:space="preserve">M04-RGL-028 | debt_projection · priority_order / projection_method / minimum_payment_amount</x:t>
  </x:si>
  <x:si>
    <x:t xml:space="preserve">debt_projection · priority_order / projection_method / minimum_payment_amount</x:t>
  </x:si>
  <x:si>
    <x:t xml:space="preserve">Mostrar orden</x:t>
  </x:si>
  <x:si>
    <x:t xml:space="preserve">Plan base</x:t>
  </x:si>
  <x:si>
    <x:t xml:space="preserve">Obligación: Mostrar orden sugerido por menor saldo actual con mínimos protegidos. | Resultado: Plan base | Negativo/borde: No prometer optimización avanzada.</x:t>
  </x:si>
  <x:si>
    <x:t xml:space="preserve">Figma/pieza: Ruta despeje 2. Plan.png | QA: TC-M04-041, TC-M04-042 | Soporte: Figma 4.4 / BDD</x:t>
  </x:si>
  <x:si>
    <x:t xml:space="preserve">Ruta despeje 2. Plan.png</x:t>
  </x:si>
  <x:si>
    <x:t xml:space="preserve">TC-M04-041, TC-M04-042</x:t>
  </x:si>
  <x:si>
    <x:t xml:space="preserve">TR-M04-105</x:t>
  </x:si>
  <x:si>
    <x:t xml:space="preserve">Existe pago/compromiso mensual confirmado y confianza suficiente</x:t>
  </x:si>
  <x:si>
    <x:t xml:space="preserve">RD-02 Plan | Mostrar capacidad recuperable</x:t>
  </x:si>
  <x:si>
    <x:t xml:space="preserve">Mostrar monto potencialmente liberable como estimación de deuda, no ahorro general.</x:t>
  </x:si>
  <x:si>
    <x:t xml:space="preserve">M04-RGL-027 | debt / debt_projection · monthly_payment_amount / recoverable capacity inputs / confidence / data_freshness_status</x:t>
  </x:si>
  <x:si>
    <x:t xml:space="preserve">M04-RGL-027</x:t>
  </x:si>
  <x:si>
    <x:t xml:space="preserve">debt / debt_projection · monthly_payment_amount / recoverable capacity inputs / confidence / data_freshness_status</x:t>
  </x:si>
  <x:si>
    <x:t xml:space="preserve">Mostrar capacidad recuperable</x:t>
  </x:si>
  <x:si>
    <x:t xml:space="preserve">M04/M05</x:t>
  </x:si>
  <x:si>
    <x:t xml:space="preserve">Obligación: Mostrar monto potencialmente liberable como estimación de deuda, no ahorro general. | Resultado: Plan base | Negativo/borde: No mostrar monto si solo hay saldo o dato no vigente.</x:t>
  </x:si>
  <x:si>
    <x:t xml:space="preserve">Figma/pieza: Ruta despeje 2. Plan.png | Soporte: BDD/Copy UX</x:t>
  </x:si>
  <x:si>
    <x:t xml:space="preserve">Observado con gap de copy</x:t>
  </x:si>
  <x:si>
    <x:t xml:space="preserve">Ajustar materialización/copy sin reabrir regla. ID: GAP-COPY-M04-CAPACIDAD</x:t>
  </x:si>
  <x:si>
    <x:t xml:space="preserve">TR-M04-106</x:t>
  </x:si>
  <x:si>
    <x:t xml:space="preserve">Datos, supuestos, confianza y versión suficientes</x:t>
  </x:si>
  <x:si>
    <x:t xml:space="preserve">RD-02 Plan | Mostrar cronograma</x:t>
  </x:si>
  <x:si>
    <x:t xml:space="preserve">Mostrar duración/fecha como estimación condicionada.</x:t>
  </x:si>
  <x:si>
    <x:t xml:space="preserve">M04-RGL-031 | debt_projection · projected_months_to_close / projected_close_date / projection_confidence_level / assumptions_used / rule_version</x:t>
  </x:si>
  <x:si>
    <x:t xml:space="preserve">M04-RGL-031</x:t>
  </x:si>
  <x:si>
    <x:t xml:space="preserve">debt_projection · projected_months_to_close / projected_close_date / projection_confidence_level / assumptions_used / rule_version</x:t>
  </x:si>
  <x:si>
    <x:t xml:space="preserve">Mostrar cronograma</x:t>
  </x:si>
  <x:si>
    <x:t xml:space="preserve">Obligación: Mostrar duración/fecha como estimación condicionada. | Resultado: Plan base | Negativo/borde: No comunicar fecha garantizada.</x:t>
  </x:si>
  <x:si>
    <x:t xml:space="preserve">Figma/pieza: Ruta despeje 2. Plan.png | QA: TC-M04-043, TC-M04-044, TC-M04-072 | Soporte: BDD/Copy UX</x:t>
  </x:si>
  <x:si>
    <x:t xml:space="preserve">TC-M04-043, TC-M04-044, TC-M04-072</x:t>
  </x:si>
  <x:si>
    <x:t xml:space="preserve">TR-M04-107</x:t>
  </x:si>
  <x:si>
    <x:t xml:space="preserve">Faltan datos/supuestos/confianza para proyectar fecha</x:t>
  </x:si>
  <x:si>
    <x:t xml:space="preserve">RD-02 Plan | Mostrar estado cualitativo</x:t>
  </x:si>
  <x:si>
    <x:t xml:space="preserve">No mostrar fecha concluyente; pedir datos o mantener estado cualitativo.</x:t>
  </x:si>
  <x:si>
    <x:t xml:space="preserve">M04-RGL-031; M04-RGL-012 | debt_projection · projection_confidence_level=no_calculable / blocking_missing_fields</x:t>
  </x:si>
  <x:si>
    <x:t xml:space="preserve">M04-RGL-031; M04-RGL-012</x:t>
  </x:si>
  <x:si>
    <x:t xml:space="preserve">debt_projection · projection_confidence_level=no_calculable / blocking_missing_fields</x:t>
  </x:si>
  <x:si>
    <x:t xml:space="preserve">Completar datos</x:t>
  </x:si>
  <x:si>
    <x:t xml:space="preserve">OD-02/RD-02</x:t>
  </x:si>
  <x:si>
    <x:t xml:space="preserve">Plan incompleto</x:t>
  </x:si>
  <x:si>
    <x:t xml:space="preserve">Obligación: No mostrar fecha concluyente; pedir datos o mantener estado cualitativo. | Resultado: Plan incompleto | Negativo/borde: No inventar duración.</x:t>
  </x:si>
  <x:si>
    <x:t xml:space="preserve">Figma/pieza: Documentado | QA: TC-M04-043, TC-M04-044, TC-M04-072 | Soporte: BDD/Copy UX</x:t>
  </x:si>
  <x:si>
    <x:t xml:space="preserve">TR-M04-108</x:t>
  </x:si>
  <x:si>
    <x:t xml:space="preserve">Vista agrupada opcional autorizada por fuente</x:t>
  </x:si>
  <x:si>
    <x:t xml:space="preserve">RD-02 Plan | Ver deudas agrupadas</x:t>
  </x:si>
  <x:si>
    <x:t xml:space="preserve">Si se materializa, agrupa deudas para ordenar sin implicar refinanciamiento/consolidación.</x:t>
  </x:si>
  <x:si>
    <x:t xml:space="preserve">debt / debt_projection · debt_id / priority_order</x:t>
  </x:si>
  <x:si>
    <x:t xml:space="preserve">Ver deudas agrupadas</x:t>
  </x:si>
  <x:si>
    <x:t xml:space="preserve">RD-02 componente</x:t>
  </x:si>
  <x:si>
    <x:t xml:space="preserve">Componente RD-02</x:t>
  </x:si>
  <x:si>
    <x:t xml:space="preserve">Obligación: Si se materializa, agrupa deudas para ordenar sin implicar refinanciamiento/consolidación. | Resultado: Componente RD-02 | Negativo/borde: No inferir que agrupar = consolidar/refinanciar.</x:t>
  </x:si>
  <x:si>
    <x:t xml:space="preserve">Figma/pieza: Figma 4.4 · listado/orden de deudas dentro de RD-02 | Soporte: Reglas contextuales y severidad REC-022 / Matriz de pantallas y acciones RD-02</x:t>
  </x:si>
  <x:si>
    <x:t xml:space="preserve">Figma 4.4 · listado/orden de deudas dentro de RD-02</x:t>
  </x:si>
  <x:si>
    <x:t xml:space="preserve">Observado como componente/listado RD-02; CTA específico “Ver deudas agrupadas” no inequívoco</x:t>
  </x:si>
  <x:si>
    <x:t xml:space="preserve">TR-M04-109</x:t>
  </x:si>
  <x:si>
    <x:t xml:space="preserve">Figma usa “capacidad de ahorro comprometida/que podrías liberar”</x:t>
  </x:si>
  <x:si>
    <x:t xml:space="preserve">RD-02 Plan | Copy capacidad</x:t>
  </x:si>
  <x:si>
    <x:t xml:space="preserve">La obligación documental exige semántica de capacidad recuperable/liberable por deuda, separada de ahorro general M05.</x:t>
  </x:si>
  <x:si>
    <x:t xml:space="preserve">M04-RGL-027 | debt_projection · recoverable capacity</x:t>
  </x:si>
  <x:si>
    <x:t xml:space="preserve">debt_projection · recoverable capacity</x:t>
  </x:si>
  <x:si>
    <x:t xml:space="preserve">Copy capacidad</x:t>
  </x:si>
  <x:si>
    <x:t xml:space="preserve">RD-02 copy a revisar</x:t>
  </x:si>
  <x:si>
    <x:t xml:space="preserve">Obligación: La obligación documental exige semántica de capacidad recuperable/liberable por deuda, separada de ahorro general M05. | Resultado: RD-02 copy a revisar | Negativo/borde: No presentar como capacidad de ahorro general.</x:t>
  </x:si>
  <x:si>
    <x:t xml:space="preserve">Figma/pieza: Ruta despeje 2. Plan.png | Soporte: Copy UX §16 + Figma 4.4</x:t>
  </x:si>
  <x:si>
    <x:t xml:space="preserve">Gap materialización</x:t>
  </x:si>
  <x:si>
    <x:t xml:space="preserve">TR-M04-110</x:t>
  </x:si>
  <x:si>
    <x:t xml:space="preserve">FLOW-M04-020 · Ruta 2 · Simulación</x:t>
  </x:si>
  <x:si>
    <x:t xml:space="preserve">Ingreso disponible para colchón</x:t>
  </x:si>
  <x:si>
    <x:t xml:space="preserve">RD-02 Simulación | Calcular</x:t>
  </x:si>
  <x:si>
    <x:t xml:space="preserve">RD-02 Simulación</x:t>
  </x:si>
  <x:si>
    <x:t xml:space="preserve">No usar max(piso, ingreso×5%) como política vigente. Preservar únicamente el principio de protección prudencial antes de afirmar sostenibilidad.</x:t>
  </x:si>
  <x:si>
    <x:t xml:space="preserve">P4-CNT-022</x:t>
  </x:si>
  <x:si>
    <x:t xml:space="preserve">M04-RGL-024 | calculation · inputs prudenciales disponibles / suficiencia de protección / versión de política</x:t>
  </x:si>
  <x:si>
    <x:t xml:space="preserve">M04-RGL-024</x:t>
  </x:si>
  <x:si>
    <x:t xml:space="preserve">calculation · inputs prudenciales disponibles / suficiencia de protección / versión de política | P4-CNT-022</x:t>
  </x:si>
  <x:si>
    <x:t xml:space="preserve">Calcular</x:t>
  </x:si>
  <x:si>
    <x:t xml:space="preserve">Protección prudencial: evaluable / no evaluable; sin monto anterior automático</x:t>
  </x:si>
  <x:si>
    <x:t xml:space="preserve">Obligación: No usar max(piso, ingreso×5%) como política vigente. Preservar únicamente el principio de protección prudencial antes de afirmar sostenibilidad. | Resultado: Protección prudencial: evaluable / no evaluable; sin monto anterior automático | Negativo/borde: No hardcodear en UX.</x:t>
  </x:si>
  <x:si>
    <x:t xml:space="preserve">Figma/pieza: Flujo simulación 4.4 | QA: TC-M04-037 | Soporte: BDD fórmula 7.1</x:t>
  </x:si>
  <x:si>
    <x:t xml:space="preserve">Flujo simulación 4.4</x:t>
  </x:si>
  <x:si>
    <x:t xml:space="preserve">TC-M04-037</x:t>
  </x:si>
  <x:si>
    <x:t xml:space="preserve">Vigente | D-M04-RESERVA-01; P4-CNT-022.</x:t>
  </x:si>
  <x:si>
    <x:t xml:space="preserve">TR-M04-111</x:t>
  </x:si>
  <x:si>
    <x:t xml:space="preserve">Ingreso/gastos/pagos obligatorios disponibles</x:t>
  </x:si>
  <x:si>
    <x:t xml:space="preserve">Consumir headroom/capacidad residual canónica producida upstream; M04 no recalcula un presupuesto paralelo.</x:t>
  </x:si>
  <x:si>
    <x:t xml:space="preserve">P4-CNT-004</x:t>
  </x:si>
  <x:si>
    <x:t xml:space="preserve">M04-RGL-025 | input M05 / cálculo consumidor M04 · headroom canónico / período / calidad / provenance</x:t>
  </x:si>
  <x:si>
    <x:t xml:space="preserve">M04-RGL-025</x:t>
  </x:si>
  <x:si>
    <x:t xml:space="preserve">input M05 / cálculo consumidor M04 · headroom canónico / período / calidad / provenance | P4-CNT-004</x:t>
  </x:si>
  <x:si>
    <x:t xml:space="preserve">Headroom canónico consumido por Ruta/simulación</x:t>
  </x:si>
  <x:si>
    <x:t xml:space="preserve">M04/M05/M06</x:t>
  </x:si>
  <x:si>
    <x:t xml:space="preserve">M04 | M05/M06 inputs</x:t>
  </x:si>
  <x:si>
    <x:t xml:space="preserve">Obligación: Consumir headroom/capacidad residual canónica producida upstream; M04 no recalcula un presupuesto paralelo. | Resultado: Headroom canónico consumido por Ruta/simulación | Negativo/borde: No crear presupuesto paralelo.</x:t>
  </x:si>
  <x:si>
    <x:t xml:space="preserve">Figma/pieza: Flujo simulación 4.4 | QA: TC-M04-038 | Soporte: BDD fórmula 7.3</x:t>
  </x:si>
  <x:si>
    <x:t xml:space="preserve">TC-M04-038</x:t>
  </x:si>
  <x:si>
    <x:t xml:space="preserve">Vigente | D-M05-K-01; P4-CNT-004.</x:t>
  </x:si>
  <x:si>
    <x:t xml:space="preserve">TR-M04-112</x:t>
  </x:si>
  <x:si>
    <x:t xml:space="preserve">Headroom válido y protección prudencial suficientemente evaluable</x:t>
  </x:si>
  <x:si>
    <x:t xml:space="preserve">Consumir el outcome prudencial M05 sin reconstruir su política: si es positivo, puede recomendarse y simularse el monto; si es evaluable=0, mantener el plan seleccionado y mostrar que por ahora no se recomienda aporte adicional. No confundir 0 con no evaluable.</x:t>
  </x:si>
  <x:si>
    <x:t xml:space="preserve">M04-RGL-026 | calculation · headroom / protección prudencial / suficiencia / versión de política</x:t>
  </x:si>
  <x:si>
    <x:t xml:space="preserve">M04-RGL-026</x:t>
  </x:si>
  <x:si>
    <x:t xml:space="preserve">calculation · headroom / protección prudencial / suficiencia / versión de política | P4-CNT-022</x:t>
  </x:si>
  <x:si>
    <x:t xml:space="preserve">Positivo: recomendación + Ver simulación | 0: plan seleccionado sin aporte + estado explicativo</x:t>
  </x:si>
  <x:si>
    <x:t xml:space="preserve">Obligación: distinguir positivo, 0/no recomendado y no evaluable. | Resultado: solo positivo se presenta como recomendación sostenible; 0 se explica como resultado conocido. | Negativo/borde: no ocultar 0 como si faltara cálculo ni reconstruir política M05.</x:t>
  </x:si>
  <x:si>
    <x:t xml:space="preserve">Figma/pieza: Flujo simulación 4.4 | QA: TC-M04-039, TC-M04-040 | Soporte: BDD fórmula 7.4</x:t>
  </x:si>
  <x:si>
    <x:t xml:space="preserve">TC-M04-039, TC-M04-040</x:t>
  </x:si>
  <x:si>
    <x:t xml:space="preserve">TR-M04-113</x:t>
  </x:si>
  <x:si>
    <x:t xml:space="preserve">Usuario ingresa aporte manual hipotético</x:t>
  </x:si>
  <x:si>
    <x:t xml:space="preserve">RD-02 Simulación | Ingresar monto</x:t>
  </x:si>
  <x:si>
    <x:t xml:space="preserve">Permitir simulación manual como escenario hipotético y, si el usuario la acepta, conservarla como configuración de planificación seleccionada con marca manual/referencial. Aceptarla no la convierte en sostenible ni recomendación Walvy.</x:t>
  </x:si>
  <x:si>
    <x:t xml:space="preserve">P4-CNT-021</x:t>
  </x:si>
  <x:si>
    <x:t xml:space="preserve">M04-RGL-032; M04-RGL-026 | debt_projection · additional_payment_amount / projection_method=manual</x:t>
  </x:si>
  <x:si>
    <x:t xml:space="preserve">M04-RGL-032; M04-RGL-026</x:t>
  </x:si>
  <x:si>
    <x:t xml:space="preserve">debt_projection · additional_payment_amount / projection_method=manual | P4-CNT-021</x:t>
  </x:si>
  <x:si>
    <x:t xml:space="preserve">Ver simulación / Aceptar simulación</x:t>
  </x:si>
  <x:si>
    <x:t xml:space="preserve">Simulación</x:t>
  </x:si>
  <x:si>
    <x:t xml:space="preserve">Escenario simulado/referencial</x:t>
  </x:si>
  <x:si>
    <x:t xml:space="preserve">Obligación: monto manual puede previsualizarse y aceptarse como planificación seleccionada. | Resultado: escenario manual/referencial. | Negativo/borde: no presentarlo como aporte sostenible o recomendación Walvy; no ejecutar pago ni activar Ruta.</x:t>
  </x:si>
  <x:si>
    <x:t xml:space="preserve">Figma/pieza: Flujo simulación 4.4 | QA: TC-M04-045; TC-M04-039, TC-M04-040 | Soporte: BDD/Figma</x:t>
  </x:si>
  <x:si>
    <x:t xml:space="preserve">TC-M04-045; TC-M04-039, TC-M04-040</x:t>
  </x:si>
  <x:si>
    <x:t xml:space="preserve">Vigente | Aplicar P4-CNT-021; monto manual no prueba sostenibilidad.</x:t>
  </x:si>
  <x:si>
    <x:t xml:space="preserve">TR-M04-114</x:t>
  </x:si>
  <x:si>
    <x:t xml:space="preserve">Protección prudencial no evaluable o capacidad sostenible no demostrable</x:t>
  </x:si>
  <x:si>
    <x:t xml:space="preserve">RD-02 Simulación | Ver simulación</x:t>
  </x:si>
  <x:si>
    <x:t xml:space="preserve">Si el outcome prudencial no es evaluable, mostrar un estado Human First que explique que Walvy no puede recomendar un monto. Permitir simulación manual solo si los inputs mínimos de proyección son suficientes; si no, pedir completar información. No convertir desconocido en 0.</x:t>
  </x:si>
  <x:si>
    <x:t xml:space="preserve">M04-RGL-026; M04-RGL-032 | debt_projection · additional_payment_amount / projection_confidence_level / blocking_missing_fields</x:t>
  </x:si>
  <x:si>
    <x:t xml:space="preserve">M04-RGL-026; M04-RGL-032</x:t>
  </x:si>
  <x:si>
    <x:t xml:space="preserve">debt_projection · additional_payment_amount / projection_confidence_level / blocking_missing_fields | P4-CNT-022</x:t>
  </x:si>
  <x:si>
    <x:t xml:space="preserve">Ver simulación</x:t>
  </x:si>
  <x:si>
    <x:t xml:space="preserve">Estado no evaluable + simulación manual opcional o completar información</x:t>
  </x:si>
  <x:si>
    <x:t xml:space="preserve">Obligación: no evaluable debe ser visible y comprensible. | Resultado: sin máximo sostenible; manual solo si puede proyectarse. | Negativo/borde: no decir “puedes pagar X” ni tratar no evaluable como 0.</x:t>
  </x:si>
  <x:si>
    <x:t xml:space="preserve">Figma/pieza: Figma 4.4 | QA: TC-M04-039, TC-M04-040; TC-M04-045 | Soporte: BDD</x:t>
  </x:si>
  <x:si>
    <x:t xml:space="preserve">Figma 4.4</x:t>
  </x:si>
  <x:si>
    <x:t xml:space="preserve">Requerido · variante exacta no observada inequívocamente en Figma actual</x:t>
  </x:si>
  <x:si>
    <x:t xml:space="preserve">TC-M04-039, TC-M04-040; TC-M04-045</x:t>
  </x:si>
  <x:si>
    <x:t xml:space="preserve">Vigente | Aplicar P4-CNT-022; distinguir 0 conocido de no calculable.</x:t>
  </x:si>
  <x:si>
    <x:t xml:space="preserve">TR-M04-115</x:t>
  </x:si>
  <x:si>
    <x:t xml:space="preserve">Cambian saldos, mínimos, compromisos, headroom, cierre, ingreso, gasto relevante o versión de regla</x:t>
  </x:si>
  <x:si>
    <x:t xml:space="preserve">RD-02 Simulación | Recalcular</x:t>
  </x:si>
  <x:si>
    <x:t xml:space="preserve">Invalidar/recalcular la proyección con snapshot, versión y supuestos; no reutilizar cálculo obsoleto.</x:t>
  </x:si>
  <x:si>
    <x:t xml:space="preserve">P4-CNT-023</x:t>
  </x:si>
  <x:si>
    <x:t xml:space="preserve">M04-RGL-031 | debt_projection · timestamp de proyección / versión / supuestos / inputs fuente / evaluated_at</x:t>
  </x:si>
  <x:si>
    <x:t xml:space="preserve">debt_projection · timestamp de proyección / versión / supuestos / inputs fuente / evaluated_at | P4-CNT-023</x:t>
  </x:si>
  <x:si>
    <x:t xml:space="preserve">Recalcular</x:t>
  </x:si>
  <x:si>
    <x:t xml:space="preserve">Nueva proyección</x:t>
  </x:si>
  <x:si>
    <x:t xml:space="preserve">M04 | Inputs externos</x:t>
  </x:si>
  <x:si>
    <x:t xml:space="preserve">Obligación: Invalidar/recalcular la proyección con snapshot, versión y supuestos; no reutilizar cálculo obsoleto. | Resultado: Nueva proyección | Negativo/borde: No reutilizar proyección obsoleta.</x:t>
  </x:si>
  <x:si>
    <x:t xml:space="preserve">Figma/pieza: Figma 4.4 + BDD | QA: TC-M04-072 | Soporte: BDD recálculo/versionado</x:t>
  </x:si>
  <x:si>
    <x:t xml:space="preserve">Figma 4.4 + BDD</x:t>
  </x:si>
  <x:si>
    <x:t xml:space="preserve">TC-M04-072</x:t>
  </x:si>
  <x:si>
    <x:t xml:space="preserve">Vigente | Aplicar P4-CNT-023; capacidad anterior reemplazada por headroom + gate prudencial cuando corresponda.</x:t>
  </x:si>
  <x:si>
    <x:t xml:space="preserve">TR-M04-116</x:t>
  </x:si>
  <x:si>
    <x:t xml:space="preserve">FLOW-M04-021 · Ruta 2 · Simulación aceptada</x:t>
  </x:si>
  <x:si>
    <x:t xml:space="preserve">Usuario acepta escenario</x:t>
  </x:si>
  <x:si>
    <x:t xml:space="preserve">Simulación | Aceptar simulación</x:t>
  </x:si>
  <x:si>
    <x:t xml:space="preserve">Aceptar la simulación convierte el escenario en la configuración de planificación seleccionada vigente, conserva su origen/supuestos/versiones mínimos y un único snapshot restaurable del plan inmediatamente anterior. No ejecuta pago ni activa/desactiva Ruta.</x:t>
  </x:si>
  <x:si>
    <x:t xml:space="preserve">M04-RGL-032; M04-RGL-030, M04-RGL-036 | debt_projection / debt_recommendation · additional_payment_amount / projection_method / recommendation_status</x:t>
  </x:si>
  <x:si>
    <x:t xml:space="preserve">M04-RGL-032; M04-RGL-030, M04-RGL-036</x:t>
  </x:si>
  <x:si>
    <x:t xml:space="preserve">debt_projection / configuración seleccionada · projection_method / recommendation_status / assumptions/version/source refs / previous_selected_plan_ref</x:t>
  </x:si>
  <x:si>
    <x:t xml:space="preserve">Aceptar simulación</x:t>
  </x:si>
  <x:si>
    <x:t xml:space="preserve">RD-02 Plan actualizado</x:t>
  </x:si>
  <x:si>
    <x:t xml:space="preserve">Obligación: aceptar selecciona el escenario de planificación de forma idempotente y preserva un rollback de un nivel. | Resultado: RD-02 Plan actualizado. | Negativo/borde: no pago, no transferencia, no activación/desactivación de Ruta, manual no se vuelve sostenible.</x:t>
  </x:si>
  <x:si>
    <x:t xml:space="preserve">Figma/pieza: Aceptar simulación.png + requerimiento rollback | QA: TC-M04-046 | Evidencia: before/after del plan seleccionado + ausencia de side effects</x:t>
  </x:si>
  <x:si>
    <x:t xml:space="preserve">Aceptar simulación.png</x:t>
  </x:si>
  <x:si>
    <x:t xml:space="preserve">TC-M04-046</x:t>
  </x:si>
  <x:si>
    <x:t xml:space="preserve">TR-M04-117</x:t>
  </x:si>
  <x:si>
    <x:t xml:space="preserve">Escenario aceptado · rollback/restauración del plan anterior</x:t>
  </x:si>
  <x:si>
    <x:t xml:space="preserve">Simulación aceptada | Volver al plan anterior</x:t>
  </x:si>
  <x:si>
    <x:t xml:space="preserve">Mantener naturaleza estimada y permitir rollback MVP de un nivel mientras el snapshot anterior siga válido. Restaurar la configuración previa y recalcular RD-02 sin revertir pagos/cierres ni cambiar route_state. Seguir plan por sí solo no invalida; cambios materiales posteriores u otra simulación aceptada sí.</x:t>
  </x:si>
  <x:si>
    <x:t xml:space="preserve">M04-RGL-030; M04-RGL-031 | debt_projection · projection_method / projected_months_to_close / assumptions_used</x:t>
  </x:si>
  <x:si>
    <x:t xml:space="preserve">M04-RGL-030; M04-RGL-031</x:t>
  </x:si>
  <x:si>
    <x:t xml:space="preserve">debt_projection · selected plan / previous plan ref / rollback_status / projected_months_to_close / assumptions_used</x:t>
  </x:si>
  <x:si>
    <x:t xml:space="preserve">Aceptar simulación / Volver al plan anterior</x:t>
  </x:si>
  <x:si>
    <x:t xml:space="preserve">RD-02 Plan actualizado / RD-02 Plan anterior restaurado</x:t>
  </x:si>
  <x:si>
    <x:t xml:space="preserve">Obligación: rollback restaura únicamente el plan seleccionado inmediatamente anterior si sigue válido. | Resultado: RD-02 recalculado con configuración previa. | Negativo/borde: no historial navegable/redo; no restaura snapshots stale; no revierte pagos, cierres ni route_state.</x:t>
  </x:si>
  <x:si>
    <x:t xml:space="preserve">Requerimiento UX RD-02 + BDD/Backend | QA: TC-M04-046, TC-M04-072 | Evidencia before/after + caso de invalidación</x:t>
  </x:si>
  <x:si>
    <x:t xml:space="preserve">Plan post-simulación · rollback por materializar en Figma</x:t>
  </x:si>
  <x:si>
    <x:t xml:space="preserve">Contrato funcional cerrado · variante rollback pendiente de materialización Figma</x:t>
  </x:si>
  <x:si>
    <x:t xml:space="preserve">TC-M04-046; TC-M04-072</x:t>
  </x:si>
  <x:si>
    <x:t xml:space="preserve">D-RD02-SIM v1.0 · rollback un nivel; Seguir plan solo no invalida; cambios materiales sí. D-M04-ACT-01 se preserva.</x:t>
  </x:si>
  <x:si>
    <x:t xml:space="preserve">TR-M04-118</x:t>
  </x:si>
  <x:si>
    <x:t xml:space="preserve">FLOW-M04-022 · Ruta 2→3</x:t>
  </x:si>
  <x:si>
    <x:t xml:space="preserve">Ruta elegible/disponible y usuario ejecuta el primer “Seguir plan” válido desde RD-02</x:t>
  </x:si>
  <x:si>
    <x:t xml:space="preserve">RD-02 Plan | Seguir plan</x:t>
  </x:si>
  <x:si>
    <x:t xml:space="preserve">Persistir la transición route_eligibility_status=elegible→activa y functional_debt_state=ruta_activa, junto con el momento de inicio. El evento es idempotente: usos posteriores de “Seguir plan” representan continuidad, no nuevas activaciones.</x:t>
  </x:si>
  <x:si>
    <x:t xml:space="preserve">M04-RGL-033; M04-RGL-030 | debt · route_activation_allowed=true / route_eligibility_status: elegible→activa / functional_debt_state=ruta_activa / momento de activación persistido (sin imponer nombre físico)</x:t>
  </x:si>
  <x:si>
    <x:t xml:space="preserve">M04-RGL-033; M04-RGL-030</x:t>
  </x:si>
  <x:si>
    <x:t xml:space="preserve">debt · route_activation_allowed=true / route_eligibility_status: elegible→activa / functional_debt_state=ruta_activa / momento de activación persistido (sin imponer nombre físico)</x:t>
  </x:si>
  <x:si>
    <x:t xml:space="preserve">Seguir plan</x:t>
  </x:si>
  <x:si>
    <x:t xml:space="preserve">RD-03</x:t>
  </x:si>
  <x:si>
    <x:t xml:space="preserve">RD-03 / Ruta activa</x:t>
  </x:si>
  <x:si>
    <x:t xml:space="preserve">Obligación: Persistir la transición route_eligibility_status=elegible→activa y functional_debt_state=ruta_activa, junto con el momento de inicio. El evento es idempotente: usos posteriores de “Seguir plan” representan continuidad, no nuevas activaciones. | Resultado: RD-03 / Ruta activa | Negativo/borde: No activar si route_activation_allowed=false. Reintentos/usos posteriores de “Seguir plan” no cambian el momento inicial ni generan otra activación.</x:t>
  </x:si>
  <x:si>
    <x:t xml:space="preserve">Figma/pieza: Figma 4.4/4.5 | QA: TC-M04-048, TC-M04-063 | Soporte: Decisión Producto + Figma 4.4→4.5 / BDD estados</x:t>
  </x:si>
  <x:si>
    <x:t xml:space="preserve">Figma 4.4/4.5</x:t>
  </x:si>
  <x:si>
    <x:t xml:space="preserve">TC-M04-048, TC-M04-063</x:t>
  </x:si>
  <x:si>
    <x:t xml:space="preserve">TR-M04-119</x:t>
  </x:si>
  <x:si>
    <x:t xml:space="preserve">Existe Ruta activa según estado canónico</x:t>
  </x:si>
  <x:si>
    <x:t xml:space="preserve">RD-03 Avance | Mostrar avance</x:t>
  </x:si>
  <x:si>
    <x:t xml:space="preserve">RD-03 Avance</x:t>
  </x:si>
  <x:si>
    <x:t xml:space="preserve">Mostrar avance con saldo, compromiso/pagos consumidos, progreso estimado y próxima acción; conservar el estado activo y el momento inicial en continuidad/retoma sin emitir una nueva activación.</x:t>
  </x:si>
  <x:si>
    <x:t xml:space="preserve">M04-RGL-033 | debt / debt_projection · functional_debt_state / current_balance_amount / projected_months_to_close / priority_order</x:t>
  </x:si>
  <x:si>
    <x:t xml:space="preserve">M04-RGL-033</x:t>
  </x:si>
  <x:si>
    <x:t xml:space="preserve">debt / debt_projection · functional_debt_state / current_balance_amount / projected_months_to_close / priority_order</x:t>
  </x:si>
  <x:si>
    <x:t xml:space="preserve">Mostrar avance</x:t>
  </x:si>
  <x:si>
    <x:t xml:space="preserve">Obligación: Mostrar avance con saldo, compromiso/pagos consumidos, progreso estimado y próxima acción; conservar el estado activo y el momento inicial en continuidad/retoma sin emitir una nueva activación. | Resultado: RD-03 | Negativo/borde: No reemitir activación ni reemplazar el momento inicial; usos posteriores de “Seguir plan” son continuidad.</x:t>
  </x:si>
  <x:si>
    <x:t xml:space="preserve">Figma/pieza: Ruta Despeje - 3. Avance*.png | QA: TC-M04-048, TC-M04-063 | Soporte: Matriz de pantallas y acciones/Figma/BDD</x:t>
  </x:si>
  <x:si>
    <x:t xml:space="preserve">Ruta Despeje - 3. Avance*.png</x:t>
  </x:si>
  <x:si>
    <x:t xml:space="preserve">TR-M04-120</x:t>
  </x:si>
  <x:si>
    <x:t xml:space="preserve">Usuario consulta pagos recientes/historial</x:t>
  </x:si>
  <x:si>
    <x:t xml:space="preserve">RD-03 Avance | Ver historial</x:t>
  </x:si>
  <x:si>
    <x:t xml:space="preserve">Derivar a M06/Pagos; M04 no crea historial operativo paralelo.</x:t>
  </x:si>
  <x:si>
    <x:t xml:space="preserve">M04-RGL-033; M04-RGL-016, M04-RGL-042 | debt_signal · payment history owner M06 / correlation reference</x:t>
  </x:si>
  <x:si>
    <x:t xml:space="preserve">M04-RGL-033; M04-RGL-016, M04-RGL-042</x:t>
  </x:si>
  <x:si>
    <x:t xml:space="preserve">debt_signal · payment history owner M06 / correlation reference</x:t>
  </x:si>
  <x:si>
    <x:t xml:space="preserve">Ver historial</x:t>
  </x:si>
  <x:si>
    <x:t xml:space="preserve">Obligación: Derivar a M06/Pagos; M04 no crea historial operativo paralelo. | Resultado: M06/Pagos | Negativo/borde: Clasificar como navegación, no señal producida.</x:t>
  </x:si>
  <x:si>
    <x:t xml:space="preserve">Figma/pieza: Ruta Despeje - 3. Avance*.png | QA: TC-M04-048, TC-M04-063 | Soporte: Figma RD03</x:t>
  </x:si>
  <x:si>
    <x:t xml:space="preserve">TR-M04-121</x:t>
  </x:si>
  <x:si>
    <x:t xml:space="preserve">Usuario continúa a lectura estructural</x:t>
  </x:si>
  <x:si>
    <x:t xml:space="preserve">RD-03 Avance | Ir a Perfil Financiero</x:t>
  </x:si>
  <x:si>
    <x:t xml:space="preserve">Navegar a Perfil conservando estado canónico; Perfil no embebe Ruta completa.</x:t>
  </x:si>
  <x:si>
    <x:t xml:space="preserve">M04-RGL-033; M04-RGL-002, M04-RGL-039 | debt · functional_debt_state / pressure_evaluation_status</x:t>
  </x:si>
  <x:si>
    <x:t xml:space="preserve">M04-RGL-033; M04-RGL-002, M04-RGL-039</x:t>
  </x:si>
  <x:si>
    <x:t xml:space="preserve">debt · functional_debt_state / pressure_evaluation_status</x:t>
  </x:si>
  <x:si>
    <x:t xml:space="preserve">Ir a Perfil Financiero</x:t>
  </x:si>
  <x:si>
    <x:t xml:space="preserve">Obligación: Navegar a Perfil conservando estado canónico; Perfil no embebe Ruta completa. | Resultado: Perfil Financiero | Negativo/borde: No convertir navegación en señal accionable externa.</x:t>
  </x:si>
  <x:si>
    <x:t xml:space="preserve">TR-M04-122</x:t>
  </x:si>
  <x:si>
    <x:t xml:space="preserve">Cierre/avance recalculado produce una next_suggested_debt nueva y vigente.</x:t>
  </x:si>
  <x:si>
    <x:t xml:space="preserve">RD-03 Avance | Mostrar siguiente deuda</x:t>
  </x:si>
  <x:si>
    <x:t xml:space="preserve">F7 recomienda revisar la siguiente deuda; capacidad liberada puede enriquecer el payload si es válida; no cambiar Foco del Mes.</x:t>
  </x:si>
  <x:si>
    <x:t xml:space="preserve">M04-RGL-035; M04-RGL-033 | debt_projection · priority_order / next suggested debt reference</x:t>
  </x:si>
  <x:si>
    <x:t xml:space="preserve">M04-RGL-035; M04-RGL-033</x:t>
  </x:si>
  <x:si>
    <x:t xml:space="preserve">debt_projection · priority_order / next suggested debt reference</x:t>
  </x:si>
  <x:si>
    <x:t xml:space="preserve">Mostrar siguiente deuda</x:t>
  </x:si>
  <x:si>
    <x:t xml:space="preserve">Perfil/M01</x:t>
  </x:si>
  <x:si>
    <x:t xml:space="preserve">Obligación: F7 recomienda revisar la siguiente deuda; capacidad liberada puede enriquecer el payload si es válida; no cambiar Foco del Mes. | Resultado: RD-03 | Negativo/borde: No usar semántica “Foco del Mes” como estado formal.</x:t>
  </x:si>
  <x:si>
    <x:t xml:space="preserve">Figma/pieza: Ruta Despeje - 3. Avance*.png | QA: TC-M04-053; TC-M04-048, TC-M04-063 | Soporte: Figma/PD</x:t>
  </x:si>
  <x:si>
    <x:t xml:space="preserve">Observado con gap copy</x:t>
  </x:si>
  <x:si>
    <x:t xml:space="preserve">TC-M04-053; TC-M04-048, TC-M04-063</x:t>
  </x:si>
  <x:si>
    <x:t xml:space="preserve">Ajustar materialización/copy sin reabrir regla. ID: GAP-COPY-M04-FOCO</x:t>
  </x:si>
  <x:si>
    <x:t xml:space="preserve">TR-M04-123</x:t>
  </x:si>
  <x:si>
    <x:t xml:space="preserve">Figma muestra “Capacidad de ahorro a recuperar (estimado)”</x:t>
  </x:si>
  <x:si>
    <x:t xml:space="preserve">RD-03 Avance | Copy capacidad</x:t>
  </x:si>
  <x:si>
    <x:t xml:space="preserve">La obligación documental exige capacidad recuperable/liberable por deuda, no capacidad de ahorro general M05.</x:t>
  </x:si>
  <x:si>
    <x:t xml:space="preserve">RD-03 copy a revisar</x:t>
  </x:si>
  <x:si>
    <x:t xml:space="preserve">Obligación: La obligación documental exige capacidad recuperable/liberable por deuda, no capacidad de ahorro general M05. | Resultado: RD-03 copy a revisar | Negativo/borde: No presentar como ahorro general.</x:t>
  </x:si>
  <x:si>
    <x:t xml:space="preserve">Figma/pieza: Ruta Despeje - 3. Avance*.png | QA: TC-M04-049 | Soporte: Copy UX + Figma RD03</x:t>
  </x:si>
  <x:si>
    <x:t xml:space="preserve">TC-M04-049</x:t>
  </x:si>
  <x:si>
    <x:t xml:space="preserve">TR-M04-124</x:t>
  </x:si>
  <x:si>
    <x:t xml:space="preserve">Figma muestra “Siguiente foco sugerido”</x:t>
  </x:si>
  <x:si>
    <x:t xml:space="preserve">RD-03 Avance | Copy siguiente foco</x:t>
  </x:si>
  <x:si>
    <x:t xml:space="preserve">La obligación funcional debe mantenerse como próxima deuda/próximo paso salvo regla formal de Foco.</x:t>
  </x:si>
  <x:si>
    <x:t xml:space="preserve">M04-RGL-035 | debt_projection · next suggested debt reference</x:t>
  </x:si>
  <x:si>
    <x:t xml:space="preserve">M04-RGL-035</x:t>
  </x:si>
  <x:si>
    <x:t xml:space="preserve">debt_projection · next suggested debt reference</x:t>
  </x:si>
  <x:si>
    <x:t xml:space="preserve">Copy siguiente foco</x:t>
  </x:si>
  <x:si>
    <x:t xml:space="preserve">Obligación: La obligación funcional debe mantenerse como próxima deuda/próximo paso salvo regla formal de Foco. | Resultado: RD-03 copy a revisar | Negativo/borde: No inferir cambio de Foco del Mes.</x:t>
  </x:si>
  <x:si>
    <x:t xml:space="preserve">Figma/pieza: Ruta Despeje - 3. Avance*.png | QA: TC-M04-053 | Soporte: Figma RD03 + Regla Foco</x:t>
  </x:si>
  <x:si>
    <x:t xml:space="preserve">TC-M04-053</x:t>
  </x:si>
  <x:si>
    <x:t xml:space="preserve">TR-M04-125</x:t>
  </x:si>
  <x:si>
    <x:t xml:space="preserve">FLOW-M04-023 · Ruta 3 · Cierre</x:t>
  </x:si>
  <x:si>
    <x:t xml:space="preserve">possible_closure cambia false→true con closed=false.</x:t>
  </x:si>
  <x:si>
    <x:t xml:space="preserve">RD-03 Avance | Detectar posible cierre</x:t>
  </x:si>
  <x:si>
    <x:t xml:space="preserve">Hacer nacer F6 una sola vez por instancia; solicitar confirmación funcional. Persistencia true→true actualiza la misma situación, no crea otra.</x:t>
  </x:si>
  <x:si>
    <x:t xml:space="preserve">M04-RGL-034; M04-RGL-016 | debt · debt_status / possible_closure / confirmation_status</x:t>
  </x:si>
  <x:si>
    <x:t xml:space="preserve">M04-RGL-034; M04-RGL-016</x:t>
  </x:si>
  <x:si>
    <x:t xml:space="preserve">debt · debt_status / possible_closure / confirmation_status</x:t>
  </x:si>
  <x:si>
    <x:t xml:space="preserve">Confirmar cierre</x:t>
  </x:si>
  <x:si>
    <x:t xml:space="preserve">RD-03/modal</x:t>
  </x:si>
  <x:si>
    <x:t xml:space="preserve">RD-03 / modal cierre</x:t>
  </x:si>
  <x:si>
    <x:t xml:space="preserve">M04 | M06 pago</x:t>
  </x:si>
  <x:si>
    <x:t xml:space="preserve">Obligación: Hacer nacer F6 una sola vez por instancia; solicitar confirmación funcional. Persistencia true→true actualiza la misma situación, no crea otra. | Resultado: RD-03 / modal cierre | Negativo/borde: No auto-cerrar por pago.</x:t>
  </x:si>
  <x:si>
    <x:t xml:space="preserve">Figma/pieza: Modal confirmar deuda cerrada · documental | QA: TC-M04-050, TC-M04-051 | Soporte: Reglas contextuales y severidad/Copy UX/PD</x:t>
  </x:si>
  <x:si>
    <x:t xml:space="preserve">Modal confirmar deuda cerrada · documental</x:t>
  </x:si>
  <x:si>
    <x:t xml:space="preserve">TC-M04-050, TC-M04-051</x:t>
  </x:si>
  <x:si>
    <x:t xml:space="preserve">TR-M04-126</x:t>
  </x:si>
  <x:si>
    <x:t xml:space="preserve">Usuario confirma cierre con evidencia funcional suficiente</x:t>
  </x:si>
  <x:si>
    <x:t xml:space="preserve">RD-03 / modal cierre | Confirmar cierre</x:t>
  </x:si>
  <x:si>
    <x:t xml:space="preserve">Cambiar deuda a cerrada en estado canónico y excluirla de deuda activa.</x:t>
  </x:si>
  <x:si>
    <x:t xml:space="preserve">M04-RGL-034 | debt · functional_debt_state=deuda_cerrada / debt_status=closed / route_eligibility_status=cerrada</x:t>
  </x:si>
  <x:si>
    <x:t xml:space="preserve">M04-RGL-034</x:t>
  </x:si>
  <x:si>
    <x:t xml:space="preserve">debt · functional_debt_state=deuda_cerrada / debt_status=closed / route_eligibility_status=cerrada</x:t>
  </x:si>
  <x:si>
    <x:t xml:space="preserve">RD-03 actualizado</x:t>
  </x:si>
  <x:si>
    <x:t xml:space="preserve">Deuda cerrada</x:t>
  </x:si>
  <x:si>
    <x:t xml:space="preserve">Obligación: Cambiar deuda a cerrada en estado canónico y excluirla de deuda activa. | Resultado: Deuda cerrada | Negativo/borde: No mantener como deuda activa.</x:t>
  </x:si>
  <x:si>
    <x:t xml:space="preserve">Figma/pieza: Figma 4.5 · Ruta Despeje 3 Avance · cierre 100% → Confirmar cierre → modal → Continuar con el plan → RD-03 actualizado | QA: TC-M04-050, TC-M04-051 | Soporte: BDD §11.1 / TABLE 29-30 + §14.0.1 / TABLE 34</x:t>
  </x:si>
  <x:si>
    <x:t xml:space="preserve">Figma 4.5 · Ruta Despeje 3 Avance · cierre 100% → Confirmar cierre → modal → Continuar con el plan → RD-03 actualizado</x:t>
  </x:si>
  <x:si>
    <x:t xml:space="preserve">Documentado / confirmado visualmente</x:t>
  </x:si>
  <x:si>
    <x:t xml:space="preserve">FLOW-M04-023 cerrado visual y documentalmente; conservar secuencia aprobada.</x:t>
  </x:si>
  <x:si>
    <x:t xml:space="preserve">TR-M04-127</x:t>
  </x:si>
  <x:si>
    <x:t xml:space="preserve">Deuda cerrada confirmada</x:t>
  </x:si>
  <x:si>
    <x:t xml:space="preserve">RD-03 | Recalcular</x:t>
  </x:si>
  <x:si>
    <x:t xml:space="preserve">Recalcular capacidad liberada, orden, cronograma y siguiente deuda; no mover dinero automáticamente.</x:t>
  </x:si>
  <x:si>
    <x:t xml:space="preserve">M04-RGL-029; M04-RGL-031, M04-RGL-035 | debt_projection · snowball_transfer_amount / priority_order / projected_months_to_close / rule_version</x:t>
  </x:si>
  <x:si>
    <x:t xml:space="preserve">M04-RGL-029; M04-RGL-031, M04-RGL-035</x:t>
  </x:si>
  <x:si>
    <x:t xml:space="preserve">debt_projection · snowball_transfer_amount / priority_order / projected_months_to_close / rule_version</x:t>
  </x:si>
  <x:si>
    <x:t xml:space="preserve">Ruta recalculada</x:t>
  </x:si>
  <x:si>
    <x:t xml:space="preserve">Obligación: Recalcular capacidad liberada, orden, cronograma y siguiente deuda; no mover dinero automáticamente. | Resultado: Ruta recalculada | Negativo/borde: No transferencia/pago automático.</x:t>
  </x:si>
  <x:si>
    <x:t xml:space="preserve">Figma/pieza: Documentado | QA: TC-M04-052 | Soporte: BDD/Copy UX</x:t>
  </x:si>
  <x:si>
    <x:t xml:space="preserve">TC-M04-052</x:t>
  </x:si>
  <x:si>
    <x:t xml:space="preserve">TR-M04-128</x:t>
  </x:si>
  <x:si>
    <x:t xml:space="preserve">Cierre confirmado cambia el snapshot financiero</x:t>
  </x:si>
  <x:si>
    <x:t xml:space="preserve">RD-03 | Reevaluar Presión/Salud</x:t>
  </x:si>
  <x:si>
    <x:t xml:space="preserve">Recalcular Presión y Salud con el nuevo snapshot; el resultado puede mejorar o empeorar según reglas vigentes. No conservar estado obsoleto.</x:t>
  </x:si>
  <x:si>
    <x:t xml:space="preserve">M04-RGL-038; M04-RGL-034, M04-RGL-037 | debt_signal / debt · Presión final / Salud / aging / evaluated_at / rule_version</x:t>
  </x:si>
  <x:si>
    <x:t xml:space="preserve">M04-RGL-038; M04-RGL-034, M04-RGL-037</x:t>
  </x:si>
  <x:si>
    <x:t xml:space="preserve">debt_signal / debt · Presión final / Salud / aging / evaluated_at / rule_version | P4-CNT-023</x:t>
  </x:si>
  <x:si>
    <x:t xml:space="preserve">Reevaluar Presión/Salud</x:t>
  </x:si>
  <x:si>
    <x:t xml:space="preserve">RD-03/Perfil</x:t>
  </x:si>
  <x:si>
    <x:t xml:space="preserve">Nueva lectura de Presión/Salud</x:t>
  </x:si>
  <x:si>
    <x:t xml:space="preserve">M04/Perfil</x:t>
  </x:si>
  <x:si>
    <x:t xml:space="preserve">Obligación: Recalcular Presión y Salud con el nuevo snapshot; el resultado puede mejorar o empeorar según reglas vigentes. No conservar estado obsoleto. | Resultado: Nueva lectura de Presión/Salud | Negativo/borde: No conservar presión obsoleta después del cierre.</x:t>
  </x:si>
  <x:si>
    <x:t xml:space="preserve">Figma/pieza: No inequívoco en Figma | QA: TC-M04-050, TC-M04-051 | Soporte: Reglas contextuales y severidad transiciones</x:t>
  </x:si>
  <x:si>
    <x:t xml:space="preserve">Vigente | Solo semántica de recálculo actualizada por P4-CNT-023; FLOW-M04-023 y destino visual permanecen fuera de perímetro.</x:t>
  </x:si>
  <x:si>
    <x:t xml:space="preserve">TR-M04-129</x:t>
  </x:si>
  <x:si>
    <x:t xml:space="preserve">Cierre ya confirmado</x:t>
  </x:si>
  <x:si>
    <x:t xml:space="preserve">RD-03 | Post-confirmación</x:t>
  </x:si>
  <x:si>
    <x:t xml:space="preserve">Tras confirmar cierre, mostrar modal ¡Felicitaciones!; al seleccionar Continuar con el plan, retornar a RD-03 · Avance actualizado.</x:t>
  </x:si>
  <x:si>
    <x:t xml:space="preserve">Continuar con el plan</x:t>
  </x:si>
  <x:si>
    <x:t xml:space="preserve">RD-03 · Avance actualizado</x:t>
  </x:si>
  <x:si>
    <x:t xml:space="preserve">Obligación: Tras confirmar cierre, mostrar modal ¡Felicitaciones!; al seleccionar Continuar con el plan, retornar a RD-03 · Avance actualizado. | Resultado: RD-03 · Avance actualizado | Negativo/borde: No omitir la confirmación funcional; no saltar el modal de cierre ni navegar a un postestado distinto de RD-03 · Avance actualizado.</x:t>
  </x:si>
  <x:si>
    <x:t xml:space="preserve">Figma/pieza: Figma 4.5 · Ruta Despeje 3 Avance · cierre de deuda 100% / modal ¡Felicitaciones! / retorno RD-03 | QA: TC-M04-051; TC-M04-050, TC-M04-052 | Soporte: Figma cerrado 4.5</x:t>
  </x:si>
  <x:si>
    <x:t xml:space="preserve">Figma 4.5 · Ruta Despeje 3 Avance · cierre de deuda 100% / modal ¡Felicitaciones! / retorno RD-03</x:t>
  </x:si>
  <x:si>
    <x:t xml:space="preserve">TC-M04-051; TC-M04-050, TC-M04-052</x:t>
  </x:si>
  <x:si>
    <x:t xml:space="preserve">TR-M04-130</x:t>
  </x:si>
  <x:si>
    <x:t xml:space="preserve">FLOW-M04-024 · Entrada directa / reingreso</x:t>
  </x:si>
  <x:si>
    <x:t xml:space="preserve">Existe deuda confirmada + datos mínimos + Presión final Riesgo; o existe Ruta activa previa</x:t>
  </x:si>
  <x:si>
    <x:t xml:space="preserve">Home/Perfil/reingreso | Evaluar estado previo</x:t>
  </x:si>
  <x:si>
    <x:t xml:space="preserve">Home/Perfil/reingreso</x:t>
  </x:si>
  <x:si>
    <x:t xml:space="preserve">Con gate completo y sin Ruta activa, permitir entrada directa a RD-01 como elegible/disponible. Si ya está activa, conservar estado y momento inicial; no reactivar.</x:t>
  </x:si>
  <x:si>
    <x:t xml:space="preserve">P4-CNT-018; P4-CNT-019; P4-CNT-020</x:t>
  </x:si>
  <x:si>
    <x:t xml:space="preserve">M04-RGL-003; M04-RGL-012, M04-RGL-014 | debt · confirmation_status / minimum_data_ready / Presión final / elegibilidad / route_state / momento inicial</x:t>
  </x:si>
  <x:si>
    <x:t xml:space="preserve">M04-RGL-003; M04-RGL-012, M04-RGL-014</x:t>
  </x:si>
  <x:si>
    <x:t xml:space="preserve">debt · confirmation_status / minimum_data_ready / Presión final / elegibilidad / route_state / momento inicial | P4-CNT-018; P4-CNT-019; P4-CNT-020</x:t>
  </x:si>
  <x:si>
    <x:t xml:space="preserve">Ver Ruta / Continuar</x:t>
  </x:si>
  <x:si>
    <x:t xml:space="preserve">RD-01 elegible / continuidad si ya activa</x:t>
  </x:si>
  <x:si>
    <x:t xml:space="preserve">M04/M03/Perfil</x:t>
  </x:si>
  <x:si>
    <x:t xml:space="preserve">Obligación: Con gate completo y sin Ruta activa, permitir entrada directa a RD-01 como elegible/disponible. Si ya está activa, conservar estado y momento inicial; no reactivar. | Resultado: RD-01 elegible / continuidad si ya activa | Negativo/borde: Gate o reingreso no crean activación nueva; no duplicar deuda/onboarding ni reactivar una Ruta existente.</x:t>
  </x:si>
  <x:si>
    <x:t xml:space="preserve">Figma/pieza: No conector Figma observado | QA: TC-M04-070 | Soporte: Flujo funcional/Matriz de pantallas y acciones</x:t>
  </x:si>
  <x:si>
    <x:t xml:space="preserve">No conector Figma observado</x:t>
  </x:si>
  <x:si>
    <x:t xml:space="preserve">TC-M04-070</x:t>
  </x:si>
  <x:si>
    <x:t xml:space="preserve">D-M04-ACT-01 cerrada: elegible ≠ activa; activa con primer “Seguir plan” válido desde RD-02. | Aplicar P4-CNT-018/P4-CNT-019/P4-CNT-020.</x:t>
  </x:si>
  <x:si>
    <x:t xml:space="preserve">TR-M04-131</x:t>
  </x:si>
  <x:si>
    <x:t xml:space="preserve">Falta dato crítico/confirmación</x:t>
  </x:si>
  <x:si>
    <x:t xml:space="preserve">Derivar a OD-02 completitud/revisión sin reiniciar captura ni duplicar deuda.</x:t>
  </x:si>
  <x:si>
    <x:t xml:space="preserve">M04-RGL-003; M04-RGL-012 | debt · data_completeness_status / confirmation_status / debt_id</x:t>
  </x:si>
  <x:si>
    <x:t xml:space="preserve">M04-RGL-003; M04-RGL-012</x:t>
  </x:si>
  <x:si>
    <x:t xml:space="preserve">debt · data_completeness_status / confirmation_status / debt_id</x:t>
  </x:si>
  <x:si>
    <x:t xml:space="preserve">Obligación: Derivar a OD-02 completitud/revisión sin reiniciar captura ni duplicar deuda. | Resultado: OD-02 | Negativo/borde: No crear nueva instancia.</x:t>
  </x:si>
  <x:si>
    <x:t xml:space="preserve">TR-M04-132</x:t>
  </x:si>
  <x:si>
    <x:t xml:space="preserve">Existe dato/regla fuente que respalda una etiqueta MVP</x:t>
  </x:si>
  <x:si>
    <x:t xml:space="preserve">OD-02 | Mostrar etiqueta funcional</x:t>
  </x:si>
  <x:si>
    <x:t xml:space="preserve">Etiqueta sobre deuda detectada/recurrente/no planificada o que requiere revisión. La etiqueta no reemplaza severidad, validación ni CTA dominante.</x:t>
  </x:si>
  <x:si>
    <x:t xml:space="preserve">functional_tag / functional_tag_assignment · tag_code / source_entity_type / source_rule_id / confidence_level / display_surface / tag_status</x:t>
  </x:si>
  <x:si>
    <x:t xml:space="preserve">Mostrar etiqueta funcional</x:t>
  </x:si>
  <x:si>
    <x:t xml:space="preserve">Misma superficie</x:t>
  </x:si>
  <x:si>
    <x:t xml:space="preserve">M04 · capability functional_tag</x:t>
  </x:si>
  <x:si>
    <x:t xml:space="preserve">Obligación: Etiqueta sobre deuda detectada/recurrente/no planificada o que requiere revisión. La etiqueta no reemplaza severidad, validación ni CTA dominante. | Resultado: Misma superficie | Negativo/borde: No mostrar etiqueta sin regla/dato; no sobreetiquetar.</x:t>
  </x:si>
  <x:si>
    <x:t xml:space="preserve">Figma/pieza: Figma cerrado · taxonomía functional_tag no observada inequívocamente | Soporte: Matriz de pantallas y acciones Tablas34-36 / BDD functional_tag</x:t>
  </x:si>
  <x:si>
    <x:t xml:space="preserve">Figma cerrado · taxonomía functional_tag no observada inequívocamente</x:t>
  </x:si>
  <x:si>
    <x:t xml:space="preserve">Ajustar materialización/copy sin reabrir regla. | familia única de Etiquetas funcionales MVP; no crear RGL por superficie. anterior TR-M04-039 se conserva solo como anchor histórico. ID: GAP-MAT-M04-TAGS</x:t>
  </x:si>
  <x:si>
    <x:t xml:space="preserve">TR-M04-133</x:t>
  </x:si>
  <x:si>
    <x:t xml:space="preserve">RD-01 | Mostrar etiqueta funcional</x:t>
  </x:si>
  <x:si>
    <x:t xml:space="preserve">Etiqueta que explica señal principal o motivo de atención. La etiqueta no reemplaza severidad, validación ni CTA dominante.</x:t>
  </x:si>
  <x:si>
    <x:t xml:space="preserve">Obligación: Etiqueta que explica señal principal o motivo de atención. La etiqueta no reemplaza severidad, validación ni CTA dominante. | Resultado: Misma superficie | Negativo/borde: No mostrar etiqueta sin regla/dato; no sobreetiquetar.</x:t>
  </x:si>
  <x:si>
    <x:t xml:space="preserve">TR-M04-134</x:t>
  </x:si>
  <x:si>
    <x:t xml:space="preserve">RD-02 | Mostrar etiqueta funcional</x:t>
  </x:si>
  <x:si>
    <x:t xml:space="preserve">Etiqueta sobre deuda prioritaria, siguiente deuda o capacidad recuperable. La etiqueta no reemplaza severidad, validación ni CTA dominante.</x:t>
  </x:si>
  <x:si>
    <x:t xml:space="preserve">Obligación: Etiqueta sobre deuda prioritaria, siguiente deuda o capacidad recuperable. La etiqueta no reemplaza severidad, validación ni CTA dominante. | Resultado: Misma superficie | Negativo/borde: No mostrar etiqueta sin regla/dato; no sobreetiquetar.</x:t>
  </x:si>
  <x:si>
    <x:t xml:space="preserve">TR-M04-135</x:t>
  </x:si>
  <x:si>
    <x:t xml:space="preserve">DD-01 | Mostrar etiqueta funcional</x:t>
  </x:si>
  <x:si>
    <x:t xml:space="preserve">Etiqueta de patrón, urgencia o recurrencia de deuda específica. La etiqueta no reemplaza severidad, validación ni CTA dominante.</x:t>
  </x:si>
  <x:si>
    <x:t xml:space="preserve">Obligación: Etiqueta de patrón, urgencia o recurrencia de deuda específica. La etiqueta no reemplaza severidad, validación ni CTA dominante. | Resultado: Misma superficie | Negativo/borde: No mostrar etiqueta sin regla/dato; no sobreetiquetar.</x:t>
  </x:si>
  <x:si>
    <x:t xml:space="preserve">TR-M04-136</x:t>
  </x:si>
  <x:si>
    <x:t xml:space="preserve">Perfil/Home | Mostrar etiqueta funcional</x:t>
  </x:si>
  <x:si>
    <x:t xml:space="preserve">Perfil/Home</x:t>
  </x:si>
  <x:si>
    <x:t xml:space="preserve">Etiqueta resumida solo cuando exista regla/dato y sea pertinente en superficie consumidora. La etiqueta no reemplaza severidad, validación ni CTA dominante.</x:t>
  </x:si>
  <x:si>
    <x:t xml:space="preserve">Obligación: Etiqueta resumida solo cuando exista regla/dato y sea pertinente en superficie consumidora. La etiqueta no reemplaza severidad, validación ni CTA dominante. | Resultado: Misma superficie | Negativo/borde: No mostrar etiqueta sin regla/dato; no sobreetiquetar.</x:t>
  </x:si>
  <x:si>
    <x:t xml:space="preserve">Figma/pieza: Figma cerrado · taxonomía functional_tag no observada inequívocamente | QA: TC-M04-057 | Soporte: Matriz de pantallas y acciones Tablas34-36 / BDD functional_tag</x:t>
  </x:si>
  <x:si>
    <x:t xml:space="preserve">WALVY | M04 – Reglas Walvy canónicas para implementación</x:t>
  </x:si>
  <x:si>
    <x:t xml:space="preserve">Definición única por Regla ID. Las variantes de 01_Matriz_Trazabilidad referencian estos IDs; no deben redefinir ni bifurcar la lógica de negocio.</x:t>
  </x:si>
  <x:si>
    <x:t xml:space="preserve">Regla Walvy ID</x:t>
  </x:si>
  <x:si>
    <x:t xml:space="preserve">Subárea</x:t>
  </x:si>
  <x:si>
    <x:t xml:space="preserve">Definición canónica</x:t>
  </x:si>
  <x:si>
    <x:t xml:space="preserve">Trace ID(s)</x:t>
  </x:si>
  <x:si>
    <x:t xml:space="preserve">Fuente principal</x:t>
  </x:si>
  <x:si>
    <x:t xml:space="preserve">Estado documental</x:t>
  </x:si>
  <x:si>
    <x:t xml:space="preserve">Dependencia / decisión</x:t>
  </x:si>
  <x:si>
    <x:t xml:space="preserve">Guía Backend</x:t>
  </x:si>
  <x:si>
    <x:t xml:space="preserve">Observación implementable</x:t>
  </x:si>
  <x:si>
    <x:t xml:space="preserve">M04-RGL-001</x:t>
  </x:si>
  <x:si>
    <x:t xml:space="preserve">Alcance y ownership</x:t>
  </x:si>
  <x:si>
    <x:t xml:space="preserve">M04 es dueño de deuda, presión, elegibilidad, Ruta Despeje, priorización, plan, simulación, avance y cierre funcional; Home/Perfil/M05/M06 consumen o aportan datos según su ownership.</x:t>
  </x:si>
  <x:si>
    <x:t xml:space="preserve">SRC-M04-01 / SRC-M04-02 / SRC-M04-10</x:t>
  </x:si>
  <x:si>
    <x:t xml:space="preserve">Cerrada / vigente</x:t>
  </x:si>
  <x:si>
    <x:t xml:space="preserve">§4</x:t>
  </x:si>
  <x:si>
    <x:t xml:space="preserve">Sin ajuste de madurez</x:t>
  </x:si>
  <x:si>
    <x:t xml:space="preserve">M04-RGL-002</x:t>
  </x:si>
  <x:si>
    <x:t xml:space="preserve">Entradas consumidoras</x:t>
  </x:si>
  <x:si>
    <x:t xml:space="preserve">Perfil Financiero y Home consumen estados, pendientes y candidatos M04 normalizados; M04 conserva ownership de cálculo, lifecycle y acción. Las superficies consumidoras no recalculan ni crean una señal distinta por canal/superficie.</x:t>
  </x:si>
  <x:si>
    <x:t xml:space="preserve">TR-M04-044, TR-M04-045, TR-M04-046, TR-M04-047, TR-M04-100, TR-M04-101, TR-M04-102, TR-M04-121</x:t>
  </x:si>
  <x:si>
    <x:t xml:space="preserve">SRC-M04-02 / SRC-M04-06 / SRC-M04-07 / SRC-M04-19</x:t>
  </x:si>
  <x:si>
    <x:t xml:space="preserve">BC-M04-002 cerrada para producción/proyección; orquestación global fuera.</x:t>
  </x:si>
  <x:si>
    <x:t xml:space="preserve">§4/§9</x:t>
  </x:si>
  <x:si>
    <x:t xml:space="preserve">BC-M04-002 cerrada funcionalmente para producción/proyección; winner/orquestación global fuera.</x:t>
  </x:si>
  <x:si>
    <x:t xml:space="preserve">M04-RGL-003</x:t>
  </x:si>
  <x:si>
    <x:t xml:space="preserve">Onboarding</x:t>
  </x:si>
  <x:si>
    <x:t xml:space="preserve">Onboarding de Deudas es una ruta guiada de carga/revisión/resultado, no el único mecanismo de ingreso a M04. Datos persistidos ya confirmados y suficientes pueden reutilizarse para entrar o reingresar sin repetir el onboarding.</x:t>
  </x:si>
  <x:si>
    <x:t xml:space="preserve">TR-M04-048, TR-M04-130, TR-M04-131</x:t>
  </x:si>
  <x:si>
    <x:t xml:space="preserve">SRC-M04-02 / SRC-M04-03 / SRC-M04-14 / SRC-FIG-01</x:t>
  </x:si>
  <x:si>
    <x:t xml:space="preserve">§4/§5</x:t>
  </x:si>
  <x:si>
    <x:t xml:space="preserve">M04-RGL-004</x:t>
  </x:si>
  <x:si>
    <x:t xml:space="preserve">Captura documental</x:t>
  </x:si>
  <x:si>
    <x:t xml:space="preserve">El Informe de Deudas CMF puede cargarse manualmente como documento; no implica conexión, consulta, sincronización ni integración CMF/SFA/Open Finance.</x:t>
  </x:si>
  <x:si>
    <x:t xml:space="preserve">Decisión D-M04-01 / SRC-FIG-01 / SRC-M04-16</x:t>
  </x:si>
  <x:si>
    <x:t xml:space="preserve">§5</x:t>
  </x:si>
  <x:si>
    <x:t xml:space="preserve">M04-RGL-005</x:t>
  </x:si>
  <x:si>
    <x:t xml:space="preserve">Captura manual</x:t>
  </x:si>
  <x:si>
    <x:t xml:space="preserve">La deuda puede registrarse manualmente como deuda formal, préstamo personal o compromiso informal con lenguaje no estigmatizante. Una deuda incompleta puede conservarse como pendiente, pero no habilita conclusiones fuertes ni Ruta completa.</x:t>
  </x:si>
  <x:si>
    <x:t xml:space="preserve">TR-M04-051, TR-M04-052, TR-M04-053</x:t>
  </x:si>
  <x:si>
    <x:t xml:space="preserve">SRC-M04-03 / SRC-M04-06 / SRC-FIG-01</x:t>
  </x:si>
  <x:si>
    <x:t xml:space="preserve">M04-RGL-006</x:t>
  </x:si>
  <x:si>
    <x:t xml:space="preserve">Confirmación</x:t>
  </x:si>
  <x:si>
    <x:t xml:space="preserve">Deuda registrada o detectada no equivale a deuda confirmada ni activa Ruta Despeje.</x:t>
  </x:si>
  <x:si>
    <x:t xml:space="preserve">TR-M04-059, TR-M04-064</x:t>
  </x:si>
  <x:si>
    <x:t xml:space="preserve">SRC-M04-02 / SRC-M04-04 / SRC-M04-06</x:t>
  </x:si>
  <x:si>
    <x:t xml:space="preserve">Si el usuario indica que una deuda detectada no corresponde, debe excluirse de cálculos/lectura sin borrar su provenance mínima necesaria.</x:t>
  </x:si>
  <x:si>
    <x:t xml:space="preserve">SRC-M04-04 / SRC-M04-06 / SRC-PD-01</x:t>
  </x:si>
  <x:si>
    <x:t xml:space="preserve">Duplicados</x:t>
  </x:si>
  <x:si>
    <x:t xml:space="preserve">Una posible deuda duplicada exige revisión del usuario; no se fusiona automáticamente.</x:t>
  </x:si>
  <x:si>
    <x:t xml:space="preserve">SRC-M04-04 / SRC-M04-06</x:t>
  </x:si>
  <x:si>
    <x:t xml:space="preserve">Documento protegido</x:t>
  </x:si>
  <x:si>
    <x:t xml:space="preserve">Un documento protegido por contraseña debe tratarse como estado recuperable; contraseña correcta permite procesar, incorrecta/no disponible ofrece recuperación o alternativa.</x:t>
  </x:si>
  <x:si>
    <x:t xml:space="preserve">TR-M04-054, TR-M04-055, TR-M04-056, TR-M04-057</x:t>
  </x:si>
  <x:si>
    <x:t xml:space="preserve">SRC-M04-03 / SRC-M04-06 / SRC-M04-07</x:t>
  </x:si>
  <x:si>
    <x:t xml:space="preserve">Cerrado funcionalmente / materialización técnica no evidenciada</x:t>
  </x:si>
  <x:si>
    <x:t xml:space="preserve">Cerrado funcionalmente; no confundir con evidencia técnica.</x:t>
  </x:si>
  <x:si>
    <x:t xml:space="preserve">M04-RGL-010</x:t>
  </x:si>
  <x:si>
    <x:t xml:space="preserve">Documento no procesable</x:t>
  </x:si>
  <x:si>
    <x:t xml:space="preserve">Si un documento no puede procesarse, debe ofrecerse alternativa explícita sin bloquear el módulo.</x:t>
  </x:si>
  <x:si>
    <x:t xml:space="preserve">SRC-M04-03 / SRC-M04-06</x:t>
  </x:si>
  <x:si>
    <x:t xml:space="preserve">M04-RGL-011</x:t>
  </x:si>
  <x:si>
    <x:t xml:space="preserve">Lote multi-deuda</x:t>
  </x:si>
  <x:si>
    <x:t xml:space="preserve">Un documento con múltiples deudas se revisa por lote/instancia y permanece pendiente hasta resolver cada elemento relevante.</x:t>
  </x:si>
  <x:si>
    <x:t xml:space="preserve">TR-M04-064, TR-M04-065, TR-M04-068, TR-M04-069</x:t>
  </x:si>
  <x:si>
    <x:t xml:space="preserve">SRC-M04-04 / SRC-M04-05 / SRC-M04-06 / SRC-PD-01</x:t>
  </x:si>
  <x:si>
    <x:t xml:space="preserve">M04-RGL-012</x:t>
  </x:si>
  <x:si>
    <x:t xml:space="preserve">Datos mínimos</x:t>
  </x:si>
  <x:si>
    <x:t xml:space="preserve">Para una Ruta Despeje completa se requiere deuda confirmada, identificación/tipo, saldo/monto actual, pago mínimo/cuota/compromiso mensual o equivalente, origen y suficiencia para evaluar presión.</x:t>
  </x:si>
  <x:si>
    <x:t xml:space="preserve">TR-M04-046, TR-M04-050, TR-M04-051, TR-M04-052, TR-M04-053, TR-M04-060, TR-M04-061, TR-M04-062, TR-M04-063, TR-M04-065, TR-M04-069, TR-M04-070, TR-M04-071, TR-M04-072, TR-M04-107, TR-M04-130, TR-M04-131</x:t>
  </x:si>
  <x:si>
    <x:t xml:space="preserve">SRC-M04-02 / SRC-M04-05 / SRC-M04-06</x:t>
  </x:si>
  <x:si>
    <x:t xml:space="preserve">M04-RGL-013</x:t>
  </x:si>
  <x:si>
    <x:t xml:space="preserve">Frescura/confianza</x:t>
  </x:si>
  <x:si>
    <x:t xml:space="preserve">La fuerza de la conclusión depende de vigencia/confianza del dato. Para MVP: datos críticos de deuda usan 30 días; documentos y deuda informal 60 días; tarjetas se evalúan por ciclo vigente. El dato no vigente degrada o bloquea según impacto.</x:t>
  </x:si>
  <x:si>
    <x:t xml:space="preserve">TR-M04-060, TR-M04-061, TR-M04-063, TR-M04-070, TR-M04-071, TR-M04-081, TR-M04-096</x:t>
  </x:si>
  <x:si>
    <x:t xml:space="preserve">SRC-M04-04 / SRC-M04-05 / SRC-M04-06</x:t>
  </x:si>
  <x:si>
    <x:t xml:space="preserve">M04-RGL-014</x:t>
  </x:si>
  <x:si>
    <x:t xml:space="preserve">Elegibilidad Ruta</x:t>
  </x:si>
  <x:si>
    <x:t xml:space="preserve">La elegibilidad se evalúa acumulativamente: deuda confirmada + datos mínimos suficientes + Presión final=Riesgo. El gate deja Ruta elegible/disponible; no la activa.</x:t>
  </x:si>
  <x:si>
    <x:t xml:space="preserve">TR-M04-059, TR-M04-061, TR-M04-070, TR-M04-072, TR-M04-083, TR-M04-084, TR-M04-085, TR-M04-086, TR-M04-087, TR-M04-088, TR-M04-089, TR-M04-090, TR-M04-091, TR-M04-092, TR-M04-098, TR-M04-130</x:t>
  </x:si>
  <x:si>
    <x:t xml:space="preserve">SRC-M04-02 / SRC-M04-04 / SRC-M04-05 / SRC-M04-06</x:t>
  </x:si>
  <x:si>
    <x:t xml:space="preserve">Cerrado funcionalmente</x:t>
  </x:si>
  <x:si>
    <x:t xml:space="preserve">D-M04-ACT-01</x:t>
  </x:si>
  <x:si>
    <x:t xml:space="preserve">§7</x:t>
  </x:si>
  <x:si>
    <x:t xml:space="preserve">BC001 cerrada. Aplicar P4-CNT-018; primer Seguir plan válido activa según P4-CNT-019.</x:t>
  </x:si>
  <x:si>
    <x:t xml:space="preserve">M04-RGL-015</x:t>
  </x:si>
  <x:si>
    <x:t xml:space="preserve">Severidad</x:t>
  </x:si>
  <x:si>
    <x:t xml:space="preserve">La taxonomía S0–S4 deja de operar como motor financiero. Se preserva solo el guardrail de separar severidad/Presión, Salud, elegibilidad y route_state.</x:t>
  </x:si>
  <x:si>
    <x:t xml:space="preserve">TR-M04-070, TR-M04-128</x:t>
  </x:si>
  <x:si>
    <x:t xml:space="preserve">P4-CNT-001; P4-CNT-007; P4-CNT-016; P4-CNT-018</x:t>
  </x:si>
  <x:si>
    <x:t xml:space="preserve">SRC-M04-04 / SRC-M04-05</x:t>
  </x:si>
  <x:si>
    <x:t xml:space="preserve">No vigente en la parte reemplazada por decisión Producto vigente</x:t>
  </x:si>
  <x:si>
    <x:t xml:space="preserve">BC-M04-001 cerrada funcionalmente</x:t>
  </x:si>
  <x:si>
    <x:t xml:space="preserve">§14</x:t>
  </x:si>
  <x:si>
    <x:t xml:space="preserve">Supersession acotada: usar P4-CNT-001, P4-CNT-007, P4-CNT-016 y P4-CNT-018; no score S0–S4.</x:t>
  </x:si>
  <x:si>
    <x:t xml:space="preserve">M04-RGL-016</x:t>
  </x:si>
  <x:si>
    <x:t xml:space="preserve">Vencimiento simple</x:t>
  </x:si>
  <x:si>
    <x:t xml:space="preserve">Pago próximo/al día o vencimiento simple con capacidad permanece en M06/Pagos-Alertas. Salud/aging puede actualizar el estado consumible M04, pero la acción operativa por vencimiento/mora conserva owner M06; solo la Presión M04 gobierna F4/F5.</x:t>
  </x:si>
  <x:si>
    <x:t xml:space="preserve">TR-M04-045, TR-M04-074, TR-M04-089, TR-M04-097, TR-M04-098, TR-M04-102, TR-M04-120, TR-M04-125</x:t>
  </x:si>
  <x:si>
    <x:t xml:space="preserve">SRC-M04-02 / SRC-M04-04 / SRC-M04-06 / SRC-M04-10</x:t>
  </x:si>
  <x:si>
    <x:t xml:space="preserve">§11</x:t>
  </x:si>
  <x:si>
    <x:t xml:space="preserve">BC-M04-002 cerrada: separar estado Salud M04 de candidato operativo M06; no duplicar señal.</x:t>
  </x:si>
  <x:si>
    <x:t xml:space="preserve">M04-RGL-017</x:t>
  </x:si>
  <x:si>
    <x:t xml:space="preserve">Deuda manejable</x:t>
  </x:si>
  <x:si>
    <x:t xml:space="preserve">Deuda confirmada con Presión En Control permanece en seguimiento/detalle y no genera orientación accionable M04 por sí sola. Puede proyectar estado a Home/Perfil y derivar a M06 para acciones operativas.</x:t>
  </x:si>
  <x:si>
    <x:t xml:space="preserve">TR-M04-073, TR-M04-075, TR-M04-076, TR-M04-096</x:t>
  </x:si>
  <x:si>
    <x:t xml:space="preserve">§7/§9</x:t>
  </x:si>
  <x:si>
    <x:t xml:space="preserve">Estado proyectable; sin candidato autónomo por mera persistencia.</x:t>
  </x:si>
  <x:si>
    <x:t xml:space="preserve">M04-RGL-018</x:t>
  </x:si>
  <x:si>
    <x:t xml:space="preserve">Atención preventiva</x:t>
  </x:si>
  <x:si>
    <x:t xml:space="preserve">Atención es banda de Presión distinta de insuficiencia epistemológica. La transición hacia Atención hace nacer/actualizar la orientación F4; reasons aprobados pueden explicar el estado, pero no crean señales autónomas. Atención no activa Ruta.</x:t>
  </x:si>
  <x:si>
    <x:t xml:space="preserve">TR-M04-077, TR-M04-078, TR-M04-079, TR-M04-080, TR-M04-081, TR-M04-082, TR-M04-083</x:t>
  </x:si>
  <x:si>
    <x:t xml:space="preserve">§6/§9</x:t>
  </x:si>
  <x:si>
    <x:t xml:space="preserve">F4 canónica; persistencia Atención→Atención no crea nuevo born.</x:t>
  </x:si>
  <x:si>
    <x:t xml:space="preserve">M04-RGL-019</x:t>
  </x:si>
  <x:si>
    <x:t xml:space="preserve">Presión alta</x:t>
  </x:si>
  <x:si>
    <x:t xml:space="preserve">La antigua presión alta S3/S4 queda no vigente; reemplazada por Presión=Riesgo. Riesgo es estado financiero; F5 nace solo cuando deuda confirmada + suficiencia mínima + route_eligibility_status=elegible hacen disponible la acción de revisar Ruta.</x:t>
  </x:si>
  <x:si>
    <x:t xml:space="preserve">TR-M04-084, TR-M04-085, TR-M04-086, TR-M04-087, TR-M04-088, TR-M04-089, TR-M04-090, TR-M04-091, TR-M04-092</x:t>
  </x:si>
  <x:si>
    <x:t xml:space="preserve">Riesgo bloqueado por calidad/confirmación conserva estado cuando esté sustentado, pero proyecta F2/F1/F3 hasta habilitar F5.</x:t>
  </x:si>
  <x:si>
    <x:t xml:space="preserve">M04-RGL-020</x:t>
  </x:si>
  <x:si>
    <x:t xml:space="preserve">Deuda paga deuda</x:t>
  </x:si>
  <x:si>
    <x:t xml:space="preserve">Deuda→deuda exige causalidad suficiente. Evento: K2 sin floor; K1 floor Atención; K0 floor Riesgo. Recurrencia confirmada de 2+ ciclos comparables adversos K1/K0 → floor Riesgo + condición estructural/persistente.</x:t>
  </x:si>
  <x:si>
    <x:t xml:space="preserve">TR-M04-084, TR-M04-085</x:t>
  </x:si>
  <x:si>
    <x:t xml:space="preserve">SRC-M04-04</x:t>
  </x:si>
  <x:si>
    <x:t xml:space="preserve">Cerrada por decisión Producto vigente; fuente SD-014 permanece histórica En definición</x:t>
  </x:si>
  <x:si>
    <x:t xml:space="preserve">§6</x:t>
  </x:si>
  <x:si>
    <x:t xml:space="preserve">Aplicar P4-CNT-009/P4-CNT-010; no inferir causalidad por proximidad temporal.</x:t>
  </x:si>
  <x:si>
    <x:t xml:space="preserve">M04-RGL-021</x:t>
  </x:si>
  <x:si>
    <x:t xml:space="preserve">Avance/crédito para liquidez</x:t>
  </x:si>
  <x:si>
    <x:t xml:space="preserve">Liquidez financiada: finalidad desconocida o primer descalce puntual justificable → contexto; uso confirmado para gasto/compromiso ordinario no financiero → floor Atención; destino deuda → RGL-020. 2+ ciclos consecutivos comparables qualifying → floor Riesgo + estructural.</x:t>
  </x:si>
  <x:si>
    <x:t xml:space="preserve">TR-M04-079, TR-M04-086, TR-M04-087</x:t>
  </x:si>
  <x:si>
    <x:t xml:space="preserve">Cerrada por decisión Producto vigente; fuente SD-015 permanece histórica En definición</x:t>
  </x:si>
  <x:si>
    <x:t xml:space="preserve">Aplicar P4-CNT-011/P4-CNT-012/P4-CNT-013.</x:t>
  </x:si>
  <x:si>
    <x:t xml:space="preserve">M04-RGL-022</x:t>
  </x:si>
  <x:si>
    <x:t xml:space="preserve">Muchas cuotas pequeñas</x:t>
  </x:si>
  <x:si>
    <x:t xml:space="preserve">4+ cuotas y ratio agregado inicial &gt;=8% del ingreso se conserva como detector parametrizado de fragmentación; no establece floor propio ni activa Ruta por sí solo.</x:t>
  </x:si>
  <x:si>
    <x:t xml:space="preserve">TR-M04-078, TR-M04-090</x:t>
  </x:si>
  <x:si>
    <x:t xml:space="preserve">Cerrada / Producto aprobada vigente</x:t>
  </x:si>
  <x:si>
    <x:t xml:space="preserve">Aplicar P4-CNT-014; severidad deriva de C×K×D + overlays.</x:t>
  </x:si>
  <x:si>
    <x:t xml:space="preserve">M04-RGL-023</x:t>
  </x:si>
  <x:si>
    <x:t xml:space="preserve">Holgura baja</x:t>
  </x:si>
  <x:si>
    <x:t xml:space="preserve">La holgura/capacidad de Presión se gobierna exclusivamente por K. El regla anterior del 5% no crea floor ni mapping directo a Salud/Ruta.</x:t>
  </x:si>
  <x:si>
    <x:t xml:space="preserve">SRC-M04-05</x:t>
  </x:si>
  <x:si>
    <x:t xml:space="preserve">No vigente; reemplazada/absorbida por K vigente</x:t>
  </x:si>
  <x:si>
    <x:t xml:space="preserve">§6/§14</x:t>
  </x:si>
  <x:si>
    <x:t xml:space="preserve">Absorbida por P4-CNT-004/P4-CNT-005.</x:t>
  </x:si>
  <x:si>
    <x:t xml:space="preserve">Colchón operativo</x:t>
  </x:si>
  <x:si>
    <x:t xml:space="preserve">Se preserva el principio de protección prudencial antes de afirmar un aporte adicional como sostenible. La fórmula anterior max(piso, ingreso×5%) deja de ser regla vigente. M05 es owner del cálculo/política prudencial; M04 consume el outcome positivo / 0-no recomendado / no evaluable.</x:t>
  </x:si>
  <x:si>
    <x:t xml:space="preserve">Fórmula anterior no vigente; reemplazada por D-M04-RESERVA-01</x:t>
  </x:si>
  <x:si>
    <x:t xml:space="preserve">Owner prudencial M05</x:t>
  </x:si>
  <x:si>
    <x:t xml:space="preserve">§8/§14</x:t>
  </x:si>
  <x:si>
    <x:t xml:space="preserve">Aplicar P4-CNT-022; no afirmar máximo sostenible sin outcome M05 evaluable y no reintroducir la regla anterior del 5%.</x:t>
  </x:si>
  <x:si>
    <x:t xml:space="preserve">Espacio disponible</x:t>
  </x:si>
  <x:si>
    <x:t xml:space="preserve">M04 consume headroom/capacidad residual canónica producida upstream; no recalcula ingreso-gastos-obligaciones como presupuesto paralelo.</x:t>
  </x:si>
  <x:si>
    <x:t xml:space="preserve">Fórmula local absorbida por headroom M05</x:t>
  </x:si>
  <x:si>
    <x:t xml:space="preserve">D-M05-K-01</x:t>
  </x:si>
  <x:si>
    <x:t xml:space="preserve">Aplicar P4-CNT-004; GAP-M05-PROY-001 sigue como dependencia de materialización upstream.</x:t>
  </x:si>
  <x:si>
    <x:t xml:space="preserve">Capacidad adicional</x:t>
  </x:si>
  <x:si>
    <x:t xml:space="preserve">La capacidad adicional solo puede calificarse como sostenible cuando existan inputs prudenciales suficientes y una política aprobada. Si no, Walvy puede simular un aporte, pero no afirmar un máximo sostenible.</x:t>
  </x:si>
  <x:si>
    <x:t xml:space="preserve">TR-M04-112, TR-M04-113, TR-M04-114</x:t>
  </x:si>
  <x:si>
    <x:t xml:space="preserve">P4-CNT-021; P4-CNT-022</x:t>
  </x:si>
  <x:si>
    <x:t xml:space="preserve">Función preservada; fórmula anterior no vigente; reemplazada</x:t>
  </x:si>
  <x:si>
    <x:t xml:space="preserve">D-M04-RESERVA-01</x:t>
  </x:si>
  <x:si>
    <x:t xml:space="preserve">§8</x:t>
  </x:si>
  <x:si>
    <x:t xml:space="preserve">Aplicar P4-CNT-022/P4-CNT-021; distinguir 0 conocido de no calculable.</x:t>
  </x:si>
  <x:si>
    <x:t xml:space="preserve">Capacidad recuperable</x:t>
  </x:si>
  <x:si>
    <x:t xml:space="preserve">Capacidad recuperable M04 representa compromiso mensual/cargos recurrentes confirmados que podrían liberarse al cerrar/reducir deuda; no equivale a capacidad de ahorro M05.</x:t>
  </x:si>
  <x:si>
    <x:t xml:space="preserve">TR-M04-105, TR-M04-109, TR-M04-123</x:t>
  </x:si>
  <x:si>
    <x:t xml:space="preserve">SRC-M04-05 / SRC-M04-06 / SRC-PD-01</x:t>
  </x:si>
  <x:si>
    <x:t xml:space="preserve">Prioridad snowball</x:t>
  </x:si>
  <x:si>
    <x:t xml:space="preserve">El orden base de Ruta prioriza la deuda confirmada de menor saldo actual y mantiene pagos mínimos/compromisos de las demás.</x:t>
  </x:si>
  <x:si>
    <x:t xml:space="preserve">TR-M04-093, TR-M04-094, TR-M04-095, TR-M04-104</x:t>
  </x:si>
  <x:si>
    <x:t xml:space="preserve">SRC-M04-05 / SRC-M04-12 / SRC-M04-16 / SRC-FIG-02</x:t>
  </x:si>
  <x:si>
    <x:t xml:space="preserve">M04-RGL-029</x:t>
  </x:si>
  <x:si>
    <x:t xml:space="preserve">Liberación tras cierre</x:t>
  </x:si>
  <x:si>
    <x:t xml:space="preserve">Al cerrar una deuda, la capacidad liberada puede incorporarse conceptualmente al siguiente paso del plan; no existe movimiento automático de dinero.</x:t>
  </x:si>
  <x:si>
    <x:t xml:space="preserve">SRC-M04-05 / SRC-M04-06 / SRC-M04-16 / SRC-FIG-02</x:t>
  </x:si>
  <x:si>
    <x:t xml:space="preserve">§8/§10</x:t>
  </x:si>
  <x:si>
    <x:t xml:space="preserve">M04-RGL-030</x:t>
  </x:si>
  <x:si>
    <x:t xml:space="preserve">Orden preliminar vs Ruta activa</x:t>
  </x:si>
  <x:si>
    <x:t xml:space="preserve">Un orden preliminar, “Ver mi plan”, la visualización de RD-02 o una simulación no equivalen a Ruta activa. El primer “Seguir plan” válido desde RD-02 materializa la activación.</x:t>
  </x:si>
  <x:si>
    <x:t xml:space="preserve">TR-M04-095, TR-M04-116, TR-M04-117, TR-M04-118</x:t>
  </x:si>
  <x:si>
    <x:t xml:space="preserve">SRC-M04-02 / SRC-M04-05 / SRC-PD-01</x:t>
  </x:si>
  <x:si>
    <x:t xml:space="preserve">D-M04-ACT-01 (resuelta)</x:t>
  </x:si>
  <x:si>
    <x:t xml:space="preserve">§7/§8</x:t>
  </x:si>
  <x:si>
    <x:t xml:space="preserve">Decisión vigente: orden/plan/simulación no activan; primer “Seguir plan” válido activa de forma idempotente.</x:t>
  </x:si>
  <x:si>
    <x:t xml:space="preserve">Proyección/cronograma</x:t>
  </x:si>
  <x:si>
    <x:t xml:space="preserve">Cronograma/duración son estimaciones y se recalculan ante cambios relevantes en deuda, headroom, aporte simulado, cierre o versión de regla. No dependen de la fórmula anterior del 5%.</x:t>
  </x:si>
  <x:si>
    <x:t xml:space="preserve">TR-M04-106, TR-M04-107, TR-M04-115, TR-M04-117, TR-M04-127</x:t>
  </x:si>
  <x:si>
    <x:t xml:space="preserve">SRC-M04-05 / SRC-M04-06 / SRC-FIG-02</x:t>
  </x:si>
  <x:si>
    <x:t xml:space="preserve">Preservar proyección; aplicar P4-CNT-023.</x:t>
  </x:si>
  <x:si>
    <x:t xml:space="preserve">M04-RGL-032</x:t>
  </x:si>
  <x:si>
    <x:t xml:space="preserve">Simulación aporte</x:t>
  </x:si>
  <x:si>
    <x:t xml:space="preserve">El aporte manual siempre es un escenario hipotético/referencial. Solo puede calificarse como sostenible cuando el gate prudencial tenga inputs suficientes; aceptar simulación no ejecuta pago ni activa Ruta.</x:t>
  </x:si>
  <x:si>
    <x:t xml:space="preserve">TR-M04-113, TR-M04-114, TR-M04-116</x:t>
  </x:si>
  <x:si>
    <x:t xml:space="preserve">P4-CNT-019; P4-CNT-021; P4-CNT-022</x:t>
  </x:si>
  <x:si>
    <x:t xml:space="preserve">SRC-M04-05 / SRC-M04-06 / SRC-FIG-02 / SRC-PD-01</x:t>
  </x:si>
  <x:si>
    <x:t xml:space="preserve">Aplicar P4-CNT-021/P4-CNT-022/P4-CNT-019.</x:t>
  </x:si>
  <x:si>
    <x:t xml:space="preserve">Avance</x:t>
  </x:si>
  <x:si>
    <x:t xml:space="preserve">El primer “Seguir plan” válido desde RD-02 activa la Ruta; usos posteriores son continuidad idempotente. route_state=active es estado/lifecycle proyectable a Home/Perfil, no un aviso autónomo por mera persistencia.</x:t>
  </x:si>
  <x:si>
    <x:t xml:space="preserve">TR-M04-118, TR-M04-119, TR-M04-120, TR-M04-121, TR-M04-122</x:t>
  </x:si>
  <x:si>
    <x:t xml:space="preserve">SRC-M04-03 / SRC-M04-05 / SRC-FIG-03 / SRC-PD-01</x:t>
  </x:si>
  <x:si>
    <x:t xml:space="preserve">Estado Ruta proyectable; no rebirth ni aviso automático al activarla.</x:t>
  </x:si>
  <x:si>
    <x:t xml:space="preserve">Cierre de deuda</x:t>
  </x:si>
  <x:si>
    <x:t xml:space="preserve">possible_closure=false→true con closed=false hace nacer F6 y solicita confirmación. Confirmar cierre resuelve F6, actualiza closed y gatilla recálculo; el mero pago no auto-cierra.</x:t>
  </x:si>
  <x:si>
    <x:t xml:space="preserve">TR-M04-125, TR-M04-126, TR-M04-128, TR-M04-129</x:t>
  </x:si>
  <x:si>
    <x:t xml:space="preserve">§10</x:t>
  </x:si>
  <x:si>
    <x:t xml:space="preserve">F6 canónica; persistencia possible_closure=true no crea otro born.</x:t>
  </x:si>
  <x:si>
    <x:t xml:space="preserve">Siguiente deuda / Foco</x:t>
  </x:si>
  <x:si>
    <x:t xml:space="preserve">Después de cierre confirmado y recálculo, F7 nace solo si existe una next_suggested_debt vigente. La siguiente deuda no cambia Foco del Mes automáticamente; capacidad liberada es fact/output, no recomendación autónoma.</x:t>
  </x:si>
  <x:si>
    <x:t xml:space="preserve">TR-M04-122, TR-M04-124, TR-M04-127</x:t>
  </x:si>
  <x:si>
    <x:t xml:space="preserve">SRC-M04-15 / SRC-PD-01</x:t>
  </x:si>
  <x:si>
    <x:t xml:space="preserve">§8/§9</x:t>
  </x:si>
  <x:si>
    <x:t xml:space="preserve">F7 canónica; sin next_suggested_debt no nace orientación.</x:t>
  </x:si>
  <x:si>
    <x:t xml:space="preserve">M04-RGL-036</x:t>
  </x:si>
  <x:si>
    <x:t xml:space="preserve">No automatización financiera</x:t>
  </x:si>
  <x:si>
    <x:t xml:space="preserve">M04 no realiza pagos, consolidación bancaria, refinanciamiento, renegociación, transferencia ni movimiento automático de dinero.</x:t>
  </x:si>
  <x:si>
    <x:t xml:space="preserve">TR-M04-048, TR-M04-049, TR-M04-116</x:t>
  </x:si>
  <x:si>
    <x:t xml:space="preserve">SRC-M04-16 / SRC-M04-06 / SRC-FIG-01 / SRC-FIG-02</x:t>
  </x:si>
  <x:si>
    <x:t xml:space="preserve">M04-RGL-037</x:t>
  </x:si>
  <x:si>
    <x:t xml:space="preserve">Salud de Deuda</x:t>
  </x:si>
  <x:si>
    <x:t xml:space="preserve">Salud de Deuda es una lectura cualitativa separada de Presión, elegibilidad y route_state. Con datos suficientes: al día+En Control=Sana; al día+Atención/Riesgo=Requiere atención; 1–59 días=Requiere atención; 60+ días=Presionada; &gt;=90 agrega criticidad interna alta.</x:t>
  </x:si>
  <x:si>
    <x:t xml:space="preserve">TR-M04-047, TR-M04-071, TR-M04-073, TR-M04-093</x:t>
  </x:si>
  <x:si>
    <x:t xml:space="preserve">P4-CNT-016; P4-CNT-017</x:t>
  </x:si>
  <x:si>
    <x:t xml:space="preserve">Decisión D-M04-02 / SRC-M04-13 / SRC-FIG-03</x:t>
  </x:si>
  <x:si>
    <x:t xml:space="preserve">Cerrada funcionalmente por decisión Producto vigente</x:t>
  </x:si>
  <x:si>
    <x:t xml:space="preserve">Aplicar P4-CNT-016/P4-CNT-017; insuficiencia es gate epistemológico, no cuarto estado Salud.</x:t>
  </x:si>
  <x:si>
    <x:t xml:space="preserve">M04-RGL-038</x:t>
  </x:si>
  <x:si>
    <x:t xml:space="preserve">Motor Salud/Ruta</x:t>
  </x:si>
  <x:si>
    <x:t xml:space="preserve">Contrato rector: suficiencia → Carga C × Capacidad K × Deterioro D → floors/overlays causales válidos → Presión final → Salud independiente por aging/cumplimiento → gate de elegibilidad → activación independiente.</x:t>
  </x:si>
  <x:si>
    <x:t xml:space="preserve">P4-CNT-007; P4-CNT-008; P4-CNT-016; P4-CNT-018; P4-CNT-019</x:t>
  </x:si>
  <x:si>
    <x:t xml:space="preserve">D-P4-CALC-01 / D-P4-CALC-02A / SRC-M04-04 / SRC-M04-05 / SRC-M04-13</x:t>
  </x:si>
  <x:si>
    <x:t xml:space="preserve">Cerrada funcionalmente / Producto aprobada vigente</x:t>
  </x:si>
  <x:si>
    <x:t xml:space="preserve">§3/§6/§7</x:t>
  </x:si>
  <x:si>
    <x:t xml:space="preserve">Aplicar P4-CNT-007/P4-CNT-008/P4-CNT-016/P4-CNT-018/P4-CNT-019; no score monolítico.</x:t>
  </x:si>
  <x:si>
    <x:t xml:space="preserve">M04-RGL-039</x:t>
  </x:si>
  <x:si>
    <x:t xml:space="preserve">Señales/CTA</x:t>
  </x:si>
  <x:si>
    <x:t xml:space="preserve">Contrato productor/proyección M04: cada situación se deriva de cálculo/evento→estado→transición born/update/resolved→rol canónico (familia/reason/state/pending/output)→acción/destino del owner→proyección permitida. Se preservan 7 familias canónicas y correspondencia de los registros absorbidos; persistencia no crea rebirth y una superficie no crea otra señal. Prioridad local cerrada: F2→F1→F3; F5→F4; F6→F7; después P0–P3 y m04_local_top_candidate. Los secundarios se conservan; M03 decide superficie/winner transversal.</x:t>
  </x:si>
  <x:si>
    <x:t xml:space="preserve">TR-M04-044, TR-M04-045, TR-M04-046, TR-M04-047, TR-M04-074, TR-M04-083, TR-M04-093, TR-M04-100, TR-M04-101, TR-M04-121</x:t>
  </x:si>
  <x:si>
    <x:t xml:space="preserve">BC-M04-002 / SRC-M04-02 / SRC-M04-06 / SRC-M04-19 / SRC-M04-20</x:t>
  </x:si>
  <x:si>
    <x:t xml:space="preserve">Definido parcialmente</x:t>
  </x:si>
  <x:si>
    <x:t xml:space="preserve">BC-M04-002 cerrada para producción/proyección; orquestación global fuera. · D-M04-PRIO-LOCAL-01 cerrado</x:t>
  </x:si>
  <x:si>
    <x:t xml:space="preserve">§9</x:t>
  </x:si>
  <x:si>
    <x:t xml:space="preserve">Definido funcionalmente para producción/proyección M04. Orquestación global, ganador Home, competencia intermodular, canales, cadencia/cooldown y CORE-SIGNAL permanecen fuera. La prioridad local no es score intermodular.</x:t>
  </x:si>
  <x:si>
    <x:t xml:space="preserve">M04-RGL-040</x:t>
  </x:si>
  <x:si>
    <x:t xml:space="preserve">Protección de datos</x:t>
  </x:si>
  <x:si>
    <x:t xml:space="preserve">Datos/derivados M04 deben aplicar clasificación, minimización, autorización, lifecycle y logging sin payload financiero innecesario; documentos originales tienen lifecycle específico de tercero cuando aplique.</x:t>
  </x:si>
  <x:si>
    <x:t xml:space="preserve">TR-M04-048, TR-M04-050, TR-M04-055</x:t>
  </x:si>
  <x:si>
    <x:t xml:space="preserve">SRC-PD-01</x:t>
  </x:si>
  <x:si>
    <x:t xml:space="preserve">Definido funcionalmente / validación técnica futura</x:t>
  </x:si>
  <x:si>
    <x:t xml:space="preserve">§13</x:t>
  </x:si>
  <x:si>
    <x:t xml:space="preserve">Mantener definición funcional; validar runtime en validación técnica.</x:t>
  </x:si>
  <x:si>
    <x:t xml:space="preserve">M04-RGL-041</x:t>
  </x:si>
  <x:si>
    <x:t xml:space="preserve">Tarjetas y cuotas</x:t>
  </x:si>
  <x:si>
    <x:t xml:space="preserve">Tarjetas se evalúan por ciclo reconciliado. Pago parcial pre-cierre no concluye D; regularizado=D0. Solo mínimo, parcial final o saldo arrastrado aislado=D1; recurrencia/persistencia confirmada por M06=D2. Cuotas al día y costos ordinarios=D0 por sí solos.</x:t>
  </x:si>
  <x:si>
    <x:t xml:space="preserve">TR-M04-075, TR-M04-076, TR-M04-080, TR-M04-082, TR-M04-088</x:t>
  </x:si>
  <x:si>
    <x:t xml:space="preserve">SRC-M04-05 / SRC-M04-04</x:t>
  </x:si>
  <x:si>
    <x:t xml:space="preserve">Dependencias/fallback</x:t>
  </x:si>
  <x:si>
    <x:t xml:space="preserve">La indisponibilidad de Alertas, M06/Pagos, M05/Presupuesto o una superficie dependiente no bloquea el flujo principal M04. La experiencia usa el fallback documentado dentro de la superficie vigente y conserva ownership, estado y siguiente acción sin crear funcionalidad paralela.</x:t>
  </x:si>
  <x:si>
    <x:t xml:space="preserve">TR-M04-057, TR-M04-058, TR-M04-096, TR-M04-097, TR-M04-098, TR-M04-099, TR-M04-100, TR-M04-103, TR-M04-120</x:t>
  </x:si>
  <x:si>
    <x:t xml:space="preserve">SRC-M04-02 / SRC-M04-03 / SRC-M04-06</x:t>
  </x:si>
  <x:si>
    <x:t xml:space="preserve">M04-RGL-043</x:t>
  </x:si>
  <x:si>
    <x:t xml:space="preserve">OD-02 revisión</x:t>
  </x:si>
  <x:si>
    <x:t xml:space="preserve">En OD-02 cada card mantiene separadas las dimensiones tipo de deuda, origen del dato y estado de validación. Cuando falta un dato crítico, la interfaz identifica el faltante y ofrece una acción concreta de completitud; no basta un valor indeterminado.</x:t>
  </x:si>
  <x:si>
    <x:t xml:space="preserve">TR-M04-059, TR-M04-060, TR-M04-062, TR-M04-063, TR-M04-068</x:t>
  </x:si>
  <x:si>
    <x:t xml:space="preserve">WALVY | M04 – Contrato P4 proyectado para Kabeli</x:t>
  </x:si>
  <x:si>
    <x:t xml:space="preserve">25 Contract IDs documentales que precisan calidad, cálculos, precedencias, outputs, fallback y reproducibilidad. No son 25 reglas de negocio adicionales.</x:t>
  </x:si>
  <x:si>
    <x:t xml:space="preserve">Contract ID</x:t>
  </x:si>
  <x:si>
    <x:t xml:space="preserve">Objeto</x:t>
  </x:si>
  <x:si>
    <x:t xml:space="preserve">Inputs</x:t>
  </x:si>
  <x:si>
    <x:t xml:space="preserve">Owner input</x:t>
  </x:si>
  <x:si>
    <x:t xml:space="preserve">Regla / precedencia</x:t>
  </x:si>
  <x:si>
    <x:t xml:space="preserve">Parámetros / versiones</x:t>
  </x:si>
  <x:si>
    <x:t xml:space="preserve">Calidad mínima</x:t>
  </x:si>
  <x:si>
    <x:t xml:space="preserve">Output</x:t>
  </x:si>
  <x:si>
    <x:t xml:space="preserve">Negativo / borde</x:t>
  </x:si>
  <x:si>
    <x:t xml:space="preserve">Dependencias</x:t>
  </x:si>
  <x:si>
    <x:t xml:space="preserve">Fixture QA</x:t>
  </x:si>
  <x:si>
    <x:t xml:space="preserve">Estado / vigencia</x:t>
  </x:si>
  <x:si>
    <x:t xml:space="preserve">QUALITY</x:t>
  </x:si>
  <x:si>
    <x:t xml:space="preserve">Gate epistemológico de suficiencia/calidad separado de las bandas financieras.</x:t>
  </x:si>
  <x:si>
    <x:t xml:space="preserve">confirmación; cobertura material; frescura/confianza; exclusiones trazables</x:t>
  </x:si>
  <x:si>
    <x:t xml:space="preserve">M04 + productores de dato</x:t>
  </x:si>
  <x:si>
    <x:t xml:space="preserve">G1: evidencia adversa independientemente suficiente puede sostener Atención/Riesgo. G2: faltante material bloquea En Control. Missing no equivale a cero. | Precedencia: antes de C×K×D y antes de conclusión favorable</x:t>
  </x:si>
  <x:si>
    <x:t xml:space="preserve">versionar criterios de calidad</x:t>
  </x:si>
  <x:si>
    <x:t xml:space="preserve">suficiente para el resultado evaluado</x:t>
  </x:si>
  <x:si>
    <x:t xml:space="preserve">evaluable / parcial / no calculable; sin cuarto estado Salud</x:t>
  </x:si>
  <x:si>
    <x:t xml:space="preserve">no fabricar verde; no convertir missing en cero</x:t>
  </x:si>
  <x:si>
    <x:t xml:space="preserve">M05/M06/provenance</x:t>
  </x:si>
  <x:si>
    <x:t xml:space="preserve">TC-019/020/021/031/071/075</x:t>
  </x:si>
  <x:si>
    <x:t xml:space="preserve">P4-CNT-002</x:t>
  </x:si>
  <x:si>
    <x:t xml:space="preserve">C-DEBT-SERVICE</x:t>
  </x:si>
  <x:si>
    <x:t xml:space="preserve">Carga mensual normalizada de servicio de deuda sobre ingreso mensual canónico.</x:t>
  </x:si>
  <x:si>
    <x:t xml:space="preserve">obligaciones de servicio activas, confirmadas, cuantificables; ingreso neto canónico M05</x:t>
  </x:si>
  <x:si>
    <x:t xml:space="preserve">M04 consume deuda; M05 ingreso</x:t>
  </x:si>
  <x:si>
    <x:t xml:space="preserve">Numerador: cuotas/compromisos/minimos efectivos normalizados, sin stock/limite/duplicación. Denominador: ingreso mensual neto canónico M05. | Precedencia: antes de bandas C</x:t>
  </x:si>
  <x:si>
    <x:t xml:space="preserve">mensual; normalización versionable</x:t>
  </x:si>
  <x:si>
    <x:t xml:space="preserve">ingreso válido &gt;0 y numerador con cobertura suficiente</x:t>
  </x:si>
  <x:si>
    <x:t xml:space="preserve">ratio C o no calculable</x:t>
  </x:si>
  <x:si>
    <x:t xml:space="preserve">saldo/principal/limite no son servicio; missing no es 0</x:t>
  </x:si>
  <x:si>
    <x:t xml:space="preserve">M05 ingreso; datos deuda M04/M06</x:t>
  </x:si>
  <x:si>
    <x:t xml:space="preserve">TC-036 parametrizado</x:t>
  </x:si>
  <x:si>
    <x:t xml:space="preserve">P4-CNT-003</x:t>
  </x:si>
  <x:si>
    <x:t xml:space="preserve">C-BANDS</x:t>
  </x:si>
  <x:si>
    <x:t xml:space="preserve">Bandas de Carga para Presión.</x:t>
  </x:si>
  <x:si>
    <x:t xml:space="preserve">ratio C</x:t>
  </x:si>
  <x:si>
    <x:t xml:space="preserve">C1 &lt;25%; C2 &gt;=25% y &lt;50%; C3 &gt;=50%. | Precedencia: alimenta matriz Presión</x:t>
  </x:si>
  <x:si>
    <x:t xml:space="preserve">25% y 50% versionables Producto</x:t>
  </x:si>
  <x:si>
    <x:t xml:space="preserve">ratio C calculable</x:t>
  </x:si>
  <x:si>
    <x:t xml:space="preserve">C1/C2/C3</x:t>
  </x:si>
  <x:si>
    <x:t xml:space="preserve">no presentar como umbral regulatorio</x:t>
  </x:si>
  <x:si>
    <x:t xml:space="preserve">TC-036 bordes 24.99/25/49.99/50</x:t>
  </x:si>
  <x:si>
    <x:t xml:space="preserve">K-HEADROOM</x:t>
  </x:si>
  <x:si>
    <x:t xml:space="preserve">Capacidad residual/headroom canónico producido upstream; M04 no recalcula presupuesto.</x:t>
  </x:si>
  <x:si>
    <x:t xml:space="preserve">headroom residual y base de ingreso reconocida</x:t>
  </x:si>
  <x:si>
    <x:t xml:space="preserve">M05</x:t>
  </x:si>
  <x:si>
    <x:t xml:space="preserve">Consumir el headroom reconciliado del período; liquidez financiada no infla ingreso. | Precedencia: antes de bandas K</x:t>
  </x:si>
  <x:si>
    <x:t xml:space="preserve">snapshot/período/version</x:t>
  </x:si>
  <x:si>
    <x:t xml:space="preserve">input M05 evaluable</x:t>
  </x:si>
  <x:si>
    <x:t xml:space="preserve">headroom canónico o no evaluable</x:t>
  </x:si>
  <x:si>
    <x:t xml:space="preserve">no usar flujo financiado como ingreso; no presupuesto paralelo M04</x:t>
  </x:si>
  <x:si>
    <x:t xml:space="preserve">M05; GAP-M05-PROY-001 materialización</x:t>
  </x:si>
  <x:si>
    <x:t xml:space="preserve">TC-038</x:t>
  </x:si>
  <x:si>
    <x:t xml:space="preserve">Vigente · materialización condicionada</x:t>
  </x:si>
  <x:si>
    <x:t xml:space="preserve">P4-CNT-005</x:t>
  </x:si>
  <x:si>
    <x:t xml:space="preserve">K-BANDS</x:t>
  </x:si>
  <x:si>
    <x:t xml:space="preserve">Bandas de Capacidad para Presión.</x:t>
  </x:si>
  <x:si>
    <x:t xml:space="preserve">headroom / ingreso reconocido</x:t>
  </x:si>
  <x:si>
    <x:t xml:space="preserve">M05→M04</x:t>
  </x:si>
  <x:si>
    <x:t xml:space="preserve">K2 &gt;20%; K1 &gt;0% y &lt;=20%; K0 &lt;=0%. | Precedencia: alimenta matriz Presión</x:t>
  </x:si>
  <x:si>
    <x:t xml:space="preserve">20% y 0% Producto</x:t>
  </x:si>
  <x:si>
    <x:t xml:space="preserve">K evaluable</x:t>
  </x:si>
  <x:si>
    <x:t xml:space="preserve">K2/K1/K0</x:t>
  </x:si>
  <x:si>
    <x:t xml:space="preserve">no reutilizar THR-80 de M05 como autoridad; no floor regla anterior del 5%</x:t>
  </x:si>
  <x:si>
    <x:t xml:space="preserve">TC-036 bordes &gt;20/20/&gt;0/0/negativo</x:t>
  </x:si>
  <x:si>
    <x:t xml:space="preserve">P4-CNT-006</x:t>
  </x:si>
  <x:si>
    <x:t xml:space="preserve">D-MAPPING</x:t>
  </x:si>
  <x:si>
    <x:t xml:space="preserve">Deterioro confirmado separado de carga/capacidad.</x:t>
  </x:si>
  <x:si>
    <x:t xml:space="preserve">eventos/estado de pago reconciliados; recurrencia confirmada</x:t>
  </x:si>
  <x:si>
    <x:t xml:space="preserve">M06 produce recurrencia; M04 interpreta</x:t>
  </x:si>
  <x:si>
    <x:t xml:space="preserve">D0 sin deterioro relevante; D1 evento relevante aislado; D2 recurrente/persistente. En tarjeta: total/cuotas al día/costo ordinario D0; solo mínimo/parcial final/arrastre aislado D1; recurrencia D2. | Precedencia: alimenta matriz Presión</x:t>
  </x:si>
  <x:si>
    <x:t xml:space="preserve">sin threshold temporal M04; consume recurrencia M06</x:t>
  </x:si>
  <x:si>
    <x:t xml:space="preserve">evento suficientemente confirmado</x:t>
  </x:si>
  <x:si>
    <x:t xml:space="preserve">D0/D1/D2</x:t>
  </x:si>
  <x:si>
    <x:t xml:space="preserve">pre-cierre no concluyente; no sumar etiquetas del mismo ciclo</x:t>
  </x:si>
  <x:si>
    <x:t xml:space="preserve">M06 ciclo/recurrencia</x:t>
  </x:si>
  <x:si>
    <x:t xml:space="preserve">TC-067/068/069</x:t>
  </x:si>
  <x:si>
    <x:t xml:space="preserve">PRES-BASE</x:t>
  </x:si>
  <x:si>
    <x:t xml:space="preserve">Presión base composicional C×K×D, sin score.</x:t>
  </x:si>
  <x:si>
    <x:t xml:space="preserve">C; K; D; quality</x:t>
  </x:si>
  <x:si>
    <x:t xml:space="preserve">D0: C1/K2 En Control; C1/K1 Atención; C1/K0 Atención; C2/K2 En Control; C2/K1 Atención; C2/K0 Riesgo; C3/K2 Atención; C3/K1 Riesgo; C3/K0 Riesgo.
D1: C1/K2 Atención; C1/K1 Atención; C1/K0 Atención; C2/K2 Atención; C2/K1 Atención; C2/K0 Riesgo; C3/K2 Atención; C3/K1 Riesgo; C3/K0 Riesgo.
D2: C1/K2 Atención; C1/K1 Riesgo; C1/K0 Riesgo; C2/K2 Atención; C2/K1 Riesgo; C2/K0 Riesgo; C3/K2 Riesgo; C3/K1 Riesgo; C3/K0 Riesgo. | Precedencia: después de quality; antes de floors</x:t>
  </x:si>
  <x:si>
    <x:t xml:space="preserve">versión de matriz P4</x:t>
  </x:si>
  <x:si>
    <x:t xml:space="preserve">C/K/D evaluables para base favorable</x:t>
  </x:si>
  <x:si>
    <x:t xml:space="preserve">no sumar puntos; no usar 27/43/58 Figma</x:t>
  </x:si>
  <x:si>
    <x:t xml:space="preserve">P4-CNT-001..006</x:t>
  </x:si>
  <x:si>
    <x:t xml:space="preserve">Vigente lógico P4</x:t>
  </x:si>
  <x:si>
    <x:t xml:space="preserve">P4-CNT-008</x:t>
  </x:si>
  <x:si>
    <x:t xml:space="preserve">PRES-PRECEDENCE</x:t>
  </x:si>
  <x:si>
    <x:t xml:space="preserve">Floors causales solo empeoran/retienen; nunca degradan ni suman score.</x:t>
  </x:si>
  <x:si>
    <x:t xml:space="preserve">Presión base; R020; R021; recurrencias</x:t>
  </x:si>
  <x:si>
    <x:t xml:space="preserve">Presión final = resultado más severo entre base y floors válidos. Dedupe por hecho económico; una misma evidencia no impacta dos vías. | Precedencia: después de PRES-BASE</x:t>
  </x:si>
  <x:si>
    <x:t xml:space="preserve">sin cuarto nivel</x:t>
  </x:si>
  <x:si>
    <x:t xml:space="preserve">evidencia de cada floor suficiente</x:t>
  </x:si>
  <x:si>
    <x:t xml:space="preserve">Presión final + razones trazables</x:t>
  </x:si>
  <x:si>
    <x:t xml:space="preserve">Atención+Atención no se convierte en Riesgo por suma</x:t>
  </x:si>
  <x:si>
    <x:t xml:space="preserve">P4-CNT-009..013/024</x:t>
  </x:si>
  <x:si>
    <x:t xml:space="preserve">TC-036</x:t>
  </x:si>
  <x:si>
    <x:t xml:space="preserve">R020-EVENT</x:t>
  </x:si>
  <x:si>
    <x:t xml:space="preserve">Evento deuda→deuda causalmente demostrado.</x:t>
  </x:si>
  <x:si>
    <x:t xml:space="preserve">causalidad confirmada; K</x:t>
  </x:si>
  <x:si>
    <x:t xml:space="preserve">M04 + M05 K</x:t>
  </x:si>
  <x:si>
    <x:t xml:space="preserve">K2 sin floor; K1 floor Atención; K0 floor Riesgo. | Precedencia: overlay de Presión</x:t>
  </x:si>
  <x:si>
    <x:t xml:space="preserve">K bands vigentes</x:t>
  </x:si>
  <x:si>
    <x:t xml:space="preserve">K evaluable y causalidad suficiente</x:t>
  </x:si>
  <x:si>
    <x:t xml:space="preserve">contexto / floor Atención / floor Riesgo</x:t>
  </x:si>
  <x:si>
    <x:t xml:space="preserve">proximidad temporal/mismo monto no prueban causalidad</x:t>
  </x:si>
  <x:si>
    <x:t xml:space="preserve">P4-CNT-005/008</x:t>
  </x:si>
  <x:si>
    <x:t xml:space="preserve">TC-026</x:t>
  </x:si>
  <x:si>
    <x:t xml:space="preserve">P4-CNT-010</x:t>
  </x:si>
  <x:si>
    <x:t xml:space="preserve">R020-REC</x:t>
  </x:si>
  <x:si>
    <x:t xml:space="preserve">Recurrencia deuda→deuda adversa.</x:t>
  </x:si>
  <x:si>
    <x:t xml:space="preserve">2+ ciclos mensuales consecutivos comparables, cada uno con evento R020 K1/K0</x:t>
  </x:si>
  <x:si>
    <x:t xml:space="preserve">M04 consume ciclos/recurrencia</x:t>
  </x:si>
  <x:si>
    <x:t xml:space="preserve">Recurrencia confirmada → floor Riesgo + structural/persistent. | Precedencia: overlay después de eventos</x:t>
  </x:si>
  <x:si>
    <x:t xml:space="preserve">2+ ciclos Producto, no por conteo intrames</x:t>
  </x:si>
  <x:si>
    <x:t xml:space="preserve">ciclos comparables y confirmados</x:t>
  </x:si>
  <x:si>
    <x:t xml:space="preserve">Riesgo + structural</x:t>
  </x:si>
  <x:si>
    <x:t xml:space="preserve">dos eventos mismo mes no son recurrencia; K2 no cuenta</x:t>
  </x:si>
  <x:si>
    <x:t xml:space="preserve">M06/periodicidad cuando aplique</x:t>
  </x:si>
  <x:si>
    <x:t xml:space="preserve">TC-027</x:t>
  </x:si>
  <x:si>
    <x:t xml:space="preserve">R021-EVENT</x:t>
  </x:si>
  <x:si>
    <x:t xml:space="preserve">Evento de liquidez financiada para flujo ordinario.</x:t>
  </x:si>
  <x:si>
    <x:t xml:space="preserve">naturaleza financiada; finalidad; evidencia</x:t>
  </x:si>
  <x:si>
    <x:t xml:space="preserve">M05 clasifica naturaleza; M04 interpreta</x:t>
  </x:si>
  <x:si>
    <x:t xml:space="preserve">Finalidad desconocida=contexto. Gasto/compromiso ordinario no financiero=floor Atención. Destino deuda=R020. Primer descalce puntual justificable=contexto. | Precedencia: overlay de Presión</x:t>
  </x:si>
  <x:si>
    <x:t xml:space="preserve">sin umbral por monto</x:t>
  </x:si>
  <x:si>
    <x:t xml:space="preserve">finalidad suficiente para floor</x:t>
  </x:si>
  <x:si>
    <x:t xml:space="preserve">contexto / Atención / delegación R020</x:t>
  </x:si>
  <x:si>
    <x:t xml:space="preserve">línea no usada no es evento; no inferir finalidad</x:t>
  </x:si>
  <x:si>
    <x:t xml:space="preserve">M05 naturaleza / M04</x:t>
  </x:si>
  <x:si>
    <x:t xml:space="preserve">TC-028/029</x:t>
  </x:si>
  <x:si>
    <x:t xml:space="preserve">R021-REC</x:t>
  </x:si>
  <x:si>
    <x:t xml:space="preserve">Dependencia recurrente de liquidez financiada para flujo ordinario.</x:t>
  </x:si>
  <x:si>
    <x:t xml:space="preserve">2+ ciclos consecutivos comparables qualifying</x:t>
  </x:si>
  <x:si>
    <x:t xml:space="preserve">Recurrencia → floor Riesgo + structural; K2/K1/K0 no la neutralizan. | Precedencia: overlay después de evento</x:t>
  </x:si>
  <x:si>
    <x:t xml:space="preserve">2+ ciclos Producto</x:t>
  </x:si>
  <x:si>
    <x:t xml:space="preserve">finalidad ordinaria confirmada por ciclo</x:t>
  </x:si>
  <x:si>
    <x:t xml:space="preserve">finalidad desconocida no cuenta; ciclo limpio rompe continuidad</x:t>
  </x:si>
  <x:si>
    <x:t xml:space="preserve">P4-CNT-011/013</x:t>
  </x:si>
  <x:si>
    <x:t xml:space="preserve">TC-030</x:t>
  </x:si>
  <x:si>
    <x:t xml:space="preserve">P4-CNT-013</x:t>
  </x:si>
  <x:si>
    <x:t xml:space="preserve">R021-PUNCTUAL-REC</x:t>
  </x:si>
  <x:si>
    <x:t xml:space="preserve">Frontera puntual justificable→recurrente.</x:t>
  </x:si>
  <x:si>
    <x:t xml:space="preserve">eventos bridge ordinarios por ciclo</x:t>
  </x:si>
  <x:si>
    <x:t xml:space="preserve">Primer bridge contextual; si reaparece en segundo ciclo consecutivo comparable, ambos integran R021-REC sin reescribir su naturaleza histórica. | Precedencia: antes de confirmar R021-REC</x:t>
  </x:si>
  <x:si>
    <x:t xml:space="preserve">mismo criterio de 2+ ciclos</x:t>
  </x:si>
  <x:si>
    <x:t xml:space="preserve">cada ciclo con evidencia qualifying</x:t>
  </x:si>
  <x:si>
    <x:t xml:space="preserve">contexto → recurrencia cuando corresponde</x:t>
  </x:si>
  <x:si>
    <x:t xml:space="preserve">ciclo desconocido no confirma ni rompe; ciclo limpio rompe</x:t>
  </x:si>
  <x:si>
    <x:t xml:space="preserve">TC-028/030 + TC-036</x:t>
  </x:si>
  <x:si>
    <x:t xml:space="preserve">R022-DETECTOR</x:t>
  </x:si>
  <x:si>
    <x:t xml:space="preserve">Detector contextual de fragmentación de cuotas.</x:t>
  </x:si>
  <x:si>
    <x:t xml:space="preserve">conteo cuotas activas; ratio agregado de esas cuotas/ingreso</x:t>
  </x:si>
  <x:si>
    <x:t xml:space="preserve">Detectado si count&gt;=4 y ratio&gt;=8%; no floor de Presión. | Precedencia: contexto posterior a cálculo</x:t>
  </x:si>
  <x:si>
    <x:t xml:space="preserve">4 y 8% versionables</x:t>
  </x:si>
  <x:si>
    <x:t xml:space="preserve">inputs calculables</x:t>
  </x:si>
  <x:si>
    <x:t xml:space="preserve">flag contextual</x:t>
  </x:si>
  <x:si>
    <x:t xml:space="preserve">ausencia detector no implica En Control</x:t>
  </x:si>
  <x:si>
    <x:t xml:space="preserve">C/K/D</x:t>
  </x:si>
  <x:si>
    <x:t xml:space="preserve">TC-032/033</x:t>
  </x:si>
  <x:si>
    <x:t xml:space="preserve">R041-CYCLE-D</x:t>
  </x:si>
  <x:si>
    <x:t xml:space="preserve">Mapping tarjeta/ciclo a D sin falso positivo.</x:t>
  </x:si>
  <x:si>
    <x:t xml:space="preserve">ciclo reconciliado; pago; saldo arrastrado; recurrencia</x:t>
  </x:si>
  <x:si>
    <x:t xml:space="preserve">M06 produce ciclo/recurrencia; M04 consume</x:t>
  </x:si>
  <x:si>
    <x:t xml:space="preserve">Pre-cierre parcial=no conclusión; regularizado D0. Total/cuotas al día/costo ordinario D0. Solo mínimo/parcial final/arrastre aislado D1. Recurrente/persistente D2. | Precedencia: antes de C×K×D</x:t>
  </x:si>
  <x:si>
    <x:t xml:space="preserve">sin threshold temporal M04</x:t>
  </x:si>
  <x:si>
    <x:t xml:space="preserve">ciclo resuelto o explícitamente no concluyente</x:t>
  </x:si>
  <x:si>
    <x:t xml:space="preserve">mismo ciclo con varias etiquetas = un impacto D</x:t>
  </x:si>
  <x:si>
    <x:t xml:space="preserve">P4-CNT-016</x:t>
  </x:si>
  <x:si>
    <x:t xml:space="preserve">HEALTH</x:t>
  </x:si>
  <x:si>
    <x:t xml:space="preserve">Salud de Deuda independiente de Presión y Ruta.</x:t>
  </x:si>
  <x:si>
    <x:t xml:space="preserve">Presión; aging; suficiencia</x:t>
  </x:si>
  <x:si>
    <x:t xml:space="preserve">M04 consume aging M06</x:t>
  </x:si>
  <x:si>
    <x:t xml:space="preserve">Al día+En Control=Sana; al día+Atención/Riesgo=Requiere atención; 1–59d=Requiere atención; 60+d=Presionada. | Precedencia: después de Presión</x:t>
  </x:si>
  <x:si>
    <x:t xml:space="preserve">aging ranges contractuales</x:t>
  </x:si>
  <x:si>
    <x:t xml:space="preserve">base Salud evaluable</x:t>
  </x:si>
  <x:si>
    <x:t xml:space="preserve">Sana / Requiere atención / Presionada</x:t>
  </x:si>
  <x:si>
    <x:t xml:space="preserve">R020/R021 no fabrican Presionada sin aging; insuficiencia no es cuarto estado</x:t>
  </x:si>
  <x:si>
    <x:t xml:space="preserve">P4-CNT-017</x:t>
  </x:si>
  <x:si>
    <x:t xml:space="preserve">TC-035/036</x:t>
  </x:si>
  <x:si>
    <x:t xml:space="preserve">HEALTH-AGING</x:t>
  </x:si>
  <x:si>
    <x:t xml:space="preserve">Backbone de aging para Salud.</x:t>
  </x:si>
  <x:si>
    <x:t xml:space="preserve">días de atraso confirmados</x:t>
  </x:si>
  <x:si>
    <x:t xml:space="preserve">M06 temporal; M04 Salud</x:t>
  </x:si>
  <x:si>
    <x:t xml:space="preserve">0 al día; 1–29 Requiere atención; 30–59 Requiere atención; 60–89 Presionada; &gt;=90 Presionada + criticidad interna alta. | Precedencia: domina Salud desde 60+</x:t>
  </x:si>
  <x:si>
    <x:t xml:space="preserve">rangos Producto basados en aging; no DICOM universal</x:t>
  </x:si>
  <x:si>
    <x:t xml:space="preserve">aging confirmado</x:t>
  </x:si>
  <x:si>
    <x:t xml:space="preserve">Salud/criticidad</x:t>
  </x:si>
  <x:si>
    <x:t xml:space="preserve">no usar monto o K para neutralizar 60+</x:t>
  </x:si>
  <x:si>
    <x:t xml:space="preserve">P4-CNT-018</x:t>
  </x:si>
  <x:si>
    <x:t xml:space="preserve">ROUTE-ELIGIBILITY</x:t>
  </x:si>
  <x:si>
    <x:t xml:space="preserve">Gate de elegibilidad separado de activación.</x:t>
  </x:si>
  <x:si>
    <x:t xml:space="preserve">Presión final; deuda confirmada; suficiencia mínima</x:t>
  </x:si>
  <x:si>
    <x:t xml:space="preserve">Riesgo + deuda confirmada + suficiencia mínima → elegible/prioritaria. Atención no genera elegibilidad automática. | Precedencia: después de Presión</x:t>
  </x:si>
  <x:si>
    <x:t xml:space="preserve">sin score</x:t>
  </x:si>
  <x:si>
    <x:t xml:space="preserve">mínimos gate completos</x:t>
  </x:si>
  <x:si>
    <x:t xml:space="preserve">route eligible/disponible</x:t>
  </x:si>
  <x:si>
    <x:t xml:space="preserve">Riesgo por sí solo no activa Ruta</x:t>
  </x:si>
  <x:si>
    <x:t xml:space="preserve">P4-CNT-001/007</x:t>
  </x:si>
  <x:si>
    <x:t xml:space="preserve">TC-022/031/036/070</x:t>
  </x:si>
  <x:si>
    <x:t xml:space="preserve">P4-CNT-019</x:t>
  </x:si>
  <x:si>
    <x:t xml:space="preserve">ROUTE-ACTIVATION</x:t>
  </x:si>
  <x:si>
    <x:t xml:space="preserve">Evento canónico de activación.</x:t>
  </x:si>
  <x:si>
    <x:t xml:space="preserve">Ruta elegible; acción válida Seguir plan RD-02</x:t>
  </x:si>
  <x:si>
    <x:t xml:space="preserve">Primer Seguir plan válido desde RD-02 activa. Idempotente. Navegar/ver/simular no activa. | Precedencia: después de elegibilidad</x:t>
  </x:si>
  <x:si>
    <x:t xml:space="preserve">sin cambio</x:t>
  </x:si>
  <x:si>
    <x:t xml:space="preserve">acción válida y estado elegible</x:t>
  </x:si>
  <x:si>
    <x:t xml:space="preserve">Ruta activa + momento inicial</x:t>
  </x:si>
  <x:si>
    <x:t xml:space="preserve">confirmar deuda, completar, Ver plan, simular no activan</x:t>
  </x:si>
  <x:si>
    <x:t xml:space="preserve">TC-042/046</x:t>
  </x:si>
  <x:si>
    <x:t xml:space="preserve">P4-CNT-020</x:t>
  </x:si>
  <x:si>
    <x:t xml:space="preserve">ROUTE-CONTINUITY</x:t>
  </x:si>
  <x:si>
    <x:t xml:space="preserve">Continuidad/retoma de Ruta activa.</x:t>
  </x:si>
  <x:si>
    <x:t xml:space="preserve">route_state previo; momento inicial</x:t>
  </x:si>
  <x:si>
    <x:t xml:space="preserve">Reingreso conserva estado/momento; no reactiva ni reinicia. | Precedencia: después de activation</x:t>
  </x:si>
  <x:si>
    <x:t xml:space="preserve">idempotencia</x:t>
  </x:si>
  <x:si>
    <x:t xml:space="preserve">estado persistido válido</x:t>
  </x:si>
  <x:si>
    <x:t xml:space="preserve">continuidad</x:t>
  </x:si>
  <x:si>
    <x:t xml:space="preserve">no nuevo evento de activación</x:t>
  </x:si>
  <x:si>
    <x:t xml:space="preserve">TC-070</x:t>
  </x:si>
  <x:si>
    <x:t xml:space="preserve">SIMULATION</x:t>
  </x:si>
  <x:si>
    <x:t xml:space="preserve">Aporte manual como escenario hipotético.</x:t>
  </x:si>
  <x:si>
    <x:t xml:space="preserve">monto manual; headroom; plan</x:t>
  </x:si>
  <x:si>
    <x:t xml:space="preserve">Calcular escenario y cronograma sin side effect; monto manual no prueba sostenibilidad. | Precedencia: independiente de activation</x:t>
  </x:si>
  <x:si>
    <x:t xml:space="preserve">scenario/version</x:t>
  </x:si>
  <x:si>
    <x:t xml:space="preserve">inputs de proyección suficientes</x:t>
  </x:si>
  <x:si>
    <x:t xml:space="preserve">escenario simulado/referencial</x:t>
  </x:si>
  <x:si>
    <x:t xml:space="preserve">no pago/cargo/transferencia; no activa Ruta</x:t>
  </x:si>
  <x:si>
    <x:t xml:space="preserve">P4-CNT-022/023</x:t>
  </x:si>
  <x:si>
    <x:t xml:space="preserve">TC-045/046</x:t>
  </x:si>
  <x:si>
    <x:t xml:space="preserve">SUSTAINABILITY-GATE</x:t>
  </x:si>
  <x:si>
    <x:t xml:space="preserve">Protección prudencial para afirmar capacidad adicional sostenible.</x:t>
  </x:si>
  <x:si>
    <x:t xml:space="preserve">headroom + inputs prudenciales suficientes</x:t>
  </x:si>
  <x:si>
    <x:t xml:space="preserve">M05 produce; M04 consume</x:t>
  </x:si>
  <x:si>
    <x:t xml:space="preserve">M04 solo presenta aporte sostenible cuando M05 entrega outcome evaluable positivo; 0 conocido=no recomendado; no evaluable=no afirmar máximo. Si no: simulación referencial/no calculable. | Precedencia: calificación sobre simulación</x:t>
  </x:si>
  <x:si>
    <x:t xml:space="preserve">regla anterior del 5% retirado</x:t>
  </x:si>
  <x:si>
    <x:t xml:space="preserve">inputs prudenciales suficientes</x:t>
  </x:si>
  <x:si>
    <x:t xml:space="preserve">sostenible calculable / no calculable</x:t>
  </x:si>
  <x:si>
    <x:t xml:space="preserve">desconocido no es 0; no inventar porcentaje</x:t>
  </x:si>
  <x:si>
    <x:t xml:space="preserve">frente resiliencia futuro</x:t>
  </x:si>
  <x:si>
    <x:t xml:space="preserve">TC-037/039/040</x:t>
  </x:si>
  <x:si>
    <x:t xml:space="preserve">FUNCIONAL aprobado; inputs prudenciales pueden quedar condicionados</x:t>
  </x:si>
  <x:si>
    <x:t xml:space="preserve">RECALCULATION</x:t>
  </x:si>
  <x:si>
    <x:t xml:space="preserve">Recalcular snapshots/proyección cuando cambian inputs relevantes.</x:t>
  </x:si>
  <x:si>
    <x:t xml:space="preserve">saldos; mínimos; headroom; pago; cierre; versión</x:t>
  </x:si>
  <x:si>
    <x:t xml:space="preserve">M04 + inputs upstream</x:t>
  </x:si>
  <x:si>
    <x:t xml:space="preserve">Invalidar cálculo obsoleto y producir nuevo snapshot con versión/supuestos. | Precedencia: después de cambio de input</x:t>
  </x:si>
  <x:si>
    <x:t xml:space="preserve">timestamp/rule_version</x:t>
  </x:si>
  <x:si>
    <x:t xml:space="preserve">input suficiente</x:t>
  </x:si>
  <x:si>
    <x:t xml:space="preserve">nuevo snapshot Presión/Salud/proyección</x:t>
  </x:si>
  <x:si>
    <x:t xml:space="preserve">no conservar estado obsoleto; no inferir destino visual FLOW023</x:t>
  </x:si>
  <x:si>
    <x:t xml:space="preserve">M05/M06</x:t>
  </x:si>
  <x:si>
    <x:t xml:space="preserve">TC-050/051/072</x:t>
  </x:si>
  <x:si>
    <x:t xml:space="preserve">P4-CNT-024</x:t>
  </x:si>
  <x:si>
    <x:t xml:space="preserve">DEDUP-PROVENANCE</x:t>
  </x:si>
  <x:si>
    <x:t xml:space="preserve">Dedupe y provenance de hechos económicos.</x:t>
  </x:si>
  <x:si>
    <x:t xml:space="preserve">event id semántico; fuente; evidencia; ciclo</x:t>
  </x:si>
  <x:si>
    <x:t xml:space="preserve">productores + M04</x:t>
  </x:si>
  <x:si>
    <x:t xml:space="preserve">Mismo hecho no escala por múltiples etiquetas/vías. Preservar razones trazables sin sumar severidad. | Precedencia: transversal</x:t>
  </x:si>
  <x:si>
    <x:t xml:space="preserve">provenance suficiente</x:t>
  </x:si>
  <x:si>
    <x:t xml:space="preserve">una evaluación + razones</x:t>
  </x:si>
  <x:si>
    <x:t xml:space="preserve">R020 y R021 no cuentan misma evidencia; D2/floor no duplican mismo hecho</x:t>
  </x:si>
  <x:si>
    <x:t xml:space="preserve">M05/M06/M04</x:t>
  </x:si>
  <x:si>
    <x:t xml:space="preserve">TC-036/067/068</x:t>
  </x:si>
  <x:si>
    <x:t xml:space="preserve">P4-CNT-025</x:t>
  </x:si>
  <x:si>
    <x:t xml:space="preserve">PARAM-VERSION</x:t>
  </x:si>
  <x:si>
    <x:t xml:space="preserve">Versionamiento de thresholds/reglas/snapshot.</x:t>
  </x:si>
  <x:si>
    <x:t xml:space="preserve">version de reglas; fecha; parámetros</x:t>
  </x:si>
  <x:si>
    <x:t xml:space="preserve">M04 / owners upstream</x:t>
  </x:si>
  <x:si>
    <x:t xml:space="preserve">Persistir versión lógica usada para reproducibilidad; cambios no aplican retroactivamente sin recálculo explícito. | Precedencia: transversal</x:t>
  </x:si>
  <x:si>
    <x:t xml:space="preserve">C 25/50; K 20/0; R022 4/8; otros según contrato</x:t>
  </x:si>
  <x:si>
    <x:t xml:space="preserve">version disponible</x:t>
  </x:si>
  <x:si>
    <x:t xml:space="preserve">resultado reproducible</x:t>
  </x:si>
  <x:si>
    <x:t xml:space="preserve">no hardcodear Figma; no mezclar versiones</x:t>
  </x:si>
  <x:si>
    <x:t xml:space="preserve">M08 parametrización futura si aplica</x:t>
  </x:si>
  <x:si>
    <x:t xml:space="preserve">TC-036/071/072</x:t>
  </x:si>
  <x:si>
    <x:t xml:space="preserve">Vigente semánticamente</x:t>
  </x:si>
  <x:si>
    <x:t xml:space="preserve">WALVY | M04 – Fuentes funcionales vigentes</x:t>
  </x:si>
  <x:si>
    <x:t xml:space="preserve">Fuentes directas para interpretar esta matriz. No se incluyen hashes ni evidencia de construcción.</x:t>
  </x:si>
  <x:si>
    <x:t xml:space="preserve">Código</x:t>
  </x:si>
  <x:si>
    <x:t xml:space="preserve">Fuente</x:t>
  </x:si>
  <x:si>
    <x:t xml:space="preserve">Tipo</x:t>
  </x:si>
  <x:si>
    <x:t xml:space="preserve">Autoridad / rol</x:t>
  </x:si>
  <x:si>
    <x:t xml:space="preserve">Uso en M04 Cliente</x:t>
  </x:si>
  <x:si>
    <x:t xml:space="preserve">Vigencia</x:t>
  </x:si>
  <x:si>
    <x:t xml:space="preserve">Referencia</x:t>
  </x:si>
  <x:si>
    <x:t xml:space="preserve">M04-FIG</x:t>
  </x:si>
  <x:si>
    <x:t xml:space="preserve">Figma M04 vigente</x:t>
  </x:si>
  <x:si>
    <x:t xml:space="preserve">Referencia visual</x:t>
  </x:si>
  <x:si>
    <x:t xml:space="preserve">Materialización UX</x:t>
  </x:si>
  <x:si>
    <x:t xml:space="preserve">Pantallas, estados y CTAs observables</x:t>
  </x:si>
  <x:si>
    <x:t xml:space="preserve">M04-CONS</x:t>
  </x:si>
  <x:si>
    <x:t xml:space="preserve">Walvy_M04_Documentacion_Funcional_Consolidada_v1.0.docx</x:t>
  </x:si>
  <x:si>
    <x:t xml:space="preserve">Consolidado funcional</x:t>
  </x:si>
  <x:si>
    <x:t xml:space="preserve">Referencia funcional integrada</x:t>
  </x:si>
  <x:si>
    <x:t xml:space="preserve">Alcance, decisiones vigentes, fronteras y pendientes</x:t>
  </x:si>
  <x:si>
    <x:t xml:space="preserve">M04-GUIA</x:t>
  </x:si>
  <x:si>
    <x:t xml:space="preserve">Walvy_M04_Guia_Implementacion_Backend_Reglas_y_Calculos_v1.0.docx</x:t>
  </x:si>
  <x:si>
    <x:t xml:space="preserve">Contrato implementable</x:t>
  </x:si>
  <x:si>
    <x:t xml:space="preserve">Cálculos, reglas no obvias, fallback y reproducibilidad</x:t>
  </x:si>
  <x:si>
    <x:t xml:space="preserve">M04-BDD</x:t>
  </x:si>
  <x:si>
    <x:t xml:space="preserve">Walvy_M04_Anexo_BDD_Reglas_Productivas_v1.0.docx</x:t>
  </x:si>
  <x:si>
    <x:t xml:space="preserve">Anexo BDD</x:t>
  </x:si>
  <x:si>
    <x:t xml:space="preserve">Reglas productivas</x:t>
  </x:si>
  <x:si>
    <x:t xml:space="preserve">BDD funcional, estados, guardrails y criterios de aceptación</x:t>
  </x:si>
  <x:si>
    <x:t xml:space="preserve">WALVY | M04 – Condiciones y límites de implementación</x:t>
  </x:si>
  <x:si>
    <x:t xml:space="preserve">Estos puntos no son defectos de M04. Indican qué depende de otra capa y qué debe evitar Kabeli para no completar el contrato por inferencia.</x:t>
  </x:si>
  <x:si>
    <x:t xml:space="preserve">Tema</x:t>
  </x:si>
  <x:si>
    <x:t xml:space="preserve">Qué significa</x:t>
  </x:si>
  <x:si>
    <x:t xml:space="preserve">Estado para esta entrega</x:t>
  </x:si>
  <x:si>
    <x:t xml:space="preserve">Qué debe hacer Kabeli</x:t>
  </x:si>
  <x:si>
    <x:t xml:space="preserve">Qué NO debe asumir</x:t>
  </x:si>
  <x:si>
    <x:t xml:space="preserve">Owner</x:t>
  </x:si>
  <x:si>
    <x:t xml:space="preserve">¿Bloquea entrega?</x:t>
  </x:si>
  <x:si>
    <x:t xml:space="preserve">Disponible (M02)</x:t>
  </x:si>
  <x:si>
    <x:t xml:space="preserve">Disponible tiene contrato M02 cerrado, pero M04 no lo calcula ni lo usa como proxy de Margen, headroom o reserva.</x:t>
  </x:si>
  <x:si>
    <x:t xml:space="preserve">Contrato externo cerrado · no bloquea M04</x:t>
  </x:si>
  <x:si>
    <x:t xml:space="preserve">Implementar M04 sin esperar otra definición de Disponible; respetar owner M02. Si aplica sostenibilidad, consumir el outcome prudencial M05.</x:t>
  </x:si>
  <x:si>
    <x:t xml:space="preserve">No calcular Disponible en M04, no tratar missing como $0 y no usarlo para inflar capacidad.</x:t>
  </x:si>
  <x:si>
    <x:t xml:space="preserve">M02 (Disponible) / M05 (outcome prudencial)</x:t>
  </x:si>
  <x:si>
    <x:t xml:space="preserve">No</x:t>
  </x:si>
  <x:si>
    <x:t xml:space="preserve">Home · selección del mensaje ganador</x:t>
  </x:si>
  <x:si>
    <x:t xml:space="preserve">M04 puede producir candidatos/estados; la elección de cuál gana en Home es transversal.</x:t>
  </x:si>
  <x:si>
    <x:t xml:space="preserve">Fuera de M04</x:t>
  </x:si>
  <x:si>
    <x:t xml:space="preserve">Entregar el candidato M04 con su destino y lifecycle.</x:t>
  </x:si>
  <x:si>
    <x:t xml:space="preserve">No implementar un ranking global desde M04.</x:t>
  </x:si>
  <x:si>
    <x:t xml:space="preserve">Home / transversal</x:t>
  </x:si>
  <x:si>
    <x:t xml:space="preserve">Canales y frecuencia de avisos</x:t>
  </x:si>
  <x:si>
    <x:t xml:space="preserve">M04 define situaciones in-app; push, email, campana, frecuencia y cooldown se resuelven transversalmente.</x:t>
  </x:si>
  <x:si>
    <x:t xml:space="preserve">Implementar solo la situación y su destino M04 cuando corresponda.</x:t>
  </x:si>
  <x:si>
    <x:t xml:space="preserve">No crear notification center, push/email, cadencia o cooldown desde este módulo.</x:t>
  </x:si>
  <x:si>
    <x:t xml:space="preserve">Avisos transversal</x:t>
  </x:si>
  <x:si>
    <x:t xml:space="preserve">Arquitectura física</x:t>
  </x:si>
  <x:si>
    <x:t xml:space="preserve">La documentación define comportamiento observable y datos necesarios, no una arquitectura única.</x:t>
  </x:si>
  <x:si>
    <x:t xml:space="preserve">Decisión técnica Kabeli</x:t>
  </x:si>
  <x:si>
    <x:t xml:space="preserve">Elegir la solución técnica que preserve reglas, lifecycle, seguridad y reproducibilidad.</x:t>
  </x:si>
  <x:si>
    <x:t xml:space="preserve">No convertir ejemplos en obligación de endpoint, tabla o microservicio específico.</x:t>
  </x:si>
  <x:si>
    <x:t xml:space="preserve">Kabeli / Arquitectura</x:t>
  </x:si>
  <x:si>
    <x:t xml:space="preserve">Protección de Datos</x:t>
  </x:si>
  <x:si>
    <x:t xml:space="preserve">Los requisitos están definidos; el cumplimiento runtime se valida con evidencia posterior.</x:t>
  </x:si>
  <x:si>
    <x:t xml:space="preserve">Requisito vigente · evidencia pendiente</x:t>
  </x:si>
  <x:si>
    <x:t xml:space="preserve">Implementar controles aplicables y devolver la evidencia solicitada.</x:t>
  </x:si>
  <x:si>
    <x:t xml:space="preserve">No asumir “cumple” ni “no aplica” sin evidencia/justificación.</x:t>
  </x:si>
  <x:si>
    <x:t xml:space="preserve">Kabeli + Walvy Privacidad/Seguridad</x:t>
  </x:si>
  <x:si>
    <x:t xml:space="preserve">Resiliencia 3/6 meses</x:t>
  </x:si>
  <x:si>
    <x:t xml:space="preserve">M05 calcula meses de resiliencia y puede recomendar alcanzar 3 meses y, después, 6 meses.</x:t>
  </x:si>
  <x:si>
    <x:t xml:space="preserve">Owner M05 · contrato consumidor M04 cerrado</x:t>
  </x:si>
  <x:si>
    <x:t xml:space="preserve">No implementar la fórmula de resiliencia dentro de M04; integrar el output M05 cuando corresponda.</x:t>
  </x:si>
  <x:si>
    <x:t xml:space="preserve">No usar 3/6 meses como threshold de Presión, Salud, K, D, elegibilidad o activación de Ruta.</x:t>
  </x:si>
  <x:si>
    <x:t xml:space="preserve">WALVY | M04 – Ajustes pendientes de materialización</x:t>
  </x:si>
  <x:si>
    <x:t xml:space="preserve">Son tres ajustes de copy/representación. No cambian reglas, cálculos ni alcance funcional.</x:t>
  </x:si>
  <x:si>
    <x:t xml:space="preserve">Ajuste</x:t>
  </x:si>
  <x:si>
    <x:t xml:space="preserve">Dónde aplica</x:t>
  </x:si>
  <x:si>
    <x:t xml:space="preserve">Qué debe quedar claro</x:t>
  </x:si>
  <x:si>
    <x:t xml:space="preserve">Qué NO debe hacer</x:t>
  </x:si>
  <x:si>
    <x:t xml:space="preserve">Trace ID de referencia</x:t>
  </x:si>
  <x:si>
    <x:t xml:space="preserve">Capacidad recuperable/liberable</x:t>
  </x:si>
  <x:si>
    <x:t xml:space="preserve">RD-02 / RD-03</x:t>
  </x:si>
  <x:si>
    <x:t xml:space="preserve">El monto corresponde a capacidad asociada a una deuda; no es ahorro realizado ni dinero movido automáticamente.</x:t>
  </x:si>
  <x:si>
    <x:t xml:space="preserve">Ajustar copy/etiqueta manteniendo el cálculo vigente.</x:t>
  </x:si>
  <x:si>
    <x:t xml:space="preserve">No llamarlo ahorro general, margen libre ni transferencia automática.</x:t>
  </x:si>
  <x:si>
    <x:t xml:space="preserve">TR-M04-105; 109; 123</x:t>
  </x:si>
  <x:si>
    <x:t xml:space="preserve">Próxima deuda / próximo paso</x:t>
  </x:si>
  <x:si>
    <x:t xml:space="preserve">RD-03 / proyección</x:t>
  </x:si>
  <x:si>
    <x:t xml:space="preserve">Sugerir la siguiente deuda no cambia por sí solo el Foco del Mes.</x:t>
  </x:si>
  <x:si>
    <x:t xml:space="preserve">Ajustar wording para separar “siguiente paso” de “cambio de foco”.</x:t>
  </x:si>
  <x:si>
    <x:t xml:space="preserve">No alterar el foco persistente ni crear una regla nueva.</x:t>
  </x:si>
  <x:si>
    <x:t xml:space="preserve">TR-M04-122; 124</x:t>
  </x:si>
  <x:si>
    <x:t xml:space="preserve">Etiquetas funcionales</x:t>
  </x:si>
  <x:si>
    <x:t xml:space="preserve">Etiquetas MVP</x:t>
  </x:si>
  <x:si>
    <x:t xml:space="preserve">Una etiqueta explica un dato/regla ya existente; no es severidad, alerta ni CTA nuevo.</x:t>
  </x:si>
  <x:si>
    <x:t xml:space="preserve">Mostrarla solo cuando exista soporte funcional para esa etiqueta.</x:t>
  </x:si>
  <x:si>
    <x:t xml:space="preserve">No crear señales autónomas ni nuevas reglas por superficie.</x:t>
  </x:si>
  <x:si>
    <x:t xml:space="preserve">TR-M04-132…136</x:t>
  </x:si>
  <x:si>
    <x:t xml:space="preserve">Aporte adicional no recomendado</x:t>
  </x:si>
  <x:si>
    <x:t xml:space="preserve">RD-02 · Simulación/Plan</x:t>
  </x:si>
  <x:si>
    <x:t xml:space="preserve">Cuando el outcome prudencial M05 es evaluable y =0, Walvy no recomienda aporte adicional en ese momento; no es missing/no evaluable.</x:t>
  </x:si>
  <x:si>
    <x:t xml:space="preserve">Mantener el plan base y materializar el estado con copy natural o esconder el bloque según decisión UX.</x:t>
  </x:si>
  <x:si>
    <x:t xml:space="preserve">No mostrar $0 como dato faltante ni afirmar un monto sostenible cuando el outcome no es evaluable.</x:t>
  </x:si>
  <x:si>
    <x:t xml:space="preserve">WALVY | M04 – Matriz Reconciliada para Validación de Producto</x:t>
  </x:si>
  <x:si>
    <x:t xml:space="preserve">Detalle</x:t>
  </x:si>
  <x:si>
    <x:t xml:space="preserve">Reglas Kabeli reconciliadas</x:t>
  </x:si>
  <x:si>
    <x:t xml:space="preserve">Línea base cliente</x:t>
  </x:si>
  <x:si>
    <x:t xml:space="preserve">Walvy_M04_Matriz_Trazabilidad_Cliente_v1.0.xlsx</x:t>
  </x:si>
  <x:si>
    <x:t xml:space="preserve">Cubiertas por contrato cliente</x:t>
  </x:si>
  <x:si>
    <x:t xml:space="preserve">Referencia Kabeli</x:t>
  </x:si>
  <x:si>
    <x:t xml:space="preserve">Walvy_M4_Matriz_Trazabilidad_Cliente_v1.3.xlsx</x:t>
  </x:si>
  <x:si>
    <x:t xml:space="preserve">Reemplazadas por definición cliente</x:t>
  </x:si>
  <x:si>
    <x:t xml:space="preserve">Criterio rector</x:t>
  </x:si>
  <x:si>
    <x:t xml:space="preserve">Ante contradicción, prevalece el contrato cliente vigente; no se suman reglas reemplazadas.</x:t>
  </x:si>
  <x:si>
    <x:t xml:space="preserve">Complementos a confirmar</x:t>
  </x:si>
  <x:si>
    <x:t xml:space="preserve">Foco Producto</x:t>
  </x:si>
  <x:si>
    <x:t xml:space="preserve">Ratificar supersesiones y decidir los complementos TC/CMF que no están explícitos en la matriz cliente.</x:t>
  </x:si>
  <x:si>
    <x:t xml:space="preserve">Referencias técnicas ya cubiertas</x:t>
  </x:si>
  <x:si>
    <x:t xml:space="preserve">No incluye</x:t>
  </x:si>
  <x:si>
    <x:t xml:space="preserve">Plan QA, brechas, pruebas técnicas runtime ni cambios al contrato original del cliente.</x:t>
  </x:si>
  <x:si>
    <x:t xml:space="preserve">Decisiones rectoras que Producto debe validar</x:t>
  </x:si>
  <x:si>
    <x:t xml:space="preserve">Contrato cliente rector</x:t>
  </x:si>
  <x:si>
    <x:t xml:space="preserve">Qué cambia respecto v1.3</x:t>
  </x:si>
  <x:si>
    <x:t xml:space="preserve">Propuesta reconciliada</x:t>
  </x:si>
  <x:si>
    <x:t xml:space="preserve">Acción Producto</x:t>
  </x:si>
  <x:si>
    <x:t xml:space="preserve">Validación Producto</x:t>
  </x:si>
  <x:si>
    <x:t xml:space="preserve">Comentario Producto</x:t>
  </x:si>
  <x:si>
    <x:t xml:space="preserve">Motor de Presión</x:t>
  </x:si>
  <x:si>
    <x:t xml:space="preserve">M04-RGL-038 · P4-CNT-001…008</x:t>
  </x:si>
  <x:si>
    <x:t xml:space="preserve">S0–S4 deja de gobernar la evaluación financiera.</x:t>
  </x:si>
  <x:si>
    <x:t xml:space="preserve">Usar quality gate → Carga C × Capacidad K × Deterioro D → floors válidos → Presión En Control/Atención/Riesgo.</x:t>
  </x:si>
  <x:si>
    <x:t xml:space="preserve">Ratificar como motor rector.</x:t>
  </x:si>
  <x:si>
    <x:t xml:space="preserve">Aprobado</x:t>
  </x:si>
  <x:si>
    <x:t xml:space="preserve">Se valida P4 como contrato vigente. La documentación rectora M04 ya definía el objetivo de identificar presión financiera y los controles de confirmación/suficiencia, utilizando S0–S4 como modelo rector. Al profundizar la trazabilidad fue necesario cerrar reglas que permanecían En definición o requerían umbral, de modo que la lógica quedara determinada desde Producto y pudiera implementarse de forma reproducible. En ese contexto, S0–S4 se reemplaza por P4/C×K×D, manteniendo el objetivo funcional de la lectura de presión. Este es el ajuste rector: las adecuaciones posteriores que sustituyen estados S por D/floors P4 se entienden como aplicaciones de esta misma definición. Ver FP-01.</x:t>
  </x:si>
  <x:si>
    <x:t xml:space="preserve">M04-RGL-037 · P4-CNT-016/017</x:t>
  </x:si>
  <x:si>
    <x:t xml:space="preserve">Salud ya no es equivalente a severidad/Presión.</x:t>
  </x:si>
  <x:si>
    <x:t xml:space="preserve">Salud se calcula separadamente con Presión + aging/cumplimiento: Sana / Requiere atención / Presionada.</x:t>
  </x:si>
  <x:si>
    <x:t xml:space="preserve">Ratificar separación Salud vs Presión.</x:t>
  </x:si>
  <x:si>
    <x:t xml:space="preserve">Se ratifica la separación Salud vs Presión. Salud de Deuda se mantiene como una lectura propia con estados Sana / Requiere atención / Presionada. A partir del reemplazo rector S0–S4 → P4 fue necesario dejar inequívocamente qué corresponde a Presión y qué corresponde a Salud, y hacer reproducible la clasificación de Salud mediante aging/cumplimiento. El propósito funcional de Salud se mantiene. Ver FP-01 y FP-02.</x:t>
  </x:si>
  <x:si>
    <x:t xml:space="preserve">Elegibilidad vs activación de Ruta</x:t>
  </x:si>
  <x:si>
    <x:t xml:space="preserve">M04-RGL-014/030/033 · P4-CNT-018/019/020</x:t>
  </x:si>
  <x:si>
    <x:t xml:space="preserve">Cumplir el gate ya no significa Ruta activa.</x:t>
  </x:si>
  <x:si>
    <x:t xml:space="preserve">Gate deja Ruta elegible; RD-01/RD-02 no activan. Primer “Seguir plan” válido activa; siguientes usos son continuidad idempotente.</x:t>
  </x:si>
  <x:si>
    <x:t xml:space="preserve">Ratificar lifecycle canónico.</x:t>
  </x:si>
  <x:si>
    <x:t xml:space="preserve">Se valida el lifecycle vigente. La documentación funcional previa asociaba el cumplimiento del gate con Ruta activa. El recorrido funcional permitió distinguir dos momentos que necesitaban quedar separados: que la Ruta esté disponible para el usuario y que el usuario decida comenzar a seguirla. La definición final deja el gate como elegibilidad y utiliza el primer Seguir plan válido como evento de activación; idempotencia y reingresos completan la implementación determinista de esa regla. Ver FP-03.</x:t>
  </x:si>
  <x:si>
    <x:t xml:space="preserve">Capacidad / headroom</x:t>
  </x:si>
  <x:si>
    <x:t xml:space="preserve">M04-RGL-023…026 · P4-CNT-004/005/022</x:t>
  </x:si>
  <x:si>
    <x:t xml:space="preserve">Dejan de aplicar buffer/holgura/espacio disponible calculados localmente en M04.</x:t>
  </x:si>
  <x:si>
    <x:t xml:space="preserve">M04 consume headroom y outcome prudencial M05; no recalcula presupuesto ni aplica floor local 5%.</x:t>
  </x:si>
  <x:si>
    <x:t xml:space="preserve">Ratificar ownership M05 y retirar fórmulas anteriores.</x:t>
  </x:si>
  <x:si>
    <x:t xml:space="preserve">Se valida M05 como owner del headroom/outcome prudencial. El Anexo BDD contenía fórmulas locales M04 y un buffer 5% declarados cerrados. Al precisar el contrato intermodular se determinó que la sostenibilidad del aporte debía tener una única fuente de verdad en M05, evitando mantener un cálculo prudencial paralelo en M04. Por ello se reemplaza la fórmula local, conservando el objetivo funcional de proteger el cierre del mes. El headroom producido por M05 pasa a ser el insumo canónico de K dentro del motor P4. Ver FP-01 y FP-04.</x:t>
  </x:si>
  <x:si>
    <x:t xml:space="preserve">Priorización Ruta</x:t>
  </x:si>
  <x:si>
    <x:t xml:space="preserve">La v1.3 mantenía la priorización como definición pendiente.</x:t>
  </x:si>
  <x:si>
    <x:t xml:space="preserve">Snowball base: menor saldo actual confirmado primero, manteniendo mínimos/compromisos de las demás.</x:t>
  </x:si>
  <x:si>
    <x:t xml:space="preserve">Ratificar regla cerrada.</x:t>
  </x:si>
  <x:si>
    <x:t xml:space="preserve">Se valida el criterio vigente de menor saldo actual confirmado primero, con mínimos protegidos en las demás deudas. Existe evidencia funcional histórica que documenta este criterio como regla MVP; dado el estado de esa revisión, la reconciliación actual sirve además para dejarlo formalmente cerrado en el contrato vigente. La precisión posterior separa este orden metodológico de la urgencia operativa y de la prioridad de avisos. Ver FP-05.</x:t>
  </x:si>
  <x:si>
    <x:t xml:space="preserve">Deuda→deuda y liquidez financiada</x:t>
  </x:si>
  <x:si>
    <x:t xml:space="preserve">M04-RGL-020/021 · P4-CNT-009…013</x:t>
  </x:si>
  <x:si>
    <x:t xml:space="preserve">Se reemplaza escalamiento S2/S3/S4 por causalidad, K y recurrencia.</x:t>
  </x:si>
  <x:si>
    <x:t xml:space="preserve">Aplicar floors Atención/Riesgo según K y recurrencia confirmada de 2+ ciclos comparables.</x:t>
  </x:si>
  <x:si>
    <x:t xml:space="preserve">Ratificar reglas de causalidad/recurrencia.</x:t>
  </x:si>
  <x:si>
    <x:t xml:space="preserve">Se ratifican las reglas vigentes de causalidad y recurrencia. Deuda→deuda y uso de crédito/avance para liquidez ya estaban contemplados, pero SD-014 y SD-015 permanecían En definición; por eso fue necesario cerrar causalidad, finalidad, K y recurrencia desde Producto para hacer la evaluación determinista. Como S0–S4 fue reemplazado por P4, el efecto de estas señales se expresa ahora mediante K/floors como aplicación del ajuste rector FP-01. Ver FP-01 y FP-06.</x:t>
  </x:si>
  <x:si>
    <x:t xml:space="preserve">Frontera M04↔M06</x:t>
  </x:si>
  <x:si>
    <x:t xml:space="preserve">M04-RGL-016 · P4-CNT-006/017 · 05_Condiciones_y_Limites</x:t>
  </x:si>
  <x:si>
    <x:t xml:space="preserve">Vencimiento/mora no debe duplicar ownership operativo en M04.</x:t>
  </x:si>
  <x:si>
    <x:t xml:space="preserve">M06 mantiene pagos/alertas/aging; M04 consume deterioro/aging para Presión y Salud.</x:t>
  </x:si>
  <x:si>
    <x:t xml:space="preserve">Ratificar ownership y no duplicación.</x:t>
  </x:si>
  <x:si>
    <x:t xml:space="preserve">Se valida la frontera vigente. La documentación rectora ya separaba pagos próximos, pagos al día y vencimientos simples en Pagos/Alertas, reservando M04 para la lectura de presión y priorización. Al aterrizar Deterioro y Salud fue necesario definir una única fuente operacional para hechos de pago, ciclo y aging, evitando que M04 reconstruyera o duplicara estados que se originan en la gestión de pagos. Por ello M06 produce esa evidencia y M04 la consume para Deterioro, Salud y Ruta. La frontera precisa el contrato entre módulos sin cambiar el propósito de M04. Ver FP-02 y FP-07.</x:t>
  </x:si>
  <x:si>
    <x:t xml:space="preserve">Tarjetas por ciclo</x:t>
  </x:si>
  <x:si>
    <x:t xml:space="preserve">M04-RGL-041 · P4-CNT-015</x:t>
  </x:si>
  <x:si>
    <x:t xml:space="preserve">Se reemplaza S1/S2/S3/S4 para TC.</x:t>
  </x:si>
  <x:si>
    <x:t xml:space="preserve">Pago total/cuotas al día/costo ordinario=D0; mínimo/parcial final/arrastre aislado=D1; recurrencia confirmada=D2.</x:t>
  </x:si>
  <x:si>
    <x:t xml:space="preserve">Ratificar mapping D0/D1/D2.</x:t>
  </x:si>
  <x:si>
    <x:t xml:space="preserve">Se valida el mapping D0/D1/D2. La evaluación de tarjetas por ciclo, el tratamiento del parcial pre-cierre y la diferencia entre pago total, mínimo y recurrencia ya estaban contemplados. Como consecuencia del ajuste rector S0–S4 → P4 (FP-01), esas mismas evidencias deben expresarse ahora como D0/D1/D2 para alimentar Deterioro, en lugar de producir directamente estados S. La dependencia operacional con M06 completa la regla de ciclo de forma determinista. Ver FP-01, FP-07 y FP-08.</x:t>
  </x:si>
  <x:si>
    <x:t xml:space="preserve">TC/CMF · mapeos documentales</x:t>
  </x:si>
  <x:si>
    <x:t xml:space="preserve">M04-RGL-004/041 · Anexo transversal Kabeli</x:t>
  </x:si>
  <x:si>
    <x:t xml:space="preserve">La matriz cliente cubre carga CMF manual y TC por ciclo, pero no explicita todos los mapeos/precedencias documentales de la v1.3.</x:t>
  </x:si>
  <x:si>
    <x:t xml:space="preserve">Conservar como propuesta complementaria: precedencia TC vs CMF, campos TC y mapeos/mora CMF, adaptados al motor C×K×D.</x:t>
  </x:si>
  <x:si>
    <x:t xml:space="preserve">Confirmar qué reglas del Anexo transversal continúan vigentes.</x:t>
  </x:si>
  <x:si>
    <x:t xml:space="preserve">Se confirman vigentes las definiciones documentales TC/CMF que se detallan en las filas 74–82. Para TC, el estado de cuenta conserva prioridad por su mayor granularidad y se mantienen los mapeos de saldo actual, saldo inicial/deuda total y último pago. Para deudas no-TC, el Informe CMF se mantiene como fuente documental principal, con sus mapeos y tratamiento de mora. La incorporación del Informe CMF fue una decisión conjunta Walvy–Kabeli para simplificar el parseo y la experiencia de carga; su evaluación financiera se expresa bajo P4. Ver FP-01 y FP-09.</x:t>
  </x:si>
  <x:si>
    <x:t xml:space="preserve">Home / ganador transversal</x:t>
  </x:si>
  <x:si>
    <x:t xml:space="preserve">M04-RGL-002/039 · 05_Condiciones_y_Limites</x:t>
  </x:si>
  <x:si>
    <x:t xml:space="preserve">La v1.3 podía leerse como si M04 determinara la prioridad final de Home.</x:t>
  </x:si>
  <x:si>
    <x:t xml:space="preserve">M04 produce candidato/estado; M03/Home/orquestación decide el ganador transversal.</x:t>
  </x:si>
  <x:si>
    <x:t xml:space="preserve">Ratificar frontera de orquestación.</x:t>
  </x:si>
  <x:si>
    <x:t xml:space="preserve">Se valida la frontera M04/M03. Home ya estaba definido como superficie consumidora con una acción dominante y la capa Backend de orquestación se dejó para cierre progresivo a medida que cada módulo precisara sus propias señales y recomendaciones. Con M04 ya aterrizado, el módulo primero resuelve su prioridad local y produce un único m04_local_top_candidate; M03/Home recibe ese candidato junto con los de otros módulos y resuelve la prioridad transversal y la superficie ganadora. Así, M04 conserva el gobierno de sus señales y M03 conserva la orquestación global. Ver FP-10 y FP-11.</x:t>
  </x:si>
  <x:si>
    <x:t xml:space="preserve">Reconciliación detallada de reglas Kabeli v1.3 contra contrato cliente</x:t>
  </x:si>
  <x:si>
    <x:t xml:space="preserve">ID Kabeli</x:t>
  </x:si>
  <x:si>
    <x:t xml:space="preserve">Regla / definición Kabeli</x:t>
  </x:si>
  <x:si>
    <x:t xml:space="preserve">HU relacionadas</x:t>
  </x:si>
  <x:si>
    <x:t xml:space="preserve">Variantes relacionadas</x:t>
  </x:si>
  <x:si>
    <x:t xml:space="preserve">Referencia cliente / P4</x:t>
  </x:si>
  <x:si>
    <x:t xml:space="preserve">Tratamiento propuesto</x:t>
  </x:si>
  <x:si>
    <x:t xml:space="preserve">Definición reconciliada propuesta</x:t>
  </x:si>
  <x:si>
    <x:t xml:space="preserve">Fuente Kabeli</x:t>
  </x:si>
  <x:si>
    <x:t xml:space="preserve">M4-RN-001</x:t>
  </x:si>
  <x:si>
    <x:t xml:space="preserve">Superficies consumidoras</x:t>
  </x:si>
  <x:si>
    <x:t xml:space="preserve">M4-HU-001, M4-HU-014</x:t>
  </x:si>
  <x:si>
    <x:t xml:space="preserve">M4-V01, M4-V07</x:t>
  </x:si>
  <x:si>
    <x:t xml:space="preserve">Cubierta por contrato cliente</x:t>
  </x:si>
  <x:si>
    <x:t xml:space="preserve">Perfil y Home consumen/proyectan estados M04; no recalculan el módulo ni ejecutan una lógica paralela.</x:t>
  </x:si>
  <x:si>
    <x:t xml:space="preserve">Ratificar contrato cliente como rector; no duplicar RN Kabeli.</x:t>
  </x:si>
  <x:si>
    <x:t xml:space="preserve">Se valida que Perfil y Home consuman estados/resultados producidos por M04. La precisión posterior de orquestación distribuye responsabilidades entre módulo productor y superficie consumidora, manteniendo una única fuente para la lógica financiera M04. Ver FP-10.</x:t>
  </x:si>
  <x:si>
    <x:t xml:space="preserve">M4-RN-002</x:t>
  </x:si>
  <x:si>
    <x:t xml:space="preserve">Home prioriza deuda solo si domina</x:t>
  </x:si>
  <x:si>
    <x:t xml:space="preserve">M4-HU-002, M4-HU-014</x:t>
  </x:si>
  <x:si>
    <x:t xml:space="preserve">M4-V08, M4-V09</x:t>
  </x:si>
  <x:si>
    <x:t xml:space="preserve">Cubierta con precisión adicional del cliente</x:t>
  </x:si>
  <x:si>
    <x:t xml:space="preserve">M04 produce candidatos/estados normalizados; Home no recalcula y la selección del ganador global queda fuera de M04.</x:t>
  </x:si>
  <x:si>
    <x:t xml:space="preserve">Aceptar precisión de ownership/orquestación del cliente.</x:t>
  </x:si>
  <x:si>
    <x:t xml:space="preserve">Se valida el principio de una acción dominante en Home. La precisión actual separa la selección local del módulo de la competencia transversal en M03, dejando determinado qué responsabilidad corresponde a cada capa. Ver FP-10 y FP-11.</x:t>
  </x:si>
  <x:si>
    <x:t xml:space="preserve">M4-RN-003</x:t>
  </x:si>
  <x:si>
    <x:t xml:space="preserve">Onboarding reutilizable</x:t>
  </x:si>
  <x:si>
    <x:t xml:space="preserve">M4-HU-001, M4-HU-002, M4-HU-007</x:t>
  </x:si>
  <x:si>
    <x:t xml:space="preserve">M4-V02, M4-V10</x:t>
  </x:si>
  <x:si>
    <x:t xml:space="preserve">Onboarding es ruta guiada reutilizable; datos persistidos confirmados y suficientes pueden reutilizarse sin repetirlo.</x:t>
  </x:si>
  <x:si>
    <x:t xml:space="preserve">Ratificar contrato cliente como rector.</x:t>
  </x:si>
  <x:si>
    <x:t xml:space="preserve">Se mantiene Onboarding de Deudas como ruta reutilizable de captura y completitud. Cuando existen datos confirmados y suficientes, el flujo puede continuar desde el estado ya alcanzado sin repetir la captura completa.</x:t>
  </x:si>
  <x:si>
    <x:t xml:space="preserve">M4-RN-004</x:t>
  </x:si>
  <x:si>
    <x:t xml:space="preserve">Gate Ruta Despeje completa</x:t>
  </x:si>
  <x:si>
    <x:t xml:space="preserve">M4-HU-001, M4-HU-002, M4-HU-007, M4-HU-011, M4-HU-013, M4-HU-014, M4-HU-024, M4-HU-025, M4-HU-027</x:t>
  </x:si>
  <x:si>
    <x:t xml:space="preserve">M4-V04, M4-V07, M4-V09, M4-V14, M4-V38, M4-V41, M4-V43, M4-V50, M4-V55, M4-V56, M4-V57</x:t>
  </x:si>
  <x:si>
    <x:t xml:space="preserve">M04-RGL-014; P4-CNT-018; P4-CNT-019</x:t>
  </x:si>
  <x:si>
    <x:t xml:space="preserve">Reemplazada por definición cliente</x:t>
  </x:si>
  <x:si>
    <x:t xml:space="preserve">Elegibilidad = deuda confirmada + datos mínimos + Presión final=Riesgo. El gate deja Ruta elegible; la activación ocurre después por evento canónico.</x:t>
  </x:si>
  <x:si>
    <x:t xml:space="preserve">Aprobar reemplazo y retirar redacción anterior que equiparaba gate con Ruta completa.</x:t>
  </x:si>
  <x:si>
    <x:t xml:space="preserve">Se valida la definición vigente. La documentación previa asociaba el gate con Ruta activa; la precisión posterior separa disponibilidad/elegibilidad de la decisión del usuario de comenzar a seguir el plan. El primer Seguir plan válido queda como evento de activación. Ver FP-03.</x:t>
  </x:si>
  <x:si>
    <x:t xml:space="preserve">M4-RN-005</x:t>
  </x:si>
  <x:si>
    <x:t xml:space="preserve">Deuda no confirmada no impacta Salud</x:t>
  </x:si>
  <x:si>
    <x:t xml:space="preserve">M4-HU-001, M4-HU-002, M4-HU-005, M4-HU-007, M4-HU-010, M4-HU-013, M4-HU-014, M4-HU-027</x:t>
  </x:si>
  <x:si>
    <x:t xml:space="preserve">M4-V03, M4-V10, M4-V17, M4-V18, M4-V33, M4-V39, M4-V55</x:t>
  </x:si>
  <x:si>
    <x:t xml:space="preserve">M04-RGL-006; M04-RGL-007; P4-CNT-016</x:t>
  </x:si>
  <x:si>
    <x:t xml:space="preserve">Deuda no confirmada no activa Ruta; No corresponde se excluye de cálculos/lectura preservando provenance.</x:t>
  </x:si>
  <x:si>
    <x:t xml:space="preserve">Aceptar contrato cliente como rector.</x:t>
  </x:si>
  <x:si>
    <x:t xml:space="preserve">Se mantiene el control de confirmación: una deuda no confirmada permanece fuera de conclusiones fuertes y de la habilitación de Ruta. El estado No corresponde excluye el objeto de la evaluación conservando su trazabilidad.</x:t>
  </x:si>
  <x:si>
    <x:t xml:space="preserve">M4-RN-006</x:t>
  </x:si>
  <x:si>
    <x:t xml:space="preserve">Datos mínimos por uso</x:t>
  </x:si>
  <x:si>
    <x:t xml:space="preserve">M4-HU-001, M4-HU-002, M4-HU-003, M4-HU-004, M4-HU-005, M4-HU-006, M4-HU-007, M4-HU-014, M4-HU-019, M4-HU-024</x:t>
  </x:si>
  <x:si>
    <x:t xml:space="preserve">M4-V02, M4-V04, M4-V11, M4-V23, M4-V24, M4-V25, M4-V26, M4-V28, M4-V56, M4-V68</x:t>
  </x:si>
  <x:si>
    <x:t xml:space="preserve">M04-RGL-012; P4-CNT-001; P4-CNT-018</x:t>
  </x:si>
  <x:si>
    <x:t xml:space="preserve">Faltantes materiales bloquean conclusiones favorables; los mínimos habilitan elegibilidad, pero no activación.</x:t>
  </x:si>
  <x:si>
    <x:t xml:space="preserve">Aceptar precisión de quality gate y elegibilidad.</x:t>
  </x:si>
  <x:si>
    <x:t xml:space="preserve">Se valida la precisión de datos mínimos por uso. La definición vigente especifica qué nivel de completitud habilita cada lectura y mantiene separadas elegibilidad y activación, dejando el comportamiento determinado para implementación. Ver FP-01 y FP-03.</x:t>
  </x:si>
  <x:si>
    <x:t xml:space="preserve">M4-RN-007</x:t>
  </x:si>
  <x:si>
    <x:t xml:space="preserve">Registro pendiente permitido</x:t>
  </x:si>
  <x:si>
    <x:t xml:space="preserve">M4-HU-003, M4-HU-007</x:t>
  </x:si>
  <x:si>
    <x:t xml:space="preserve">M4-V15, M4-V24</x:t>
  </x:si>
  <x:si>
    <x:t xml:space="preserve">Una deuda incompleta puede persistir pendiente sin habilitar conclusiones fuertes ni Ruta completa.</x:t>
  </x:si>
  <x:si>
    <x:t xml:space="preserve">Ratificar contrato cliente.</x:t>
  </x:si>
  <x:si>
    <x:t xml:space="preserve">Se mantiene la posibilidad de persistir una deuda incompleta como pendiente. La evaluación fuerte, el cronograma y la Ruta completa se habilitan cuando la información requerida alcanza suficiencia.</x:t>
  </x:si>
  <x:si>
    <x:t xml:space="preserve">M4-RN-008</x:t>
  </x:si>
  <x:si>
    <x:t xml:space="preserve">Clave solo si documento protegido</x:t>
  </x:si>
  <x:si>
    <x:t xml:space="preserve">M4-HU-006</x:t>
  </x:si>
  <x:si>
    <x:t xml:space="preserve">M4-V19, M4-V20</x:t>
  </x:si>
  <x:si>
    <x:t xml:space="preserve">La contraseña se solicita solo para documento detectado como protegido.</x:t>
  </x:si>
  <x:si>
    <x:t xml:space="preserve">Se mantiene la regla de solicitar contraseña únicamente cuando el documento está efectivamente protegido, evitando incorporar fricción adicional en los casos que no la requieren.</x:t>
  </x:si>
  <x:si>
    <x:t xml:space="preserve">M4-RN-009</x:t>
  </x:si>
  <x:si>
    <x:t xml:space="preserve">Fallback documento protegido</x:t>
  </x:si>
  <x:si>
    <x:t xml:space="preserve">M4-V21, M4-V22</x:t>
  </x:si>
  <x:si>
    <x:t xml:space="preserve">Clave incorrecta/no disponible debe mantener salida recuperable y alternativa.</x:t>
  </x:si>
  <x:si>
    <x:t xml:space="preserve">Se mantiene un fallback recuperable para documentos protegidos o no procesables —reintento, otro documento o carga manual— de manera que una incidencia documental no interrumpa todo el flujo.</x:t>
  </x:si>
  <x:si>
    <x:t xml:space="preserve">M4-RN-010</x:t>
  </x:si>
  <x:si>
    <x:t xml:space="preserve">Carga manual es variante</x:t>
  </x:si>
  <x:si>
    <x:t xml:space="preserve">M4-HU-003, M4-HU-004</x:t>
  </x:si>
  <x:si>
    <x:t xml:space="preserve">M4-V15, M4-V16</x:t>
  </x:si>
  <x:si>
    <x:t xml:space="preserve">M04-RGL-003; M04-RGL-005; 01_Matriz_Trazabilidad OD-01/OD-02</x:t>
  </x:si>
  <x:si>
    <x:t xml:space="preserve">La captura manual vive dentro del onboarding/materialización definida; no crea un flujo paralelo.</x:t>
  </x:si>
  <x:si>
    <x:t xml:space="preserve">Mantener materialización del cliente.</x:t>
  </x:si>
  <x:si>
    <x:t xml:space="preserve">Se valida la carga manual como variante del Onboarding. La reconciliación mantiene su función de completar/corregir información dentro del mismo recorrido, sin crear un proceso funcional separado.</x:t>
  </x:si>
  <x:si>
    <x:t xml:space="preserve">M4-RN-011</x:t>
  </x:si>
  <x:si>
    <x:t xml:space="preserve">Deuda informal sin estigma</x:t>
  </x:si>
  <x:si>
    <x:t xml:space="preserve">M4-HU-004, M4-HU-007</x:t>
  </x:si>
  <x:si>
    <x:t xml:space="preserve">M4-V16, M4-V28</x:t>
  </x:si>
  <x:si>
    <x:t xml:space="preserve">Deuda formal, préstamo personal o compromiso informal se captura con lenguaje no estigmatizante y sin conclusiones fuertes si está incompleta.</x:t>
  </x:si>
  <x:si>
    <x:t xml:space="preserve">Se mantiene la deuda informal como compromiso financiero válido, con lenguaje no estigmatizante y sujeta a los mismos controles de confirmación, suficiencia y trazabilidad.</x:t>
  </x:si>
  <x:si>
    <x:t xml:space="preserve">M4-RN-012</x:t>
  </x:si>
  <x:si>
    <x:t xml:space="preserve">Confirmación individual en lote</x:t>
  </x:si>
  <x:si>
    <x:t xml:space="preserve">M4-HU-002, M4-HU-005, M4-HU-009</x:t>
  </x:si>
  <x:si>
    <x:t xml:space="preserve">M4-V12, M4-V17, M4-V30</x:t>
  </x:si>
  <x:si>
    <x:t xml:space="preserve">Lotes/múltiples deudas permanecen pendientes hasta revisión de cada elemento relevante; registro no equivale a confirmación.</x:t>
  </x:si>
  <x:si>
    <x:t xml:space="preserve">Se mantiene la revisión individual de las deudas relevantes detectadas o cargadas en lote antes de consolidarlas como confirmadas.</x:t>
  </x:si>
  <x:si>
    <x:t xml:space="preserve">M4-RN-013</x:t>
  </x:si>
  <x:si>
    <x:t xml:space="preserve">Duplicados no se consolidan automáticamente</x:t>
  </x:si>
  <x:si>
    <x:t xml:space="preserve">M4-HU-008</x:t>
  </x:si>
  <x:si>
    <x:t xml:space="preserve">M4-V29</x:t>
  </x:si>
  <x:si>
    <x:t xml:space="preserve">M04-RGL-008; P4-CNT-024</x:t>
  </x:si>
  <x:si>
    <x:t xml:space="preserve">Posibles duplicados requieren revisión; no se fusionan automáticamente y debe conservarse provenance/dedupe.</x:t>
  </x:si>
  <x:si>
    <x:t xml:space="preserve">Aceptar precisión P4.</x:t>
  </x:si>
  <x:si>
    <x:t xml:space="preserve">Se valida el tratamiento de posibles duplicados mediante revisión y evidencia suficiente, preservando el origen de los datos antes de cualquier consolidación.</x:t>
  </x:si>
  <x:si>
    <x:t xml:space="preserve">M4-RN-014</x:t>
  </x:si>
  <x:si>
    <x:t xml:space="preserve">No corresponde excluye diagnóstico</x:t>
  </x:si>
  <x:si>
    <x:t xml:space="preserve">M4-HU-001, M4-HU-005, M4-HU-007, M4-HU-010</x:t>
  </x:si>
  <x:si>
    <x:t xml:space="preserve">M4-V03, M4-V18, M4-V31, M4-V32</x:t>
  </x:si>
  <x:si>
    <x:t xml:space="preserve">No corresponde excluye la deuda de cálculos/lectura sin borrar provenance mínima.</x:t>
  </x:si>
  <x:si>
    <x:t xml:space="preserve">Se valida que No corresponde retire la deuda de cálculos y decisiones vigentes conservando la trazabilidad histórica necesaria.</x:t>
  </x:si>
  <x:si>
    <x:t xml:space="preserve">M4-RN-015</x:t>
  </x:si>
  <x:si>
    <x:t xml:space="preserve">Origen/confianza/vigencia</x:t>
  </x:si>
  <x:si>
    <x:t xml:space="preserve">M4-HU-007, M4-HU-017, M4-HU-019, M4-HU-024</x:t>
  </x:si>
  <x:si>
    <x:t xml:space="preserve">M4-V27, M4-V35, M4-V63, M4-V69</x:t>
  </x:si>
  <x:si>
    <x:t xml:space="preserve">M04-RGL-013; P4-CNT-001; P4-CNT-024</x:t>
  </x:si>
  <x:si>
    <x:t xml:space="preserve">Vigencia, confianza, suficiencia y provenance condicionan la fuerza de la conclusión.</x:t>
  </x:si>
  <x:si>
    <x:t xml:space="preserve">Se valida que origen, confianza, vigencia y suficiencia condicionen la fuerza de la conclusión. La precisión actual integra estos elementos de forma explícita en el quality gate. Ver FP-01.</x:t>
  </x:si>
  <x:si>
    <x:t xml:space="preserve">M4-RN-016</x:t>
  </x:si>
  <x:si>
    <x:t xml:space="preserve">Dato crítico desactualizado bloquea</x:t>
  </x:si>
  <x:si>
    <x:t xml:space="preserve">M4-HU-007, M4-HU-024</x:t>
  </x:si>
  <x:si>
    <x:t xml:space="preserve">M4-V27</x:t>
  </x:si>
  <x:si>
    <x:t xml:space="preserve">M04-RGL-013; P4-CNT-001</x:t>
  </x:si>
  <x:si>
    <x:t xml:space="preserve">Dato crítico no vigente degrada o bloquea según impacto; no se fabrica una conclusión favorable.</x:t>
  </x:si>
  <x:si>
    <x:t xml:space="preserve">Aceptar quality gate del cliente.</x:t>
  </x:si>
  <x:si>
    <x:t xml:space="preserve">Se valida que un dato crítico desactualizado degrade o bloquee la conclusión según su impacto. Esta precisión hace operativo el control de calidad que ya estaba contemplado.</x:t>
  </x:si>
  <x:si>
    <x:t xml:space="preserve">M4-RN-017</x:t>
  </x:si>
  <x:si>
    <x:t xml:space="preserve">Escala S0-S4</x:t>
  </x:si>
  <x:si>
    <x:t xml:space="preserve">M4-HU-001, M4-HU-007, M4-HU-011, M4-HU-012, M4-HU-013, M4-HU-014, M4-HU-022, M4-HU-026</x:t>
  </x:si>
  <x:si>
    <x:t xml:space="preserve">M4-V05, M4-V06, M4-V26, M4-V33, M4-V36, M4-V37, M4-V38, M4-V47, M4-V48, M4-V51, M4-V52, M4-V78</x:t>
  </x:si>
  <x:si>
    <x:t xml:space="preserve">M04-RGL-015; M04-RGL-038; P4-CNT-007; P4-CNT-016</x:t>
  </x:si>
  <x:si>
    <x:t xml:space="preserve">S0–S4 deja de operar como motor financiero. Presión se calcula por C×K×D; Salud se evalúa por contrato independiente.</x:t>
  </x:si>
  <x:si>
    <x:t xml:space="preserve">Aprobar supersesión y eliminar S0–S4 como motor de la matriz final.</x:t>
  </x:si>
  <x:si>
    <x:t xml:space="preserve">Se valida el reemplazo S0–S4 → P4 como contrato rector. La precisión fue necesaria para combinar de manera reproducible calidad, Carga, Capacidad y Deterioro y dejar determinada desde Producto la lógica de clasificación. Este es el ajuste rector del que derivan las filas que posteriormente traducen estados S a D/floors P4. El objetivo funcional de leer presión financiera se mantiene. Ver FP-01.</x:t>
  </x:si>
  <x:si>
    <x:t xml:space="preserve">M4-RN-018</x:t>
  </x:si>
  <x:si>
    <x:t xml:space="preserve">Severidad no reemplaza gate</x:t>
  </x:si>
  <x:si>
    <x:t xml:space="preserve">M4-HU-001, M4-HU-011, M4-HU-013, M4-HU-014, M4-HU-024</x:t>
  </x:si>
  <x:si>
    <x:t xml:space="preserve">M4-V06, M4-V37, M4-V86</x:t>
  </x:si>
  <x:si>
    <x:t xml:space="preserve">M04-RGL-014; M04-RGL-015; P4-CNT-001; P4-CNT-018</x:t>
  </x:si>
  <x:si>
    <x:t xml:space="preserve">Ninguna banda financiera elimina quality/confirmación/datos mínimos; elegibilidad y activación son estados separados.</x:t>
  </x:si>
  <x:si>
    <x:t xml:space="preserve">Reformular sin referencia a severidad S3/S4.</x:t>
  </x:si>
  <x:si>
    <x:t xml:space="preserve">Se aprueba la reformulación sin referencia a severidad S3/S4. La regla vigente mantiene confirmación, suficiencia y gating como condiciones independientes del motor financiero. El retiro de S3/S4 deriva del ajuste rector S0–S4 → P4, y la separación entre elegibilidad y activación se rige por el lifecycle vigente. Ver FP-01 y FP-03.</x:t>
  </x:si>
  <x:si>
    <x:t xml:space="preserve">M4-RN-019</x:t>
  </x:si>
  <x:si>
    <x:t xml:space="preserve">Deuda con deuda</x:t>
  </x:si>
  <x:si>
    <x:t xml:space="preserve">M4-HU-013, M4-HU-014, M4-HU-027</x:t>
  </x:si>
  <x:si>
    <x:t xml:space="preserve">M4-V39, M4-V40, M4-V41, M4-V44</x:t>
  </x:si>
  <x:si>
    <x:t xml:space="preserve">M04-RGL-020; P4-CNT-009; P4-CNT-010</x:t>
  </x:si>
  <x:si>
    <x:t xml:space="preserve">Deuda→deuda exige causalidad; K1 aplica floor Atención, K0 floor Riesgo; 2+ ciclos adversos comparables → Riesgo estructural.</x:t>
  </x:si>
  <x:si>
    <x:t xml:space="preserve">Aprobar mapping causal/recurrencia cliente.</x:t>
  </x:si>
  <x:si>
    <x:t xml:space="preserve">Se aprueba el mapping vigente de causalidad y recurrencia. Deuda→deuda ya estaba contemplada en SD-014, que permanecía En definición; la precisión actual cierra evidencia causal, K y recurrencia para resolver la regla de forma determinista. Como consecuencia del ajuste rector S0–S4 → P4, su efecto se expresa mediante K/floors. Ver FP-01 y FP-06.</x:t>
  </x:si>
  <x:si>
    <x:t xml:space="preserve">M4-RN-020</x:t>
  </x:si>
  <x:si>
    <x:t xml:space="preserve">Avance de efectivo/liquidez</x:t>
  </x:si>
  <x:si>
    <x:t xml:space="preserve">M4-HU-012, M4-HU-013, M4-HU-014, M4-HU-027</x:t>
  </x:si>
  <x:si>
    <x:t xml:space="preserve">M4-V42, M4-V43, M4-V44</x:t>
  </x:si>
  <x:si>
    <x:t xml:space="preserve">M04-RGL-021; P4-CNT-011; P4-CNT-012; P4-CNT-013</x:t>
  </x:si>
  <x:si>
    <x:t xml:space="preserve">Liquidez financiada se interpreta por finalidad y recurrencia; gasto ordinario puede aplicar Atención y 2+ ciclos qualifying → Riesgo.</x:t>
  </x:si>
  <x:si>
    <x:t xml:space="preserve">Aprobar reemplazo de escalamiento S2/S3/S4.</x:t>
  </x:si>
  <x:si>
    <x:t xml:space="preserve">Se aprueba el reemplazo del escalamiento S2/S3/S4 por la regla vigente de finalidad, K y recurrencia. SD-015 ya contemplaba avance/crédito para liquidez y permanecía En definición; la precisión actual distingue además los casos en que el destino todavía no puede determinarse. Los floors P4 son la aplicación del ajuste rector S0–S4 → P4 a esta regla. Ver FP-01 y FP-06.</x:t>
  </x:si>
  <x:si>
    <x:t xml:space="preserve">M4-RN-021</x:t>
  </x:si>
  <x:si>
    <x:t xml:space="preserve">Vencimiento crítico condicionado</x:t>
  </x:si>
  <x:si>
    <x:t xml:space="preserve">M4-HU-002, M4-HU-013, M4-HU-014, M4-HU-025</x:t>
  </x:si>
  <x:si>
    <x:t xml:space="preserve">M4-V13, M4-V14, M4-V49, M4-V50</x:t>
  </x:si>
  <x:si>
    <x:t xml:space="preserve">M04-RGL-016; P4-CNT-006; P4-CNT-017</x:t>
  </x:si>
  <x:si>
    <x:t xml:space="preserve">Vencimiento simple con capacidad permanece en M06/Pagos-Alertas; aging/deterioro alimentan Salud/Presión según ownership.</x:t>
  </x:si>
  <x:si>
    <x:t xml:space="preserve">Aceptar frontera M04↔M06.</x:t>
  </x:si>
  <x:si>
    <x:t xml:space="preserve">Se valida la frontera funcional: un vencimiento simple con capacidad permanece en Pagos/Alertas, mientras M04 consume deterioro/aging cuando corresponde. La precisión posterior hace explícito a M06 como owner operacional. Ver FP-07.</x:t>
  </x:si>
  <x:si>
    <x:t xml:space="preserve">M4-RN-022</x:t>
  </x:si>
  <x:si>
    <x:t xml:space="preserve">Muchas cuotas no basta</x:t>
  </x:si>
  <x:si>
    <x:t xml:space="preserve">M4-HU-013, M4-HU-014, M4-HU-026</x:t>
  </x:si>
  <x:si>
    <x:t xml:space="preserve">M4-V45, M4-V46, M4-V47, M4-V48</x:t>
  </x:si>
  <x:si>
    <x:t xml:space="preserve">M04-RGL-022; P4-CNT-014</x:t>
  </x:si>
  <x:si>
    <x:t xml:space="preserve">Muchas cuotas es detector contextual; no crea floor propio ni activa Ruta por sí sola.</x:t>
  </x:si>
  <x:si>
    <x:t xml:space="preserve">Se mantiene muchas cuotas como señal preventiva/contextual. La definición vigente reserva cualquier efecto sobre Ruta o Presión para la composición de señales que corresponda.</x:t>
  </x:si>
  <x:si>
    <x:t xml:space="preserve">M4-RN-023</x:t>
  </x:si>
  <x:si>
    <x:t xml:space="preserve">Umbral inicial muchas cuotas</x:t>
  </x:si>
  <x:si>
    <x:t xml:space="preserve">M4-HU-013, M4-HU-026</x:t>
  </x:si>
  <x:si>
    <x:t xml:space="preserve">M4-V45, M4-V46</x:t>
  </x:si>
  <x:si>
    <x:t xml:space="preserve">Detector inicial: count&gt;=4 y ratio agregado&gt;=8% del ingreso, parametrizable/versionable.</x:t>
  </x:si>
  <x:si>
    <x:t xml:space="preserve">Ratificar parámetros cliente.</x:t>
  </x:si>
  <x:si>
    <x:t xml:space="preserve">Se ratifican los parámetros vigentes de 4 cuotas y 8%, configurables y versionables. La documentación rectora marcaba esta regla como Requiere umbral; estos parámetros completan el punto cuantitativo necesario para su implementación.</x:t>
  </x:si>
  <x:si>
    <x:t xml:space="preserve">M4-RN-024</x:t>
  </x:si>
  <x:si>
    <x:t xml:space="preserve">Buffer operacional</x:t>
  </x:si>
  <x:si>
    <x:t xml:space="preserve">M4-HU-018</x:t>
  </x:si>
  <x:si>
    <x:t xml:space="preserve">M4-V64, M4-V65</x:t>
  </x:si>
  <x:si>
    <x:t xml:space="preserve">M04-RGL-024; P4-CNT-022</x:t>
  </x:si>
  <x:si>
    <x:t xml:space="preserve">Se mantiene el principio prudencial, pero la fórmula max(piso, ingreso×5%) deja de ser vigente; M05 es owner del outcome prudencial.</x:t>
  </x:si>
  <x:si>
    <x:t xml:space="preserve">Aprobar retiro de fórmula 5%/piso de M04.</x:t>
  </x:si>
  <x:si>
    <x:t xml:space="preserve">Se valida el ajuste de cálculo: el buffer local M04 deja de gobernar la sostenibilidad y M05 produce el outcome prudencial. La precisión mantiene el objetivo de proteger el margen del usuario con una única fuente de decisión. Ver FP-04.</x:t>
  </x:si>
  <x:si>
    <x:t xml:space="preserve">M4-RN-025</x:t>
  </x:si>
  <x:si>
    <x:t xml:space="preserve">M4-V46</x:t>
  </x:si>
  <x:si>
    <x:t xml:space="preserve">M04-RGL-023; P4-CNT-004; P4-CNT-005</x:t>
  </x:si>
  <x:si>
    <x:t xml:space="preserve">Holgura/capacidad se gobierna por K a partir del headroom M05; no existe floor local de 5% en M04.</x:t>
  </x:si>
  <x:si>
    <x:t xml:space="preserve">Aprobar reemplazo por K.</x:t>
  </x:si>
  <x:si>
    <x:t xml:space="preserve">Se valida el reemplazo del floor local de holgura/5% por la lectura K basada en headroom M05. La precisión ordena el cálculo alrededor de una fuente canónica manteniendo el objetivo funcional. Ver FP-04.</x:t>
  </x:si>
  <x:si>
    <x:t xml:space="preserve">M4-RN-026</x:t>
  </x:si>
  <x:si>
    <x:t xml:space="preserve">M4-V64</x:t>
  </x:si>
  <x:si>
    <x:t xml:space="preserve">M04-RGL-025; P4-CNT-004</x:t>
  </x:si>
  <x:si>
    <x:t xml:space="preserve">M04 consume headroom/capacidad residual canónica M05; no recalcula ingreso-gastos-obligaciones como presupuesto paralelo.</x:t>
  </x:si>
  <x:si>
    <x:t xml:space="preserve">Aprobar ownership M05.</x:t>
  </x:si>
  <x:si>
    <x:t xml:space="preserve">Se valida que M04 consuma el headroom canónico M05 en lugar de reconstruir espacio disponible como presupuesto paralelo. Esta precisión alinea el cálculo con el ownership definido entre módulos. Ver FP-04 y FP-15.</x:t>
  </x:si>
  <x:si>
    <x:t xml:space="preserve">M4-RN-027</x:t>
  </x:si>
  <x:si>
    <x:t xml:space="preserve">Pago adicional sostenible</x:t>
  </x:si>
  <x:si>
    <x:t xml:space="preserve">M4-HU-018, M4-HU-019</x:t>
  </x:si>
  <x:si>
    <x:t xml:space="preserve">M4-V64, M4-V66, M4-V70</x:t>
  </x:si>
  <x:si>
    <x:t xml:space="preserve">M04-RGL-026; P4-CNT-022</x:t>
  </x:si>
  <x:si>
    <x:t xml:space="preserve">Un aporte solo puede calificarse sostenible con outcome prudencial M05 e inputs suficientes; si no, es simulación referencial.</x:t>
  </x:si>
  <x:si>
    <x:t xml:space="preserve">Retirar fórmula local de pago adicional.</x:t>
  </x:si>
  <x:si>
    <x:t xml:space="preserve">Se valida que la sostenibilidad del aporte dependa del outcome prudencial M05. El Anexo BDD contenía una fórmula M04 cerrada; la definición actual la reemplaza para concentrar esa decisión en M05, manteniendo el propósito de proteger el cierre del mes. Ver FP-04.</x:t>
  </x:si>
  <x:si>
    <x:t xml:space="preserve">M4-RN-028</x:t>
  </x:si>
  <x:si>
    <x:t xml:space="preserve">M4-HU-017</x:t>
  </x:si>
  <x:si>
    <x:t xml:space="preserve">M4-V61</x:t>
  </x:si>
  <x:si>
    <x:t xml:space="preserve">Capacidad recuperable/liberable se basa en compromisos/cargos recurrentes confirmados asociados a la deuda.</x:t>
  </x:si>
  <x:si>
    <x:t xml:space="preserve">Se mantiene capacidad recuperable/liberada ligada a un compromiso mensual recurrente confirmado que desaparece o disminuye al cerrar/reducir deuda. Su uso sigue siendo informativo y de planificación.</x:t>
  </x:si>
  <x:si>
    <x:t xml:space="preserve">M4-RN-029</x:t>
  </x:si>
  <x:si>
    <x:t xml:space="preserve">Capacidad solo con dato confirmado</x:t>
  </x:si>
  <x:si>
    <x:t xml:space="preserve">M4-HU-017, M4-HU-024</x:t>
  </x:si>
  <x:si>
    <x:t xml:space="preserve">M4-V61, M4-V62, M4-V63</x:t>
  </x:si>
  <x:si>
    <x:t xml:space="preserve">M04-RGL-027; P4-CNT-001</x:t>
  </x:si>
  <x:si>
    <x:t xml:space="preserve">No afirmar monto fuerte sin recurrencia/confirmación/calidad suficiente; usar representación cualitativa/oculta cuando corresponda.</x:t>
  </x:si>
  <x:si>
    <x:t xml:space="preserve">Aceptar quality gate.</x:t>
  </x:si>
  <x:si>
    <x:t xml:space="preserve">Se valida que cualquier monto fuerte requiera recurrencia, confirmación, vigencia y confianza suficientes. La precisión fortalece la trazabilidad y la calidad de la estimación.</x:t>
  </x:si>
  <x:si>
    <x:t xml:space="preserve">M4-RN-030</x:t>
  </x:si>
  <x:si>
    <x:t xml:space="preserve">Estimaciones no promesas</x:t>
  </x:si>
  <x:si>
    <x:t xml:space="preserve">M4-HU-015, M4-HU-017, M4-HU-018, M4-HU-019</x:t>
  </x:si>
  <x:si>
    <x:t xml:space="preserve">M4-V58, M4-V61, M4-V64, M4-V66, M4-V67, M4-V70, M4-V71, M4-V73</x:t>
  </x:si>
  <x:si>
    <x:t xml:space="preserve">M04-RGL-027; M04-RGL-031; M04-RGL-032; P4-CNT-021; P4-CNT-022</x:t>
  </x:si>
  <x:si>
    <x:t xml:space="preserve">Capacidad, aporte y cronograma son estimaciones/simulaciones; no garantizan ahorro, sostenibilidad ni ejecución.</x:t>
  </x:si>
  <x:si>
    <x:t xml:space="preserve">Ratificar guardrail cliente.</x:t>
  </x:si>
  <x:si>
    <x:t xml:space="preserve">Se mantiene el carácter estimado y condicionado de cronograma, aporte, capacidad liberada y simulación, junto con la ausencia de movimientos automáticos asociados.</x:t>
  </x:si>
  <x:si>
    <x:t xml:space="preserve">M4-RN-031</x:t>
  </x:si>
  <x:si>
    <x:t xml:space="preserve">Vista agrupada no consolida</x:t>
  </x:si>
  <x:si>
    <x:t xml:space="preserve">M4-HU-020</x:t>
  </x:si>
  <x:si>
    <x:t xml:space="preserve">M4-V72</x:t>
  </x:si>
  <x:si>
    <x:t xml:space="preserve">M04-RGL-028; M04-RGL-036</x:t>
  </x:si>
  <x:si>
    <x:t xml:space="preserve">La agrupación/priorización funcional no constituye consolidación financiera ni refinanciamiento.</x:t>
  </x:si>
  <x:si>
    <x:t xml:space="preserve">Se mantiene la vista agrupada como representación de deudas y prioridades dentro de Ruta, diferenciada de consolidación financiera, refinanciamiento o un producto bancario.</x:t>
  </x:si>
  <x:si>
    <x:t xml:space="preserve">M4-RN-032</x:t>
  </x:si>
  <x:si>
    <x:t xml:space="preserve">Cierre confirmado</x:t>
  </x:si>
  <x:si>
    <x:t xml:space="preserve">M4-HU-021</x:t>
  </x:si>
  <x:si>
    <x:t xml:space="preserve">M4-V74, M4-V75</x:t>
  </x:si>
  <x:si>
    <x:t xml:space="preserve">M04-RGL-034; P4-CNT-023</x:t>
  </x:si>
  <x:si>
    <x:t xml:space="preserve">Cierre requiere confirmación funcional; actualiza estado y gatilla recálculo, sin auto-cierre por mero pago.</x:t>
  </x:si>
  <x:si>
    <x:t xml:space="preserve">Aceptar lifecycle cliente.</x:t>
  </x:si>
  <x:si>
    <x:t xml:space="preserve">Se valida la secuencia de cierre: el avance al 100% genera posible cierre y requiere confirmación humana antes de actualizar estado y Ruta. Ver FP-14.</x:t>
  </x:si>
  <x:si>
    <x:t xml:space="preserve">M4-RN-033</x:t>
  </x:si>
  <x:si>
    <x:t xml:space="preserve">Transiciones controladas</x:t>
  </x:si>
  <x:si>
    <x:t xml:space="preserve">M4-HU-007, M4-HU-012, M4-HU-013, M4-HU-021, M4-HU-024</x:t>
  </x:si>
  <x:si>
    <x:t xml:space="preserve">M4-V25, M4-V34, M4-V53, M4-V75</x:t>
  </x:si>
  <x:si>
    <x:t xml:space="preserve">M04-RGL-006; M04-RGL-030; M04-RGL-033; P4-CNT-018; P4-CNT-019; P4-CNT-020</x:t>
  </x:si>
  <x:si>
    <x:t xml:space="preserve">Lifecycle canónico: no confirmada/pendiente → elegible → activa por primer Seguir plan válido → continuidad idempotente → cierre confirmado.</x:t>
  </x:si>
  <x:si>
    <x:t xml:space="preserve">Aprobar lifecycle cliente y retirar transición basada en S0–S4.</x:t>
  </x:si>
  <x:si>
    <x:t xml:space="preserve">Se valida el lifecycle vigente. La precisión principal separa elegibilidad de activación mediante Seguir plan; las demás transiciones mantienen controles de estado, confirmación y no automatización. Ver FP-03.</x:t>
  </x:si>
  <x:si>
    <x:t xml:space="preserve">M4-RN-034</x:t>
  </x:si>
  <x:si>
    <x:t xml:space="preserve">Tarjeta: pago total sano</x:t>
  </x:si>
  <x:si>
    <x:t xml:space="preserve">M4-HU-022</x:t>
  </x:si>
  <x:si>
    <x:t xml:space="preserve">M4-V76</x:t>
  </x:si>
  <x:si>
    <x:t xml:space="preserve">M04-RGL-041; P4-CNT-006; P4-CNT-015</x:t>
  </x:si>
  <x:si>
    <x:t xml:space="preserve">Pago total/ciclo regularizado = D0 por ese comportamiento; no genera deterioro por sí mismo.</x:t>
  </x:si>
  <x:si>
    <x:t xml:space="preserve">Aceptar mapping D cliente.</x:t>
  </x:si>
  <x:si>
    <x:t xml:space="preserve">Se valida la evaluación por ciclo: un total facturado regularizado dentro del ciclo queda sin deterioro por ese comportamiento. D0 expresa esa misma lectura dentro del contrato P4. Ver FP-08.</x:t>
  </x:si>
  <x:si>
    <x:t xml:space="preserve">M4-RN-035</x:t>
  </x:si>
  <x:si>
    <x:t xml:space="preserve">Tarjeta: pago mínimo recurrente</x:t>
  </x:si>
  <x:si>
    <x:t xml:space="preserve">M4-HU-014, M4-HU-022</x:t>
  </x:si>
  <x:si>
    <x:t xml:space="preserve">M4-V79</x:t>
  </x:si>
  <x:si>
    <x:t xml:space="preserve">Pago mínimo aislado = D1; recurrencia/persistencia confirmada = D2. Ya no clasifica S4.</x:t>
  </x:si>
  <x:si>
    <x:t xml:space="preserve">Aprobar reemplazo de S4 por D1/D2 + C×K×D.</x:t>
  </x:si>
  <x:si>
    <x:t xml:space="preserve">Se valida D1/D2 para mínimo/arrastre aislado versus recurrencia confirmada. Este mapping es una consecuencia directa del ajuste rector S0–S4 → P4: la evaluación por ciclo ya contemplada se mantiene, pero su resultado pasa a expresarse como Deterioro D0/D1/D2 para alimentar el nuevo motor. Ver FP-01 y FP-08.</x:t>
  </x:si>
  <x:si>
    <x:t xml:space="preserve">M4-RN-036</x:t>
  </x:si>
  <x:si>
    <x:t xml:space="preserve">Tarjeta: parcial pre-cierre</x:t>
  </x:si>
  <x:si>
    <x:t xml:space="preserve">M4-V77</x:t>
  </x:si>
  <x:si>
    <x:t xml:space="preserve">M04-RGL-041; P4-CNT-015</x:t>
  </x:si>
  <x:si>
    <x:t xml:space="preserve">Pago parcial pre-cierre no es concluyente; si regulariza el ciclo, D0.</x:t>
  </x:si>
  <x:si>
    <x:t xml:space="preserve">Se ratifica la regla vigente: un pago parcial pre-cierre no es concluyente; se espera la reconciliación del ciclo y, si posteriormente se regulariza, queda D0. SD-023 permanecía En definición y esta precisión cierra ese caso de forma determinista. Ver FP-08.</x:t>
  </x:si>
  <x:si>
    <x:t xml:space="preserve">M4-RN-037</x:t>
  </x:si>
  <x:si>
    <x:t xml:space="preserve">Cuotas al día son rigidez/seguimiento</x:t>
  </x:si>
  <x:si>
    <x:t xml:space="preserve">M4-HU-026</x:t>
  </x:si>
  <x:si>
    <x:t xml:space="preserve">M4-V45</x:t>
  </x:si>
  <x:si>
    <x:t xml:space="preserve">Cuotas al día = D0 por ese comportamiento; integran carga C cuando corresponda, sin activar Ruta por existir.</x:t>
  </x:si>
  <x:si>
    <x:t xml:space="preserve">Se mantiene el tratamiento de compras/cuotas al día como seguimiento/rigidez. Pueden integrar Carga cuando corresponda, mientras Deterioro y activación dependen de las señales adicionales aplicables.</x:t>
  </x:si>
  <x:si>
    <x:t xml:space="preserve">M4-RN-038</x:t>
  </x:si>
  <x:si>
    <x:t xml:space="preserve">Intereses/costos no aislados</x:t>
  </x:si>
  <x:si>
    <x:t xml:space="preserve">M4-HU-013, M4-HU-022</x:t>
  </x:si>
  <x:si>
    <x:t xml:space="preserve">M4-V84</x:t>
  </x:si>
  <x:si>
    <x:t xml:space="preserve">Costos ordinarios aislados son D0 por sí solos; deterioro requiere hechos reconciliados, no suma indiscriminada de señales.</x:t>
  </x:si>
  <x:si>
    <x:t xml:space="preserve">Aceptar mapping D/dedupe cliente.</x:t>
  </x:si>
  <x:si>
    <x:t xml:space="preserve">Se valida el dedupe de intereses/costos ordinarios: la clasificación requiere evidencia reconciliada y contexto suficiente antes de derivar deterioro.</x:t>
  </x:si>
  <x:si>
    <x:t xml:space="preserve">M4-RN-039</x:t>
  </x:si>
  <x:si>
    <x:t xml:space="preserve">Vigencia por tipo de dato</x:t>
  </x:si>
  <x:si>
    <x:t xml:space="preserve">M04-RGL-013; P4-CNT-001; P4-CNT-025</x:t>
  </x:si>
  <x:si>
    <x:t xml:space="preserve">Frescura por tipo de dato se conserva y los criterios deben versionarse.</x:t>
  </x:si>
  <x:si>
    <x:t xml:space="preserve">Se mantiene la vigencia por tipo de dato y su parametrización/versionamiento, dejando explícita la base temporal que utiliza cada decisión.</x:t>
  </x:si>
  <x:si>
    <x:t xml:space="preserve">M4-RN-040</x:t>
  </x:si>
  <x:si>
    <x:t xml:space="preserve">Parámetros configurables y versionados</x:t>
  </x:si>
  <x:si>
    <x:t xml:space="preserve">—</x:t>
  </x:si>
  <x:si>
    <x:t xml:space="preserve">P4-CNT-025; M04-RGL-038</x:t>
  </x:si>
  <x:si>
    <x:t xml:space="preserve">Referencia técnica ya cubierta</x:t>
  </x:si>
  <x:si>
    <x:t xml:space="preserve">Thresholds, reglas y snapshots se versionan; no hardcodear parámetros en UI/lógica no versionada.</x:t>
  </x:si>
  <x:si>
    <x:t xml:space="preserve">Mantener como contrato P4/técnico; no duplicar RN funcional.</x:t>
  </x:si>
  <x:si>
    <x:t xml:space="preserve">Se valida el soporte técnico P4 de parámetros y versiones configurables/auditables. Esta capa permite implementar y reproducir la regla funcional sin duplicarla en contratos paralelos.</x:t>
  </x:si>
  <x:si>
    <x:t xml:space="preserve">M4-RN-041</x:t>
  </x:si>
  <x:si>
    <x:t xml:space="preserve">Evaluación trazable</x:t>
  </x:si>
  <x:si>
    <x:t xml:space="preserve">M4-HU-007, M4-HU-010, M4-HU-012, M4-HU-013, M4-HU-014, M4-HU-016, M4-HU-019, M4-HU-024</x:t>
  </x:si>
  <x:si>
    <x:t xml:space="preserve">M4-V32, M4-V34, M4-V35, M4-V53, M4-V57, M4-V60, M4-V67</x:t>
  </x:si>
  <x:si>
    <x:t xml:space="preserve">P4-CNT-024; P4-CNT-025; M04-RGL-039</x:t>
  </x:si>
  <x:si>
    <x:t xml:space="preserve">Evaluación conserva provenance, versión y razones suficientes para reproducibilidad/dedupe.</x:t>
  </x:si>
  <x:si>
    <x:t xml:space="preserve">Mantener trazabilidad en P4/matriz técnica; no duplicar como RN funcional separada.</x:t>
  </x:si>
  <x:si>
    <x:t xml:space="preserve">Se valida el soporte de provenance, versión, campos utilizados y razones como base de reproducibilidad y deduplicación del cálculo P4.</x:t>
  </x:si>
  <x:si>
    <x:t xml:space="preserve">M4-RN-042</x:t>
  </x:si>
  <x:si>
    <x:t xml:space="preserve">Economía de pantallas</x:t>
  </x:si>
  <x:si>
    <x:t xml:space="preserve">M4-HU-001, M4-HU-011, M4-HU-012, M4-HU-015, M4-HU-018</x:t>
  </x:si>
  <x:si>
    <x:t xml:space="preserve">M4-V05, M4-V36, M4-V52, M4-V58, M4-V73</x:t>
  </x:si>
  <x:si>
    <x:t xml:space="preserve">01_Matriz_Trazabilidad · materialización OD/DD/RD; 06_Ajustes_Materializacion</x:t>
  </x:si>
  <x:si>
    <x:t xml:space="preserve">La materialización cliente define OD/DD/RD y sus estados observados; no crear pantallas nuevas por regla si la experiencia ya está resuelta.</x:t>
  </x:si>
  <x:si>
    <x:t xml:space="preserve">Validar contra Figma/materialización cliente, sin mantener una RN paralela de arquitectura.</x:t>
  </x:si>
  <x:si>
    <x:t xml:space="preserve">Se mantiene el principio de economía de pantallas. El Figma vigente permite representar reglas y variantes mediante componentes/estados existentes, reservando nuevas pantallas para necesidades funcionales reales.</x:t>
  </x:si>
  <x:si>
    <x:t xml:space="preserve">M4-RN-043</x:t>
  </x:si>
  <x:si>
    <x:t xml:space="preserve">Fallback no bloqueante</x:t>
  </x:si>
  <x:si>
    <x:t xml:space="preserve">M4-HU-002, M4-HU-005, M4-HU-006, M4-HU-012, M4-HU-013, M4-HU-025</x:t>
  </x:si>
  <x:si>
    <x:t xml:space="preserve">M4-V13, M4-V23, M4-V49, M4-V54</x:t>
  </x:si>
  <x:si>
    <x:t xml:space="preserve">M04-RGL-042; 05_Condiciones_y_Limites</x:t>
  </x:si>
  <x:si>
    <x:t xml:space="preserve">Dependencias no disponibles no bloquean M04; se conserva fallback y ownership.</x:t>
  </x:si>
  <x:si>
    <x:t xml:space="preserve">Se mantiene el fallback ante dependencias externas no disponibles y el ownership del módulo correspondiente, permitiendo que M04 continúe con el tratamiento aplicable.</x:t>
  </x:si>
  <x:si>
    <x:t xml:space="preserve">M4-RN-044</x:t>
  </x:si>
  <x:si>
    <x:t xml:space="preserve">Cronograma condicionado por confianza</x:t>
  </x:si>
  <x:si>
    <x:t xml:space="preserve">M4-HU-014, M4-HU-019, M4-HU-024</x:t>
  </x:si>
  <x:si>
    <x:t xml:space="preserve">M4-V56, M4-V67, M4-V68, M4-V69</x:t>
  </x:si>
  <x:si>
    <x:t xml:space="preserve">M04-RGL-031; P4-CNT-023</x:t>
  </x:si>
  <x:si>
    <x:t xml:space="preserve">Cronograma/proyección se muestra como estimación y se recalcula ante cambios relevantes; calidad insuficiente limita la fuerza del resultado.</x:t>
  </x:si>
  <x:si>
    <x:t xml:space="preserve">Se valida el carácter estimado y condicionado del cronograma. La definición vigente precisa cuándo recalcularlo y qué calidad mínima requiere el dato de entrada.</x:t>
  </x:si>
  <x:si>
    <x:t xml:space="preserve">M4-RN-045</x:t>
  </x:si>
  <x:si>
    <x:t xml:space="preserve">Orden preliminar vs plan activo</x:t>
  </x:si>
  <x:si>
    <x:t xml:space="preserve">M4-HU-015, M4-HU-016</x:t>
  </x:si>
  <x:si>
    <x:t xml:space="preserve">M4-V59</x:t>
  </x:si>
  <x:si>
    <x:t xml:space="preserve">M04-RGL-030; P4-CNT-018; P4-CNT-019</x:t>
  </x:si>
  <x:si>
    <x:t xml:space="preserve">Orden preliminar, Ver mi plan, RD-02 o simulación no equivalen a Ruta activa; primer Seguir plan válido activa.</x:t>
  </x:si>
  <x:si>
    <x:t xml:space="preserve">Aceptar separación elegibilidad/activación.</x:t>
  </x:si>
  <x:si>
    <x:t xml:space="preserve">Se valida la separación entre orden preliminar/Ver plan/RD-02/simulación y Ruta activa. La precisión del evento de activación se detalla en FP-03.</x:t>
  </x:si>
  <x:si>
    <x:t xml:space="preserve">M4-RN-046</x:t>
  </x:si>
  <x:si>
    <x:t xml:space="preserve">Sin buffer, extra solo referencial</x:t>
  </x:si>
  <x:si>
    <x:t xml:space="preserve">M4-V65</x:t>
  </x:si>
  <x:si>
    <x:t xml:space="preserve">M04-RGL-024; M04-RGL-026; P4-CNT-022</x:t>
  </x:si>
  <x:si>
    <x:t xml:space="preserve">Sin outcome prudencial suficiente no se afirma aporte sostenible. La regla ya no depende de buffer local 5%/piso.</x:t>
  </x:si>
  <x:si>
    <x:t xml:space="preserve">Retirar referencia al buffer anterior.</x:t>
  </x:si>
  <x:si>
    <x:t xml:space="preserve">Se valida el retiro de la dependencia del buffer local. Cuando el outcome prudencial no permite determinar un aporte sostenible, M04 conserva el escenario manual/referencial con esa naturaleza explícita. Ver FP-04 y FP-12.</x:t>
  </x:si>
  <x:si>
    <x:t xml:space="preserve">M4-RN-047</x:t>
  </x:si>
  <x:si>
    <x:t xml:space="preserve">Prohibición de automatización financiera</x:t>
  </x:si>
  <x:si>
    <x:t xml:space="preserve">M4-HU-016, M4-HU-018, M4-HU-019, M4-HU-020, M4-HU-021</x:t>
  </x:si>
  <x:si>
    <x:t xml:space="preserve">M4-V60, M4-V71, M4-V72, M4-V74</x:t>
  </x:si>
  <x:si>
    <x:t xml:space="preserve">M04 no paga, refinancia, renegocia, consolida ni mueve dinero automáticamente.</x:t>
  </x:si>
  <x:si>
    <x:t xml:space="preserve">Se mantiene el alcance de M04 como módulo de evaluación y planificación: pagos, refinanciamiento, renegociación, consolidación y movimientos de dinero permanecen fuera de su ejecución automática.</x:t>
  </x:si>
  <x:si>
    <x:t xml:space="preserve">M4-RN-048</x:t>
  </x:si>
  <x:si>
    <x:t xml:space="preserve">Precedencia fuente TC/CMF</x:t>
  </x:si>
  <x:si>
    <x:t xml:space="preserve">M4-HU-022, M4-HU-023</x:t>
  </x:si>
  <x:si>
    <x:t xml:space="preserve">M4-V83</x:t>
  </x:si>
  <x:si>
    <x:t xml:space="preserve">M04-RGL-004; M04-RGL-041; P4-CNT-024</x:t>
  </x:si>
  <x:si>
    <x:t xml:space="preserve">Complemento a confirmar</x:t>
  </x:si>
  <x:si>
    <x:t xml:space="preserve">La matriz cliente cubre CMF como carga manual y reglas TC por ciclo, pero no explicita precedencia documental TC vs CMF. Proponer conservar precedencia del Anexo transversal si sigue vigente.</x:t>
  </x:si>
  <x:si>
    <x:t xml:space="preserve">Producto debe confirmar si la precedencia TC/CMF del Anexo transversal continúa vigente.</x:t>
  </x:si>
  <x:si>
    <x:t xml:space="preserve">Sí. Se confirma vigente la precedencia TC/CMF. Para deudas no-TC, el Informe CMF se mantiene como fuente documental principal; para TC, el estado de cuenta conserva prioridad por su mayor granularidad y CMF actúa como complemento/fallback cuando corresponda. La evaluación financiera posterior se realiza bajo P4. Esta definición consolida el Anexo transversal TC compartido y la decisión conjunta de incorporar CMF. Ver FP-01 y FP-09.</x:t>
  </x:si>
  <x:si>
    <x:t xml:space="preserve">Walvy_M4_Matriz_Trazabilidad_Cliente_v1.3.xlsx · Anexo transversal TC/CMF</x:t>
  </x:si>
  <x:si>
    <x:t xml:space="preserve">R-TC-002</x:t>
  </x:si>
  <x:si>
    <x:t xml:space="preserve">Saldo actual TC</x:t>
  </x:si>
  <x:si>
    <x:t xml:space="preserve">Propuesta documental: en card TC, Saldo actual = monto total facturado a pagar. Este mapeo de campo no aparece explícito en la matriz cliente.</x:t>
  </x:si>
  <x:si>
    <x:t xml:space="preserve">Confirmar si este mapeo del Anexo transversal se incorpora como regla de parseo/visualización.</x:t>
  </x:si>
  <x:si>
    <x:t xml:space="preserve">Sí. Se incorpora como regla vigente de parseo/visualización que, en TC, Saldo actual corresponde al monto total facturado a pagar dentro del ciclo. El mapeo ya estaba definido en el Anexo transversal compartido y se confirma en esta reconciliación. Ver FP-09.</x:t>
  </x:si>
  <x:si>
    <x:t xml:space="preserve">R-TC-003</x:t>
  </x:si>
  <x:si>
    <x:t xml:space="preserve">Saldo inicial TC</x:t>
  </x:si>
  <x:si>
    <x:t xml:space="preserve">Propuesta documental: Saldo inicial TC usa deuda total/cupo utilizado/campo equivalente con label contextual. No está explícito en la matriz cliente.</x:t>
  </x:si>
  <x:si>
    <x:t xml:space="preserve">Confirmar vigencia del mapeo de campo TC.</x:t>
  </x:si>
  <x:si>
    <x:t xml:space="preserve">Sí. Se confirma vigente el mapeo de Saldo inicial TC como deuda total/cupo utilizado/campo equivalente, manteniendo un label contextual que lo diferencie del monto exigible del ciclo. Ver FP-09.</x:t>
  </x:si>
  <x:si>
    <x:t xml:space="preserve">R-TC-004</x:t>
  </x:si>
  <x:si>
    <x:t xml:space="preserve">Último pago TC</x:t>
  </x:si>
  <x:si>
    <x:t xml:space="preserve">M4-V80</x:t>
  </x:si>
  <x:si>
    <x:t xml:space="preserve">Propuesta documental: último pago = monto pagado del período anterior; fecha exacta solo con evidencia coincidente. No está explícito en la matriz cliente.</x:t>
  </x:si>
  <x:si>
    <x:t xml:space="preserve">Confirmar vigencia del mapeo de último pago TC.</x:t>
  </x:si>
  <x:si>
    <x:t xml:space="preserve">Sí. Se confirma vigente el mapeo de último pago TC como monto pagado del período anterior; la fecha exacta se utiliza únicamente cuando existe evidencia coincidente. Ver FP-09.</x:t>
  </x:si>
  <x:si>
    <x:t xml:space="preserve">R-TC-007</x:t>
  </x:si>
  <x:si>
    <x:t xml:space="preserve">Evaluación M4 por presión TC</x:t>
  </x:si>
  <x:si>
    <x:t xml:space="preserve">M4-HU-013, M4-HU-014, M4-HU-022</x:t>
  </x:si>
  <x:si>
    <x:t xml:space="preserve">M4-V51, M4-V76, M4-V78, M4-V79, M4-V80, M4-V84</x:t>
  </x:si>
  <x:si>
    <x:t xml:space="preserve">TC se evalúa por ciclo reconciliado; mínimo/parcial final/arrastre alimentan D y luego Presión C×K×D.</x:t>
  </x:si>
  <x:si>
    <x:t xml:space="preserve">Aceptar contrato cliente; retirar escalamiento S.</x:t>
  </x:si>
  <x:si>
    <x:t xml:space="preserve">Se valida la evaluación TC por ciclo reconciliado y el uso de mínimo/parcial/arrastre como evidencia para D/Presión cuando corresponda. La evaluación por ciclo se mantiene; la expresión en Deterioro/P4 es consecuencia del ajuste rector FP-01 y no una redefinición independiente del comportamiento de TC. Ver FP-01, FP-08 y FP-09.</x:t>
  </x:si>
  <x:si>
    <x:t xml:space="preserve">R-TC-008</x:t>
  </x:si>
  <x:si>
    <x:t xml:space="preserve">Cuotas al día</x:t>
  </x:si>
  <x:si>
    <x:t xml:space="preserve">Cuotas al día son D0 por ese comportamiento y no activan Ruta por existir.</x:t>
  </x:si>
  <x:si>
    <x:t xml:space="preserve">Se mantiene compras/cuotas TC al día como seguimiento/rigidez. La evaluación de deterioro y Ruta se determina con las señales adicionales que correspondan al ciclo. Ver FP-08 y FP-09.</x:t>
  </x:si>
  <x:si>
    <x:t xml:space="preserve">R-CMF-001</x:t>
  </x:si>
  <x:si>
    <x:t xml:space="preserve">Parseo y precedencia CMF</x:t>
  </x:si>
  <x:si>
    <x:t xml:space="preserve">M4-V81, M4-V83</x:t>
  </x:si>
  <x:si>
    <x:t xml:space="preserve">M04-RGL-004; P4-CNT-024</x:t>
  </x:si>
  <x:si>
    <x:t xml:space="preserve">La matriz cliente solo explicita la carga manual de Informe CMF. El Anexo transversal agrega parseo de todas las deudas y precedencia para no-TC/TC.</x:t>
  </x:si>
  <x:si>
    <x:t xml:space="preserve">Confirmar si el parseo/precedencia CMF del Anexo transversal sigue vigente.</x:t>
  </x:si>
  <x:si>
    <x:t xml:space="preserve">Sí. Se confirma como vigente el parseo y la precedencia documental CMF. Para deudas no-TC, el Informe CMF se mantiene como fuente documental principal; para TC, el estado de cuenta conserva mayor granularidad y prioridad, utilizando CMF como complemento/fallback cuando corresponda. Esta definición materializa la decisión acordada durante el proyecto de simplificar la captura documental mediante Informe CMF. Ver FP-09.</x:t>
  </x:si>
  <x:si>
    <x:t xml:space="preserve">R-CMF-002</x:t>
  </x:si>
  <x:si>
    <x:t xml:space="preserve">Mapeo no TC CMF</x:t>
  </x:si>
  <x:si>
    <x:t xml:space="preserve">M4-HU-013, M4-HU-023</x:t>
  </x:si>
  <x:si>
    <x:t xml:space="preserve">M4-V81, M4-V82</x:t>
  </x:si>
  <x:si>
    <x:t xml:space="preserve">El mapeo CMF monto actual→saldo, monto original→saldo inicial y carga financiera→cuota referencial no aparece explícito en la matriz cliente.</x:t>
  </x:si>
  <x:si>
    <x:t xml:space="preserve">Confirmar incorporación de este mapeo documental.</x:t>
  </x:si>
  <x:si>
    <x:t xml:space="preserve">Sí. Se confirma la incorporación del mapeo documental no-TC CMF: monto actual → saldo actual, monto original → saldo inicial y carga financiera → cuota referencial. Estos mapeos aterrizan la decisión conjunta de estandarizar el Informe CMF como fuente documental. Ver FP-09.</x:t>
  </x:si>
  <x:si>
    <x:t xml:space="preserve">R-CMF-003</x:t>
  </x:si>
  <x:si>
    <x:t xml:space="preserve">Mora CMF activa evaluación</x:t>
  </x:si>
  <x:si>
    <x:t xml:space="preserve">M4-HU-013, M4-HU-014, M4-HU-023</x:t>
  </x:si>
  <x:si>
    <x:t xml:space="preserve">M4-V51, M4-V82</x:t>
  </x:si>
  <x:si>
    <x:t xml:space="preserve">M04-RGL-016; M04-RGL-038; P4-CNT-006; P4-CNT-016; P4-CNT-017</x:t>
  </x:si>
  <x:si>
    <x:t xml:space="preserve">Si se mantiene CMF como fuente documental, la mora debe alimentar aging/Deterioro/Salud según contrato nuevo; no debe conservarse el antiguo escalamiento S0–S4 ni activar Ruta automáticamente.</x:t>
  </x:si>
  <x:si>
    <x:t xml:space="preserve">Confirmar tratamiento CMF de mora bajo C×K×D/Salud y eliminar referencia a S0–S4.</x:t>
  </x:si>
  <x:si>
    <x:t xml:space="preserve">Sí. Se confirma que la mora informada por CMF alimente aging/Deterioro/Salud bajo el contrato vigente, sin activar Ruta automáticamente. Las referencias al antiguo escalamiento S0–S4 se retiran: su traducción a Deterioro/Presión se rige por P4 y su efecto en Salud por el contrato de Salud vigente. Ver FP-01, FP-02 y FP-09.</x:t>
  </x:si>
  <x:si>
    <x:t xml:space="preserve">M4-RN-049</x:t>
  </x:si>
  <x:si>
    <x:t xml:space="preserve">Frontera Pagos/Alertas → M4</x:t>
  </x:si>
  <x:si>
    <x:t xml:space="preserve">M4-HU-014, M4-HU-025</x:t>
  </x:si>
  <x:si>
    <x:t xml:space="preserve">M4-V85</x:t>
  </x:si>
  <x:si>
    <x:t xml:space="preserve">M04-RGL-016; 05_Condiciones_y_Limites</x:t>
  </x:si>
  <x:si>
    <x:t xml:space="preserve">Pago próximo/al día/vencimiento simple con capacidad permanece en M06/Pagos-Alertas; M04 no duplica la acción operativa.</x:t>
  </x:si>
  <x:si>
    <x:t xml:space="preserve">Ratificar frontera M04↔M06.</x:t>
  </x:si>
  <x:si>
    <x:t xml:space="preserve">Se valida la frontera operacional: pago próximo/al día/vencimiento simple permanece en M06/Pagos-Alertas y M04 consume el resultado necesario para su lectura financiera. Ver FP-07.</x:t>
  </x:si>
  <x:si>
    <x:t xml:space="preserve">M4-RN-050</x:t>
  </x:si>
  <x:si>
    <x:t xml:space="preserve">Dominancia de señales y bloqueo S0</x:t>
  </x:si>
  <x:si>
    <x:t xml:space="preserve">M4-HU-013, M4-HU-014, M4-HU-024</x:t>
  </x:si>
  <x:si>
    <x:t xml:space="preserve">M4-V86</x:t>
  </x:si>
  <x:si>
    <x:t xml:space="preserve">P4-CNT-001; P4-CNT-008; M04-RGL-039</x:t>
  </x:si>
  <x:si>
    <x:t xml:space="preserve">Múltiples señales se resuelven mediante quality gate, dedupe y precedencia de floors; missing material bloquea En Control. No existe S0 como estado financiero.</x:t>
  </x:si>
  <x:si>
    <x:t xml:space="preserve">Aprobar reemplazo de dominancia S0/S1-S4 por quality + C×K×D + floors.</x:t>
  </x:si>
  <x:si>
    <x:t xml:space="preserve">Se valida el contrato vigente de quality gate, dedupe y floors. Esta fila aplica el ajuste rector FP-01: P4 integra faltantes materiales y composición de señales en una lógica reproducible, manteniendo separadas calidad del dato y lectura financiera. Las referencias previas a S0–S4 quedan absorbidas por esa misma definición rectora. Ver FP-01.</x:t>
  </x:si>
  <x:si>
    <x:t xml:space="preserve">WALVY | M4 – Historias de Usuario y Criterios de Aceptación</x:t>
  </x:si>
  <x:si>
    <x:t xml:space="preserve">Referencia de cobertura Kabeli v1.3. No reemplaza los criterios de aceptación contractuales por Trace ID de la matriz cliente; se conserva para validar que las historias/criterios funcionales originales no se pierdan durante la reconciliación.</x:t>
  </x:si>
  <x:si>
    <x:t xml:space="preserve">ID</x:t>
  </x:si>
  <x:si>
    <x:t xml:space="preserve">Historia</x:t>
  </x:si>
  <x:si>
    <x:t xml:space="preserve">Redacción</x:t>
  </x:si>
  <x:si>
    <x:t xml:space="preserve">Criterios de aceptación</x:t>
  </x:si>
  <x:si>
    <x:t xml:space="preserve">M4-HU-001</x:t>
  </x:si>
  <x:si>
    <x:t xml:space="preserve">Acceder desde Perfil Financiero</x:t>
  </x:si>
  <x:si>
    <x:t xml:space="preserve">Como usuario, quiero acceder al tratamiento de deuda desde Perfil Financiero según mi estado, para completar, revisar o avanzar sin convertir Perfil en el módulo de deuda.</x:t>
  </x:si>
  <x:si>
    <x:t xml:space="preserve">CA1. Perfil muestra estado/señal/acción contextual y no ejecuta la Ruta Despeje completa.
CA2. La derivación depende de confirmación, completitud y severidad.
CA3. Si no corresponde deuda, se mantiene el flujo principal de Perfil.</x:t>
  </x:si>
  <x:si>
    <x:t xml:space="preserve">M4-HU-002</x:t>
  </x:si>
  <x:si>
    <x:t xml:space="preserve">Recibir acción contextual desde Home</x:t>
  </x:si>
  <x:si>
    <x:t xml:space="preserve">Como usuario que vuelve a Home, quiero recibir una acción de deuda solo cuando sea relevante para mi mes, para mantener una única prioridad operativa.</x:t>
  </x:si>
  <x:si>
    <x:t xml:space="preserve">CA1. Si deuda no es señal dominante, Home no fuerza CTA principal de deuda.
CA2. Si deuda domina, deriva según confirmación, datos y gatillo.
CA3. Home actúa como superficie consumidora, no como panel de deuda.</x:t>
  </x:si>
  <x:si>
    <x:t xml:space="preserve">M4-HU-003</x:t>
  </x:si>
  <x:si>
    <x:t xml:space="preserve">Registrar deuda manual</x:t>
  </x:si>
  <x:si>
    <x:t xml:space="preserve">Como usuario, quiero registrar una deuda desde cero, para incorporarla aunque aún no tenga todos los datos.</x:t>
  </x:si>
  <x:si>
    <x:t xml:space="preserve">CA1. Puede guardarse información básica como pendiente/incompleta.
CA2. La falta de datos no bloquea el registro inicial.
CA3. Sin mínimos no se evalúa presión ni se activa Ruta Despeje completa.</x:t>
  </x:si>
  <x:si>
    <x:t xml:space="preserve">M4-HU-004</x:t>
  </x:si>
  <x:si>
    <x:t xml:space="preserve">Registrar deuda informal</x:t>
  </x:si>
  <x:si>
    <x:t xml:space="preserve">Como usuario, quiero registrar una deuda informal o préstamo personal, para incluir compromisos que no provienen de una institución financiera.</x:t>
  </x:si>
  <x:si>
    <x:t xml:space="preserve">CA1. Se captura con variante manual y lenguaje no estigmatizante.
CA2. Para presión se requiere compromiso mensual/frecuencia y confirmación.
CA3. Si está incompleta queda pendiente y no genera conclusiones fuertes.</x:t>
  </x:si>
  <x:si>
    <x:t xml:space="preserve">M4-HU-005</x:t>
  </x:si>
  <x:si>
    <x:t xml:space="preserve">Cargar documento de deuda</x:t>
  </x:si>
  <x:si>
    <x:t xml:space="preserve">Como usuario, quiero cargar un documento de deuda, para que el sistema lea información y me permita revisarla antes de usarla.</x:t>
  </x:si>
  <x:si>
    <x:t xml:space="preserve">CA1. La carga puede detectar una o varias deudas.
CA2. El dato extraído queda sujeto a revisión/confirmación individual.
CA3. Un documento no usable ofrece alternativa manual u otro archivo.</x:t>
  </x:si>
  <x:si>
    <x:t xml:space="preserve">Resolver documento protegido o no procesable</x:t>
  </x:si>
  <x:si>
    <x:t xml:space="preserve">Como usuario, quiero recibir una salida recuperable cuando un documento requiere clave o no puede procesarse, para continuar por otra vía.</x:t>
  </x:si>
  <x:si>
    <x:t xml:space="preserve">CA1. La clave se solicita solo si el documento se detecta protegido.
CA2. Clave incorrecta permite reintento; sin clave ofrece otra carga/manual.
CA3. Un documento no procesable no se marca como procesado exitosamente.</x:t>
  </x:si>
  <x:si>
    <x:t xml:space="preserve">M4-HU-007</x:t>
  </x:si>
  <x:si>
    <x:t xml:space="preserve">Validar y completar deuda</x:t>
  </x:si>
  <x:si>
    <x:t xml:space="preserve">Como usuario, quiero revisar los datos de una deuda y completar lo faltante, para decidir si puedo evaluarla.</x:t>
  </x:si>
  <x:si>
    <x:t xml:space="preserve">CA1. Se distinguen dato suficiente, faltante, desactualizado y baja confianza.
CA2. Se solicitan solo datos críticos necesarios según el uso.
CA3. Deuda no confirmada o incompleta no habilita conclusiones fuertes.</x:t>
  </x:si>
  <x:si>
    <x:t xml:space="preserve">Revisar posible duplicado</x:t>
  </x:si>
  <x:si>
    <x:t xml:space="preserve">Como usuario, quiero revisar deudas posiblemente duplicadas, para evitar consolidaciones automáticas incorrectas.</x:t>
  </x:si>
  <x:si>
    <x:t xml:space="preserve">CA1. El sistema puede marcar posible duplicado.
CA2. No se fusionan deudas automáticamente.
CA3. El usuario puede confirmar/corregir/descartar según corresponda.</x:t>
  </x:si>
  <x:si>
    <x:t xml:space="preserve">M4-HU-009</x:t>
  </x:si>
  <x:si>
    <x:t xml:space="preserve">Revisar múltiples deudas de un documento</x:t>
  </x:si>
  <x:si>
    <x:t xml:space="preserve">Como usuario, quiero revisar individualmente las deudas obtenidas desde un documento con múltiples registros, para confirmar cuáles me corresponden.</x:t>
  </x:si>
  <x:si>
    <x:t xml:space="preserve">CA1. Cada deuda mantiene estado individual.
CA2. Cada deuda requiere confirmación individual antes de afectar Salud de Deuda.
CA3. El lote puede quedar pendiente sin bloquear las demás rutas.</x:t>
  </x:si>
  <x:si>
    <x:t xml:space="preserve">M4-HU-010</x:t>
  </x:si>
  <x:si>
    <x:t xml:space="preserve">Descartar deuda no reconocida</x:t>
  </x:si>
  <x:si>
    <x:t xml:space="preserve">Como usuario, quiero marcar una deuda como No corresponde/No reconozco, para que no afecte mi diagnóstico.</x:t>
  </x:si>
  <x:si>
    <x:t xml:space="preserve">CA1. La deuda descartada no afecta Salud de Deuda.
CA2. No activa Ruta Despeje.
CA3. La fuente/historial se conserva con trazabilidad según criterio técnico.</x:t>
  </x:si>
  <x:si>
    <x:t xml:space="preserve">M4-HU-011</x:t>
  </x:si>
  <x:si>
    <x:t xml:space="preserve">Obtener resultado y derivación</x:t>
  </x:si>
  <x:si>
    <x:t xml:space="preserve">Como usuario, quiero que el resultado de validación me dirija a seguimiento, Perfil o Ruta Despeje, para continuar según mi situación.</x:t>
  </x:si>
  <x:si>
    <x:t xml:space="preserve">CA1. La salida depende de confirmación, datos mínimos y severidad.
CA2. Deuda manejable deriva a seguimiento/Perfil.
CA3. Ruta Despeje completa solo se activa cuando se cumplen sus condiciones.</x:t>
  </x:si>
  <x:si>
    <x:t xml:space="preserve">M4-HU-012</x:t>
  </x:si>
  <x:si>
    <x:t xml:space="preserve">Consultar detalle de deuda manejable</x:t>
  </x:si>
  <x:si>
    <x:t xml:space="preserve">Como usuario, quiero revisar una deuda manejable o prioritaria sin activar un plan completo, para mantener seguimiento contextual.</x:t>
  </x:si>
  <x:si>
    <x:t xml:space="preserve">CA1. DD-01 es una vista secundaria/condicionada.
CA2. Permite revisar y corregir datos puntuales.
CA3. No convierte deuda al día en situación de presión.</x:t>
  </x:si>
  <x:si>
    <x:t xml:space="preserve">M4-HU-013</x:t>
  </x:si>
  <x:si>
    <x:t xml:space="preserve">Conocer severidad de deuda</x:t>
  </x:si>
  <x:si>
    <x:t xml:space="preserve">Como usuario, quiero que las señales de deuda se clasifiquen de S0 a S4, para entender el nivel de atención sin falsas certezas.</x:t>
  </x:si>
  <x:si>
    <x:t xml:space="preserve">CA1. S0 representa insuficiencia/no confirmación; S1 manejable; S2 atención; S3 entrada a rojo; S4 rojo activo.
CA2. La severidad se recalcula al confirmar/corregir datos.
CA3. Etiquetas descriptivas no reemplazan la severidad.</x:t>
  </x:si>
  <x:si>
    <x:t xml:space="preserve">M4-HU-014</x:t>
  </x:si>
  <x:si>
    <x:t xml:space="preserve">Activar Ruta Despeje solo si corresponde</x:t>
  </x:si>
  <x:si>
    <x:t xml:space="preserve">Como usuario, quiero que la Ruta Despeje completa se active solo con evidencia suficiente, para evitar planes basados en datos débiles.</x:t>
  </x:si>
  <x:si>
    <x:t xml:space="preserve">CA1. Requiere deuda confirmada.
CA2. Requiere datos mínimos completos.
CA3. Requiere gatillo suficiente/presión, típicamente S3/S4 según reglas documentadas.</x:t>
  </x:si>
  <x:si>
    <x:t xml:space="preserve">M4-HU-015</x:t>
  </x:si>
  <x:si>
    <x:t xml:space="preserve">Ver resumen de Ruta Despeje</x:t>
  </x:si>
  <x:si>
    <x:t xml:space="preserve">Como usuario elegible, quiero ver un resumen de mi situación y la deuda prioritaria, para comprender por qué debo actuar.</x:t>
  </x:si>
  <x:si>
    <x:t xml:space="preserve">CA1. RD-01 muestra situación, señal principal, deuda prioritaria y explicación breve.
CA2. La información se basa en datos confirmados y trazables.
CA3. No presenta certeza/promesa indebida.</x:t>
  </x:si>
  <x:si>
    <x:t xml:space="preserve">M4-HU-016</x:t>
  </x:si>
  <x:si>
    <x:t xml:space="preserve">Ver plan y priorización</x:t>
  </x:si>
  <x:si>
    <x:t xml:space="preserve">Como usuario elegible, quiero ver un orden sugerido y una próxima acción, para organizar el tratamiento de mis deudas.</x:t>
  </x:si>
  <x:si>
    <x:t xml:space="preserve">CA1. RD-02 muestra orden, deuda prioritaria y próxima acción.
CA2. La metodología debe ser reproducible/versionada.
CA3. No ejecuta refinanciamiento, consolidación ni pagos automáticos.</x:t>
  </x:si>
  <x:si>
    <x:t xml:space="preserve">Ver capacidad recuperable</x:t>
  </x:si>
  <x:si>
    <x:t xml:space="preserve">Como usuario, quiero conocer una capacidad recuperable estimada cuando existan datos suficientes, para dimensionar el efecto de cerrar compromisos.</x:t>
  </x:si>
  <x:si>
    <x:t xml:space="preserve">CA1. Solo usa pagos/cargos mensuales confirmados y recurrentes.
CA2. Si faltan datos, se muestra cualitativo u oculto, no un monto fuerte.
CA3. Se comunica como estimación condicionada.</x:t>
  </x:si>
  <x:si>
    <x:t xml:space="preserve">Simular pago adicional</x:t>
  </x:si>
  <x:si>
    <x:t xml:space="preserve">Como usuario, quiero simular un esfuerzo adicional sostenible, para evaluar escenarios sin convertirlos en instrucciones automáticas.</x:t>
  </x:si>
  <x:si>
    <x:t xml:space="preserve">CA1. Se respeta buffer operacional.
CA2. La simulación puede usar monto manual o capacidad sostenible calculada.
CA3. El resultado se presenta como referencial/estimado.</x:t>
  </x:si>
  <x:si>
    <x:t xml:space="preserve">M4-HU-019</x:t>
  </x:si>
  <x:si>
    <x:t xml:space="preserve">Ver cronograma estimado de salida</x:t>
  </x:si>
  <x:si>
    <x:t xml:space="preserve">Como usuario, quiero ver una proyección de salida cuando los datos permitan calcularla, para comprender hitos y supuestos.</x:t>
  </x:si>
  <x:si>
    <x:t xml:space="preserve">CA1. Con datos suficientes puede mostrar hitos/fecha estimada.
CA2. Con datos incompletos o baja confianza no muestra fecha fuerte.
CA3. Incluye supuestos y no se presenta como promesa.</x:t>
  </x:si>
  <x:si>
    <x:t xml:space="preserve">Como usuario, quiero ver deudas agrupadas de forma ordenada, para entender prioridades sin confundirlo con consolidación financiera.</x:t>
  </x:si>
  <x:si>
    <x:t xml:space="preserve">CA1. La agrupación es visual/funcional.
CA2. No fusiona obligaciones ni crea un producto de consolidación.
CA3. Mantiene trazabilidad por deuda.</x:t>
  </x:si>
  <x:si>
    <x:t xml:space="preserve">Registrar avance o cierre</x:t>
  </x:si>
  <x:si>
    <x:t xml:space="preserve">Como usuario, quiero confirmar el avance o cierre de una deuda, para recalcular mi situación y el plan restante.</x:t>
  </x:si>
  <x:si>
    <x:t xml:space="preserve">CA1. El cierre requiere confirmación/evidencia suficiente.
CA2. El estado cerrado recalcula señales/capacidad/plan.
CA3. No reasigna automáticamente capacidad liberada.</x:t>
  </x:si>
  <x:si>
    <x:t xml:space="preserve">Evaluar tarjeta de crédito por ciclo</x:t>
  </x:si>
  <x:si>
    <x:t xml:space="preserve">Como usuario, quiero que mi tarjeta se evalúe considerando facturación, pago y saldo arrastrado, para evitar falsos positivos de presión.</x:t>
  </x:si>
  <x:si>
    <x:t xml:space="preserve">CA1. Pago total del ciclo se trata como manejable.
CA2. Pago parcial/pre-cierre se interpreta con evidencia posterior antes de escalar.
CA3. Pago mínimo recurrente, mora o saldo arrastrado pueden escalar según regla.</x:t>
  </x:si>
  <x:si>
    <x:t xml:space="preserve">M4-HU-023</x:t>
  </x:si>
  <x:si>
    <x:t xml:space="preserve">Evaluar mora y deuda CMF</x:t>
  </x:si>
  <x:si>
    <x:t xml:space="preserve">Como usuario, quiero que los datos CMF se usen de forma consistente para deuda y mora, para activar evaluación solo cuando exista evidencia suficiente.</x:t>
  </x:si>
  <x:si>
    <x:t xml:space="preserve">CA1. CMF es principal para deuda no TC salvo fuente específica más precisa.
CA2. Mora activa evaluación M4, pero no Ruta Despeje automática.
CA3. Los tramos superiores escalan severidad sin equivalencia externa inventada.</x:t>
  </x:si>
  <x:si>
    <x:t xml:space="preserve">M4-HU-024</x:t>
  </x:si>
  <x:si>
    <x:t xml:space="preserve">Gestionar calidad y vigencia del dato</x:t>
  </x:si>
  <x:si>
    <x:t xml:space="preserve">Como usuario, quiero que origen, confianza y vigencia se consideren antes de calcular o recomendar, para recibir resultados acordes a la calidad disponible.</x:t>
  </x:si>
  <x:si>
    <x:t xml:space="preserve">CA1. Campos críticos desactualizados obligan corrección/confirmación.
CA2. Regla/fecha/fuentes usadas quedan versionadas y trazables.
CA3. Baja confianza reduce fuerza de la salida.</x:t>
  </x:si>
  <x:si>
    <x:t xml:space="preserve">M4-HU-025</x:t>
  </x:si>
  <x:si>
    <x:t xml:space="preserve">Revisar vencimiento crítico</x:t>
  </x:si>
  <x:si>
    <x:t xml:space="preserve">Como usuario, quiero recibir una revisión contextual de un vencimiento crítico, para distinguir una fecha próxima de una situación realmente presionada.</x:t>
  </x:si>
  <x:si>
    <x:t xml:space="preserve">CA1. Vencimiento por sí solo no activa Ruta Despeje.
CA2. Con capacidad puede quedar en alerta/seguimiento.
CA3. Sin capacidad/mora puede escalar según severidad.</x:t>
  </x:si>
  <x:si>
    <x:t xml:space="preserve">Evaluar acumulación de cuotas</x:t>
  </x:si>
  <x:si>
    <x:t xml:space="preserve">Como usuario, quiero que la acumulación de cuotas se evalúe junto con mi holgura y otras señales, para no confundir rigidez con incumplimiento.</x:t>
  </x:si>
  <x:si>
    <x:t xml:space="preserve">CA1. Muchas cuotas solas no activan Ruta Despeje.
CA2. La regla productiva inicial usa cantidad y proporción del ingreso.
CA3. Saldo negativo/mora/pago mínimo/deuda-con-deuda pueden escalar.</x:t>
  </x:si>
  <x:si>
    <x:t xml:space="preserve">M4-HU-027</x:t>
  </x:si>
  <x:si>
    <x:t xml:space="preserve">Evaluar deuda con deuda y avances</x:t>
  </x:si>
  <x:si>
    <x:t xml:space="preserve">Como usuario, quiero que el uso de nueva deuda para sostener liquidez o pagar otra deuda se evalúe por frecuencia y evidencia, para detectar presión real.</x:t>
  </x:si>
  <x:si>
    <x:t xml:space="preserve">CA1. Uso puntual puede tener severidad menor según capacidad.
CA2. Uso regular/recurrente escala severidad.
CA3. Deuda con deuda confirmada y recurrente puede llegar a S4.</x:t>
  </x:si>
  <x:si>
    <x:t xml:space="preserve">WALVY | M04 – Fundamento de Validación de Producto</x:t>
  </x:si>
  <x:si>
    <x:t xml:space="preserve">Lectura sugerida → Base funcional previa → Nivel de definición → Motivo → Definición resultante → Relación con otros ajustes → Implicancia → Elementos que se mantienen → Evidencia.</x:t>
  </x:si>
  <x:si>
    <x:t xml:space="preserve">Fundamento ID</x:t>
  </x:si>
  <x:si>
    <x:t xml:space="preserve">Frente</x:t>
  </x:si>
  <x:si>
    <x:t xml:space="preserve">Base funcional previa</x:t>
  </x:si>
  <x:si>
    <x:t xml:space="preserve">Nivel de definición previa</x:t>
  </x:si>
  <x:si>
    <x:t xml:space="preserve">¿Por qué fue necesario precisar?</x:t>
  </x:si>
  <x:si>
    <x:t xml:space="preserve">¿Qué quedó definido / ajustado?</x:t>
  </x:si>
  <x:si>
    <x:t xml:space="preserve">¿Cómo se relaciona con otros ajustes?</x:t>
  </x:si>
  <x:si>
    <x:t xml:space="preserve">Implicancia para la reconciliación</x:t>
  </x:si>
  <x:si>
    <x:t xml:space="preserve">Elementos que se mantienen</x:t>
  </x:si>
  <x:si>
    <x:t xml:space="preserve">Fuentes / evidencia</x:t>
  </x:si>
  <x:si>
    <x:t xml:space="preserve">Filas 07 relacionadas</x:t>
  </x:si>
  <x:si>
    <x:t xml:space="preserve">FP-01</x:t>
  </x:si>
  <x:si>
    <x:t xml:space="preserve">La documentación rectora M04 definía el objetivo de identificar presión financiera y utilizaba S0–S4 como escala funcional; confirmación, suficiencia y degradación segura ya estaban contempladas.</x:t>
  </x:si>
  <x:si>
    <x:t xml:space="preserve">Mixto: S0–S4 era rector, mientras varias reglas que alimentaban la clasificación seguían En definición o requerían umbral.</x:t>
  </x:si>
  <x:si>
    <x:t xml:space="preserve">Al llevar el modelo a trazabilidad y QA, varias señales que alimentaban S0–S4 seguían En definición o requerían umbral. Era necesario determinar desde Producto cómo combinar calidad, Carga, Capacidad y Deterioro para evitar que esa composición quedara a inferencia de implementación.</x:t>
  </x:si>
  <x:si>
    <x:t xml:space="preserve">P4 queda como motor rector: quality gate → Carga C × Capacidad K × Deterioro D → floors válidos → Presión En Control / Atención / Riesgo. S0–S4 deja de gobernar la evaluación financiera.</x:t>
  </x:si>
  <x:si>
    <x:t xml:space="preserve">Cambio rector. Las filas que sustituyen estados S por D0/D1/D2 o por floors P4 son aplicaciones de esta misma decisión y deben leerse como parte de su alcance.</x:t>
  </x:si>
  <x:si>
    <x:t xml:space="preserve">La reconciliación registra el reemplazo S0–S4 → P4 y usa FP-01 como fundamento común para los ajustes derivados en reglas de deuda→deuda, tarjetas, CMF y quality gate.</x:t>
  </x:si>
  <x:si>
    <x:t xml:space="preserve">Se mantiene el objetivo funcional de identificar presión financiera, junto con confirmación, suficiencia y degradación segura.</x:t>
  </x:si>
  <x:si>
    <x:t xml:space="preserve">Walvy_Modulo4_Fase3_Reglas_Contextuales_Severidad_v1_0; Walvy_Modulo4_Fase3_Anexo_BDD_Reglas_Productivas_v1_0; contrato P4/cierre M04</x:t>
  </x:si>
  <x:si>
    <x:t xml:space="preserve">Decisión 14; M4-RN-017/018/019/020/035/050 y relacionadas</x:t>
  </x:si>
  <x:si>
    <x:t xml:space="preserve">FP-02</x:t>
  </x:si>
  <x:si>
    <x:t xml:space="preserve">Una fuente funcional histórica previa al cierre modelaba Salud con estados propios y contenía una clasificación directa hacia Presionada para determinadas señales.</x:t>
  </x:si>
  <x:si>
    <x:t xml:space="preserve">La revisión recuperada de Walvy_Reglas_Salud_Deuda_v1.0 estaba en QA interno; se utiliza como evidencia histórica y su autoridad se mantiene diferenciada del baseline rector.</x:t>
  </x:si>
  <x:si>
    <x:t xml:space="preserve">Salud ya tenía estados propios, pero la clasificación exacta hacia Sana / Requiere atención / Presionada no estaba cerrada con un criterio igualmente reproducible en todas las fuentes. Al separar el nuevo motor de Presión fue necesario evitar que Salud heredara automáticamente la antigua severidad.</x:t>
  </x:si>
  <x:si>
    <x:t xml:space="preserve">Salud queda gobernada por Presión + aging/cumplimiento con una regla explícita para cada estado, separada del cálculo de Presión y del lifecycle de Ruta.</x:t>
  </x:si>
  <x:si>
    <x:t xml:space="preserve">Se conecta con FP-01 porque la sustitución del motor S0–S4 obliga a desacoplar Salud de la antigua severidad; su clasificación específica se cierra aquí y no es solo un cambio nominal del motor.</x:t>
  </x:si>
  <x:si>
    <x:t xml:space="preserve">La reconciliación debe reflejar la separación Salud/Presión y el criterio reproducible de aging/cumplimiento, manteniendo prudencia sobre la autoridad de la fuente histórica RSD-004.</x:t>
  </x:si>
  <x:si>
    <x:t xml:space="preserve">Se mantiene Salud como indicador funcional con estados propios y propósito diferenciado de Presión y Ruta.</x:t>
  </x:si>
  <x:si>
    <x:t xml:space="preserve">Walvy_Reglas_Salud_Deuda_v1.0 [fuente histórica QA]; P4-CNT-016/017; cierre M04/M06 aging</x:t>
  </x:si>
  <x:si>
    <x:t xml:space="preserve">Decisión 15; R-CMF-003 y reglas de Salud</x:t>
  </x:si>
  <x:si>
    <x:t xml:space="preserve">FP-03</x:t>
  </x:si>
  <x:si>
    <x:t xml:space="preserve">La documentación funcional previa asociaba el cumplimiento del gate con Ruta activa y utilizaba datos confirmados/suficientes como condición de entrada.</x:t>
  </x:si>
  <x:si>
    <x:t xml:space="preserve">El propósito y el gate estaban definidos, pero disponibilidad del plan y decisión del usuario de seguirlo no estaban separados como estados distintos.</x:t>
  </x:si>
  <x:si>
    <x:t xml:space="preserve">El recorrido Figma hizo visible que “tener una Ruta disponible para ver” y “decidir comenzar a seguirla” son momentos distintos. La documentación previa los asociaba bajo Ruta activa y no dejaba esa transición separada.</x:t>
  </x:si>
  <x:si>
    <x:t xml:space="preserve">Gate satisfecho → Ruta elegible. RD-01/RD-02 y simulación no activan. El primer Seguir plan válido → Ruta activa; usos posteriores son continuidad idempotente.</x:t>
  </x:si>
  <x:si>
    <x:t xml:space="preserve">La elegibilidad puede consumir la lectura de Riesgo/gating de FP-01, pero el momento de activación es un ajuste propio de lifecycle y no una consecuencia automática del cambio de motor.</x:t>
  </x:si>
  <x:si>
    <x:t xml:space="preserve">La reconciliación registra como cambio acotado el evento que activa Ruta y deja las precisiones de idempotencia/reingreso como parte de su implementación determinista.</x:t>
  </x:si>
  <x:si>
    <x:t xml:space="preserve">Se mantienen el propósito de Ruta y las condiciones base de confirmación/suficiencia para acceder al plan.</x:t>
  </x:si>
  <x:si>
    <x:t xml:space="preserve">Walvy_Ruta_Despeje_v1.0 [fuente histórica]; Walvy_Onboarding_Deudas_v1.0 [fuente histórica]; recorrido Figma M04; P4-CNT-018/019/020</x:t>
  </x:si>
  <x:si>
    <x:t xml:space="preserve">Decisión 16; M4-RN-004/006/033/045</x:t>
  </x:si>
  <x:si>
    <x:t xml:space="preserve">FP-04</x:t>
  </x:si>
  <x:si>
    <x:t xml:space="preserve">El objetivo era proteger el cierre del mes; el Anexo BDD cerró fórmulas locales de colchón, holgura, espacio disponible y aporte, incluido operational_buffer_income_pct=5%.</x:t>
  </x:si>
  <x:si>
    <x:t xml:space="preserve">Cerrado como fórmula/parámetro en Anexo BDD. A la vez, Fase 3 ubicaba margen/capacidad general en Presupuesto.</x:t>
  </x:si>
  <x:si>
    <x:t xml:space="preserve">El Anexo BDD tenía un cálculo prudencial local M04, mientras Fase 3 ubicaba margen/capacidad general en Presupuesto. Para evitar dos fuentes de verdad fue necesario cerrar el ownership y la fuente canónica de sostenibilidad del aporte.</x:t>
  </x:si>
  <x:si>
    <x:t xml:space="preserve">M05 produce headroom/outcome prudencial y M04 lo consume. Se retiran como autoridad M04 el buffer/floor local 5% y el presupuesto paralelo.</x:t>
  </x:si>
  <x:si>
    <x:t xml:space="preserve">El headroom de M05 alimenta K en FP-01. Por eso cambios en capacidad pueden afectar resultados P4, pero el ajuste de ownership/cálculo se mantiene separado del reemplazo del motor rector.</x:t>
  </x:si>
  <x:si>
    <x:t xml:space="preserve">La reconciliación reconoce el retiro de la fórmula local y deja M05 como única fuente prudencial para el aporte adicional.</x:t>
  </x:si>
  <x:si>
    <x:t xml:space="preserve">Se mantiene el objetivo de proteger el cierre del mes y se mantiene separada la capacidad liberada derivada del cierre de deuda.</x:t>
  </x:si>
  <x:si>
    <x:t xml:space="preserve">Walvy_Modulo4_Fase3_Anexo_BDD_Reglas_Productivas_v1_0; Fase 3; P4-CNT-004/005/022</x:t>
  </x:si>
  <x:si>
    <x:t xml:space="preserve">Decisión 17; M4-RN-024/025/026/027/046</x:t>
  </x:si>
  <x:si>
    <x:t xml:space="preserve">FP-05</x:t>
  </x:si>
  <x:si>
    <x:t xml:space="preserve">Priorización de Ruta</x:t>
  </x:si>
  <x:si>
    <x:t xml:space="preserve">Existe evidencia funcional histórica previa que documenta menor saldo actual primero y mínimos protegidos como criterio MVP.</x:t>
  </x:si>
  <x:si>
    <x:t xml:space="preserve">La revisión específica Walvy_Ruta_Despeje_v1.0 está en elaboración; su provenance se mantiene diferenciado del baseline rector inicial.</x:t>
  </x:si>
  <x:si>
    <x:t xml:space="preserve">La v1.3 mantenía la priorización pendiente y una fuente funcional histórica documentaba menor saldo actual primero. Era necesario dejar el criterio formalmente cerrado en el contrato vigente y separar ese orden de otras prioridades.</x:t>
  </x:si>
  <x:si>
    <x:t xml:space="preserve">Snowball queda como criterio base: menor saldo actual confirmado primero, manteniendo mínimos/compromisos de las demás; las urgencias operativas se tratan por su owner correspondiente.</x:t>
  </x:si>
  <x:si>
    <x:t xml:space="preserve">Es independiente de FP-11 (prioridad local de avisos M04) y FP-10 (ganador transversal Home). Aquí se ordenan deudas dentro de Ruta, no señales ni superficies.</x:t>
  </x:si>
  <x:si>
    <x:t xml:space="preserve">La reconciliación puede cerrar el criterio que la v1.3 mantenía pendiente con una atribución histórica prudente respecto de la fuente en elaboración.</x:t>
  </x:si>
  <x:si>
    <x:t xml:space="preserve">Se mantiene menor saldo actual primero como criterio vigente, con mínimos protegidos y separación de otras prioridades.</x:t>
  </x:si>
  <x:si>
    <x:t xml:space="preserve">Walvy_Ruta_Despeje_v1.0 [fuente histórica en elaboración]; M04-RGL-028; trazas RD-01/RD-02</x:t>
  </x:si>
  <x:si>
    <x:t xml:space="preserve">Decisión 18; prioridad de deuda</x:t>
  </x:si>
  <x:si>
    <x:t xml:space="preserve">FP-06</x:t>
  </x:si>
  <x:si>
    <x:t xml:space="preserve">La documentación rectora ya contemplaba deuda→deuda y avance/crédito para liquidez como señales de presión. SD-014 y SD-015 estaban expresamente En definición.</x:t>
  </x:si>
  <x:si>
    <x:t xml:space="preserve">La intención estaba definida, pero faltaban causalidad, finalidad y recurrencia con nivel suficiente para una decisión determinista.</x:t>
  </x:si>
  <x:si>
    <x:t xml:space="preserve">SD-014 y SD-015 ya contemplaban deuda→deuda y avance/crédito para liquidez, pero estaban En definición. Faltaban causalidad, finalidad y recurrencia suficientes para decidir sin inferencia.</x:t>
  </x:si>
  <x:si>
    <x:t xml:space="preserve">Se cierran evidencia causal, finalidad conocida/desconocida, interacción con K y recurrencia por 2+ ciclos comparables, dejando las reglas implementables de forma determinista.</x:t>
  </x:si>
  <x:si>
    <x:t xml:space="preserve">Al haber sido reemplazado S0–S4 por P4 (FP-01), el efecto de estas reglas pasa a expresarse mediante K/floors P4. Esa traducción es una consecuencia del cambio rector; el cierre de causalidad/recurrencia es la precisión propia de FP-06.</x:t>
  </x:si>
  <x:si>
    <x:t xml:space="preserve">La reconciliación conserva las señales originales y registra un contrato más específico, separando el cierre de sus gaps del cambio transversal de motor.</x:t>
  </x:si>
  <x:si>
    <x:t xml:space="preserve">Se mantienen las intenciones funcionales de detectar deuda→deuda y uso de crédito para sostener liquidez.</x:t>
  </x:si>
  <x:si>
    <x:t xml:space="preserve">Walvy_Modulo4_Fase3_Reglas_Contextuales_Severidad_v1_0; M04-RGL-020/021; P4-CNT-009…013</x:t>
  </x:si>
  <x:si>
    <x:t xml:space="preserve">Decisión 19; M4-RN-019/020</x:t>
  </x:si>
  <x:si>
    <x:t xml:space="preserve">FP-07</x:t>
  </x:si>
  <x:si>
    <x:t xml:space="preserve">La documentación rectora ubicaba pagos próximos, pagos al día y vencimientos simples en Pagos/Alertas; M04 intervenía ante presión/priorización.</x:t>
  </x:si>
  <x:si>
    <x:t xml:space="preserve">La frontera funcional general estaba definida; faltaba formalizar el contrato operativo M06→M04 con el nivel actual de detalle.</x:t>
  </x:si>
  <x:si>
    <x:t xml:space="preserve">M04 no registra pagos ni gobierna el ciclo operacional. Al cerrar Deterioro y Salud era necesario definir una única fuente para hechos de pago, recurrencia y aging, evitando reconstrucciones o estados duplicados entre módulos.</x:t>
  </x:si>
  <x:si>
    <x:t xml:space="preserve">M06 queda como owner de pagos/ciclo/aging y M04 consume esa evidencia para Deterioro, Salud y Ruta.</x:t>
  </x:si>
  <x:si>
    <x:t xml:space="preserve">M06 provee Deterioro al motor P4 de FP-01 y aging/cumplimiento a Salud en FP-02. Los cambios de clasificación resultantes pertenecen a esos fundamentos, no a un cambio de ownership adicional.</x:t>
  </x:si>
  <x:si>
    <x:t xml:space="preserve">La reconciliación deja determinado qué produce M06 y qué consume M04, con una sola fuente operacional para el avance/pago.</x:t>
  </x:si>
  <x:si>
    <x:t xml:space="preserve">Se mantiene la separación funcional entre operación de pagos y lectura financiera/priorización de deuda.</x:t>
  </x:si>
  <x:si>
    <x:t xml:space="preserve">Fase 2/Fase 3 M04; M04-RGL-016; P4-CNT-006/017; Figma M04 sin acción marcar pago</x:t>
  </x:si>
  <x:si>
    <x:t xml:space="preserve">Decisión 20; M4-RN-021/049</x:t>
  </x:si>
  <x:si>
    <x:t xml:space="preserve">FP-08</x:t>
  </x:si>
  <x:si>
    <x:t xml:space="preserve">La documentación previa diferenciaba pago total, parcial, mínimo, frecuencia y evaluación por ciclo; el parcial pre-cierre requería tratamiento posterior.</x:t>
  </x:si>
  <x:si>
    <x:t xml:space="preserve">El principio de ciclo estaba definido; algunas reglas, como SD-023, seguían En definición.</x:t>
  </x:si>
  <x:si>
    <x:t xml:space="preserve">La evaluación por ciclo ya existía, pero algunas variantes seguían abiertas y sus resultados estaban expresados en la antigua taxonomía S. Con P4 era necesario normalizar las mismas evidencias dentro de Deterioro.</x:t>
  </x:si>
  <x:si>
    <x:t xml:space="preserve">Pago total/cuotas al día/costo ordinario → D0; mínimo/parcial final/arrastre aislado → D1; recurrencia confirmada → D2. El parcial pre-cierre se mantiene no concluyente hasta reconciliar el ciclo.</x:t>
  </x:si>
  <x:si>
    <x:t xml:space="preserve">Es una aplicación directa de FP-01: cambia la forma de expresar el resultado (S → D0/D1/D2) y se conserva la lógica funcional de evaluación por ciclo. FP-07 aporta la evidencia operacional desde M06.</x:t>
  </x:si>
  <x:si>
    <x:t xml:space="preserve">La reconciliación registra el mapping que Backend debe consumir sin tratar cada cambio S→D como una decisión funcional independiente.</x:t>
  </x:si>
  <x:si>
    <x:t xml:space="preserve">Se mantiene la evaluación por ciclo y la distinción entre pago total, parcial, mínimo y recurrencia.</x:t>
  </x:si>
  <x:si>
    <x:t xml:space="preserve">Anexo BDD/Fase 3; M04-RGL-041; P4-CNT-015; SD-023</x:t>
  </x:si>
  <x:si>
    <x:t xml:space="preserve">Decisión 21; M4-RN-034…038; R-TC-007/008</x:t>
  </x:si>
  <x:si>
    <x:t xml:space="preserve">FP-09</x:t>
  </x:si>
  <x:si>
    <x:t xml:space="preserve">TC / CMF</x:t>
  </x:si>
  <x:si>
    <x:t xml:space="preserve">El Anexo transversal TC fue compartido con Kabeli durante el proyecto y definía lectura del estado de cuenta TC, distribución M04/M05/M06 y mapeos de campos. CMF/SFA no era una integración activa MVP.</x:t>
  </x:si>
  <x:si>
    <x:t xml:space="preserve">TC contaba con reglas compartidas durante el proyecto. El uso del Informe CMF como fuente documental se acordó posteriormente de forma conjunta.</x:t>
  </x:si>
  <x:si>
    <x:t xml:space="preserve">Era necesario simplificar la captura documental y dejar clara la precedencia de fuentes. TC ya contaba con un anexo transversal compartido; para deudas no-TC se acordó conjuntamente utilizar Informe CMF como fuente estandarizada.</x:t>
  </x:si>
  <x:si>
    <x:t xml:space="preserve">TC conserva mayor granularidad por estado de cuenta; CMF se utiliza como fuente documental principal para no-TC y como complemento/fallback cuando corresponde, con mapeos y precedencias explícitas.</x:t>
  </x:si>
  <x:si>
    <x:t xml:space="preserve">La decisión documental es propia de FP-09. Cuando sus datos alimentan Presión/Deterioro, la traducción al motor C×K×D deriva de FP-01 y la clasificación de Salud se rige por FP-02.</x:t>
  </x:si>
  <x:si>
    <x:t xml:space="preserve">La reconciliación separa qué proviene del anexo TC y qué se deriva del acuerdo posterior sobre CMF, dejando una única lectura documental vigente.</x:t>
  </x:si>
  <x:si>
    <x:t xml:space="preserve">Se mantiene TC con mayor granularidad por estado de cuenta y se mantiene CMF como carga documental, diferenciada de una integración/Open Finance.</x:t>
  </x:si>
  <x:si>
    <x:t xml:space="preserve">Walvy_Anexo_Transversal_TC_M04_M05_M06_v1_0; correo de compartición 04-07-2026; R-TC/R-CMF; decisión conjunta del proyecto</x:t>
  </x:si>
  <x:si>
    <x:t xml:space="preserve">Decisión 22; M4-RN-048; R-TC-002/003/004/007/008; R-CMF-001/002/003</x:t>
  </x:si>
  <x:si>
    <x:t xml:space="preserve">FP-10</x:t>
  </x:si>
  <x:si>
    <x:t xml:space="preserve">Home ya era superficie consumidora y debía mantener una acción dominante sin recalcular reglas internas M04.</x:t>
  </x:si>
  <x:si>
    <x:t xml:space="preserve">La experiencia y el ownership general estaban definidos; la orquestación Backend global se dejó para cierre progresivo con los módulos.</x:t>
  </x:si>
  <x:si>
    <x:t xml:space="preserve">Home ya debía mostrar una acción dominante, pero la orquestación Backend global se dejó para cuando los módulos tuvieran señales/recomendaciones suficientemente definidas. Era necesario evitar que Home recalculara reglas internas de cada módulo.</x:t>
  </x:si>
  <x:si>
    <x:t xml:space="preserve">Cada módulo produce un candidato válido; M03/Home/orquestación compara candidatos y decide el ganador transversal y la superficie.</x:t>
  </x:si>
  <x:si>
    <x:t xml:space="preserve">FP-10 consume el resultado de FP-11: M04 primero resuelve su prioridad local y entrega un único m04_local_top_candidate; recién después M03 realiza la competencia transversal.</x:t>
  </x:si>
  <x:si>
    <x:t xml:space="preserve">La reconciliación deja explícita la frontera entre productor modular y orquestador transversal.</x:t>
  </x:si>
  <x:si>
    <x:t xml:space="preserve">Se mantiene la experiencia funcional de Home como superficie consumidora con una acción dominante.</x:t>
  </x:si>
  <x:si>
    <x:t xml:space="preserve">Discovery/Figma Home; Mis Avisos; cierre M04/M03</x:t>
  </x:si>
  <x:si>
    <x:t xml:space="preserve">Decisión 23; M4-RN-001/002</x:t>
  </x:si>
  <x:si>
    <x:t xml:space="preserve">FP-11</x:t>
  </x:si>
  <x:si>
    <x:t xml:space="preserve">Prioridad local M04</x:t>
  </x:si>
  <x:si>
    <x:t xml:space="preserve">Se había definido que cada módulo sería dueño de sus señales/recomendaciones y que la capa Backend de Mis Avisos se cerraría progresivamente al madurar cada módulo.</x:t>
  </x:si>
  <x:si>
    <x:t xml:space="preserve">La definición local estaba deliberadamente diferida; todavía no existía una regla completa para simultaneidad de situaciones M04.</x:t>
  </x:si>
  <x:si>
    <x:t xml:space="preserve">Al madurar M04 podían coexistir varias situaciones del propio módulo. Para entregar una señal clara a la orquestación global era necesario decidir cuál representa localmente a M04 sin trasladar esa lógica a Home.</x:t>
  </x:si>
  <x:si>
    <x:t xml:space="preserve">Se cierran F1–F7, bandas P0–P3, precedencias F2→F1→F3, F5→F4, F6→F7 y m04_local_top_candidate.</x:t>
  </x:si>
  <x:si>
    <x:t xml:space="preserve">FP-11 resuelve prioridad local dentro de M04 y alimenta FP-10. No define la prioridad transversal entre M04/M05/M06 ni el ganador final de Home.</x:t>
  </x:si>
  <x:si>
    <x:t xml:space="preserve">La reconciliación incorpora una especificación local implementable que permite a M04 entregar un único candidato a M03.</x:t>
  </x:si>
  <x:si>
    <x:t xml:space="preserve">Se mantiene M03 como owner de la prioridad global y M04 como owner de sus señales/recomendaciones locales.</x:t>
  </x:si>
  <x:si>
    <x:t xml:space="preserve">Historial/cierre Mis Avisos M04; 7 familias; prioridad local P0–P3</x:t>
  </x:si>
  <x:si>
    <x:t xml:space="preserve">Decisión 23 y catálogo Mis Avisos M04</x:t>
  </x:si>
  <x:si>
    <x:t xml:space="preserve">FP-12</x:t>
  </x:si>
  <x:si>
    <x:t xml:space="preserve">RD-02 Simulación / aceptación / rollback</x:t>
  </x:si>
  <x:si>
    <x:t xml:space="preserve">Simulación, plan base sin aporte, escenario positivo, manual referencial y CTAs ya existían en Discovery/Figma.</x:t>
  </x:si>
  <x:si>
    <x:t xml:space="preserve">La capacidad existía, pero Figma no cubría todas las variantes ni la vuelta al plan previo después de aceptar.</x:t>
  </x:si>
  <x:si>
    <x:t xml:space="preserve">El Figma representaba la simulación positiva, pero no todas las variantes y no contemplaba volver al plan previo después de aceptar. El recorrido funcional hizo visibles esos casos de uso faltantes.</x:t>
  </x:si>
  <x:si>
    <x:t xml:space="preserve">Se cierran positivo / 0-no recomendado / no evaluable / manual, preview cancelado, aceptación persistida y rollback al plan anterior con sus reglas de invalidación.</x:t>
  </x:si>
  <x:si>
    <x:t xml:space="preserve">El outcome prudencial que origina positivo/0/no evaluable proviene de FP-04. Aceptar una simulación modifica el plan seleccionado, pero no activa Ruta: la activación sigue gobernada por FP-03.</x:t>
  </x:si>
  <x:si>
    <x:t xml:space="preserve">La reconciliación distingue precisiones de una simulación ya existente del comportamiento posterior de rollback que se incorporó al cerrar el gap del flujo.</x:t>
  </x:si>
  <x:si>
    <x:t xml:space="preserve">Se mantiene RD-02 como simulación de aporte; el escenario 0 sigue siendo resultado conocido y distinto de no evaluable.</x:t>
  </x:si>
  <x:si>
    <x:t xml:space="preserve">Fase 2/Anexo BDD; Figma RD-02; relato hablado M04; cierre RD-02</x:t>
  </x:si>
  <x:si>
    <x:t xml:space="preserve">Variantes/rollback; reglas de simulación relacionadas</x:t>
  </x:si>
  <x:si>
    <x:t xml:space="preserve">FP-13</x:t>
  </x:si>
  <x:si>
    <x:t xml:space="preserve">7 familias + lifecycle</x:t>
  </x:si>
  <x:si>
    <x:t xml:space="preserve">Existían 17 AVI y conceptos de señal, resolución, prioridad candidata y deduplicación; todavía no existía catálogo Backend final.</x:t>
  </x:si>
  <x:si>
    <x:t xml:space="preserve">La definición se dejó para el cierre funcional de M04, cuando las señales y recomendaciones del módulo estuvieran suficientemente aterrizadas.</x:t>
  </x:si>
  <x:si>
    <x:t xml:space="preserve">Los 17 AVI históricos mezclaban situaciones autónomas con reasons, estados, outputs y pasos de lifecycle. Al cerrar M04 era necesario evitar proliferar avisos y determinar cuándo nace, cambia o se resuelve cada situación.</x:t>
  </x:si>
  <x:si>
    <x:t xml:space="preserve">Se consolidan 7 familias canónicas + 10 roles no autónomos y se formaliza lifecycle born / updated / resolved.</x:t>
  </x:si>
  <x:si>
    <x:t xml:space="preserve">FP-13 define el catálogo productor. FP-11 decide cuál familia/situación representa localmente a M04 y FP-10 decide, ya en M03, si ese candidato gana la superficie transversal.</x:t>
  </x:si>
  <x:si>
    <x:t xml:space="preserve">La reconciliación incorpora un contrato productor más preciso sin transformar cada AVI histórico en una funcionalidad o aviso independiente.</x:t>
  </x:si>
  <x:si>
    <x:t xml:space="preserve">Se preserva la semántica de los 17 AVI como lineage; reasons, states y outputs se integran dentro de las familias correspondientes.</x:t>
  </x:si>
  <x:si>
    <x:t xml:space="preserve">Mis Avisos M04; lineage 17 AVI; cierre BC-M04-002</x:t>
  </x:si>
  <x:si>
    <x:t xml:space="preserve">Catálogo/lifecycle de señales M04</x:t>
  </x:si>
  <x:si>
    <x:t xml:space="preserve">FP-14</x:t>
  </x:si>
  <x:si>
    <x:t xml:space="preserve">FLOW-M04-023 · cierre de deuda</x:t>
  </x:si>
  <x:si>
    <x:t xml:space="preserve">Cierre, confirmación humana, closed, exclusión de deuda activa, recálculo y siguiente deuda ya estaban definidos.</x:t>
  </x:si>
  <x:si>
    <x:t xml:space="preserve">Funcionalmente estaba cerrado; quedaba por precisar el postestado visual inmediato después de confirmar cierre.</x:t>
  </x:si>
  <x:si>
    <x:t xml:space="preserve">La regla financiera de cierre ya estaba definida; lo que faltaba era la transición visual inmediata después de confirmar el cierre.</x:t>
  </x:si>
  <x:si>
    <x:t xml:space="preserve">Figma completa la secuencia 100% → posible cierre → confirmar → felicitaciones → continuar → RD-03 Avance actualizado.</x:t>
  </x:si>
  <x:si>
    <x:t xml:space="preserve">Es un control No-Loss. El cierre confirmado puede resolver/generar situaciones F6/F7 dentro de FP-13, pero no redefine Presión, pagos ni el algoritmo de Ruta.</x:t>
  </x:si>
  <x:si>
    <x:t xml:space="preserve">La reconciliación debe preservar la secuencia final ya cerrada y evitar reabrir una decisión funcional resuelta.</x:t>
  </x:si>
  <x:si>
    <x:t xml:space="preserve">Se mantienen la regla financiera de cierre y el recálculo posterior; la precisión se concentra en la transición visual.</x:t>
  </x:si>
  <x:si>
    <x:t xml:space="preserve">Fase 2/Fase 4; Figma 4.5; TR-M04-125…129</x:t>
  </x:si>
  <x:si>
    <x:t xml:space="preserve">No-Loss cierre de deuda</x:t>
  </x:si>
  <x:si>
    <x:t xml:space="preserve">FP-15</x:t>
  </x:si>
  <x:si>
    <x:t xml:space="preserve">Fronteras M02/M05</x:t>
  </x:si>
  <x:si>
    <x:t xml:space="preserve">Disponible pertenece a M02; Presupuesto/M05 es owner de margen/capacidad del período.</x:t>
  </x:si>
  <x:si>
    <x:t xml:space="preserve">El ownership está cerrado; M04 necesita consumir outputs aprobados sin duplicar su cálculo.</x:t>
  </x:si>
  <x:si>
    <x:t xml:space="preserve">M04 necesita consumir información de M02/M05 sin duplicar cálculos ni apropiarse de políticas de otros módulos. También era necesario evitar que resiliencia agregara ruido o variables no aprobadas al motor M04.</x:t>
  </x:si>
  <x:si>
    <x:t xml:space="preserve">Disponible permanece en M02; headroom/outcome prudencial en M05; M04 consume esos outputs. Resiliencia permanece bajo M05 y fuera de Presión, Salud, K, D, elegibilidad y activación M04.</x:t>
  </x:si>
  <x:si>
    <x:t xml:space="preserve">FP-04 utiliza headroom M05 para K. Disponible y resiliencia no se incorporan como variables adicionales del motor FP-01 ni de la clasificación FP-02/FP-03.</x:t>
  </x:si>
  <x:si>
    <x:t xml:space="preserve">La reconciliación mantiene M02/M05 como fuentes canónicas y reduce el acoplamiento de M04 a lo estrictamente necesario.</x:t>
  </x:si>
  <x:si>
    <x:t xml:space="preserve">Se mantiene M04 centrado en Presión, Salud y Ruta; cualquier política cuantitativa de resiliencia se define dentro del contrato M05.</x:t>
  </x:si>
  <x:si>
    <x:t xml:space="preserve">05_Condiciones_y_Limites; contrato M02/M05; cierre M04</x:t>
  </x:si>
  <x:si>
    <x:t xml:space="preserve">Fronteras intermodulares y control No-Loss</x:t>
  </x:si>
  <x:si>
    <x:t xml:space="preserve">FP-16</x:t>
  </x:si>
  <x:si>
    <x:t xml:space="preserve">Gaps UX vigentes</x:t>
  </x:si>
  <x:si>
    <x:t xml:space="preserve">Los contratos funcionales/Backend aplicables están cerrados o correctamente asignados a otro owner.</x:t>
  </x:si>
  <x:si>
    <x:t xml:space="preserve">Permanecen pendientes de materialización RD-02 variantes/rollback, Disponible editable M02 y campana transversal.</x:t>
  </x:si>
  <x:si>
    <x:t xml:space="preserve">El contrato funcional/Backend quedó cerrado, pero el reverse-check visual mostró tres puntos que aún requieren materialización específica en Figma.</x:t>
  </x:si>
  <x:si>
    <x:t xml:space="preserve">Pendientes UX: variantes/rollback RD-02; edición de Disponible M02 mediante affordance + Sheet/modal; definición transversal de qué abre la campana.</x:t>
  </x:si>
  <x:si>
    <x:t xml:space="preserve">RD-02 se conecta con FP-12; Disponible con FP-15; la campana con la orquestación/avisos de FP-10/FP-13. Ninguno agrega una regla Backend M04 nueva.</x:t>
  </x:si>
  <x:si>
    <x:t xml:space="preserve">La reconciliación debe mantener estos puntos como pendientes UX/Figma y no convertirlos en decisiones funcionales que deban inferirse desde M04.</x:t>
  </x:si>
  <x:si>
    <x:t xml:space="preserve">Se mantienen los contratos Backend ya cerrados y las superficies existentes; solo falta completar su materialización visual donde corresponde.</x:t>
  </x:si>
  <x:si>
    <x:t xml:space="preserve">Figma M04/M02/M03; recorrido funcional; cierre de gaps focales</x:t>
  </x:si>
  <x:si>
    <x:t xml:space="preserve">Control transversal No-Loss/UX</x:t>
  </x:si>
</x:sst>
</file>

<file path=xl/styles.xml><?xml version="1.0" encoding="utf-8"?>
<x:styleSheet xmlns:x="http://schemas.openxmlformats.org/spreadsheetml/2006/main">
  <x:fonts count="20">
    <x:font>
      <x:sz val="11"/>
      <x:color theme="1"/>
      <x:name val="Calibri"/>
    </x:font>
    <x:font>
      <x:b/>
      <x:sz val="15"/>
      <x:color rgb="FFFFFFFF"/>
      <x:name val="Calibri"/>
    </x:font>
    <x:font>
      <x:sz val="10"/>
      <x:color rgb="FF5B6876"/>
      <x:name val="Calibri"/>
    </x:font>
    <x:font>
      <x:b/>
      <x:sz val="10"/>
      <x:color rgb="FF17365D"/>
      <x:name val="Calibri"/>
    </x:font>
    <x:font>
      <x:sz val="10"/>
      <x:color rgb="FF26384A"/>
      <x:name val="Calibri"/>
    </x:font>
    <x:font>
      <x:b/>
      <x:sz val="9"/>
      <x:color rgb="FFFFFFFF"/>
      <x:name val="Calibri"/>
    </x:font>
    <x:font>
      <x:sz val="9"/>
      <x:color rgb="FF26384A"/>
      <x:name val="Calibri"/>
    </x:font>
    <x:font>
      <x:b/>
      <x:sz val="12"/>
      <x:color rgb="FF17365D"/>
      <x:name val="Calibri"/>
    </x:font>
    <x:font>
      <x:b/>
      <x:sz val="12"/>
      <x:color rgb="FF17365D"/>
      <x:name val="Aptos"/>
    </x:font>
    <x:font>
      <x:b/>
      <x:sz val="9"/>
      <x:color rgb="FF0E7C86"/>
      <x:name val="Aptos"/>
    </x:font>
    <x:font>
      <x:sz val="9"/>
      <x:color rgb="FF000000"/>
      <x:name val="Aptos"/>
    </x:font>
    <x:font>
      <x:b/>
      <x:sz val="10"/>
      <x:color rgb="FF17365D"/>
      <x:name val="Aptos"/>
    </x:font>
    <x:font>
      <x:sz val="10"/>
      <x:color rgb="FF26384A"/>
      <x:name val="Aptos"/>
    </x:font>
    <x:font>
      <x:b/>
      <x:sz val="9"/>
      <x:color rgb="FFFFFFFF"/>
      <x:name val="Aptos"/>
    </x:font>
    <x:font>
      <x:sz val="9"/>
      <x:color rgb="FF26384A"/>
      <x:name val="Aptos"/>
    </x:font>
    <x:font>
      <x:sz val="11"/>
      <x:color theme="1"/>
      <x:name val="Aptos"/>
    </x:font>
    <x:font>
      <x:b/>
      <x:sz val="14"/>
      <x:color rgb="FFFFFFFF"/>
      <x:name val="Calibri"/>
    </x:font>
    <x:font>
      <x:i/>
      <x:sz val="11"/>
      <x:color rgb="FF425466"/>
      <x:name val="Calibri"/>
    </x:font>
    <x:font>
      <x:b/>
      <x:sz val="11"/>
      <x:color rgb="FFFFFFFF"/>
      <x:name val="Calibri"/>
    </x:font>
    <x:font>
      <x:i/>
      <x:sz val="10"/>
      <x:color rgb="FF4F5B62"/>
      <x:name val="Calibri"/>
    </x:font>
  </x:fonts>
  <x:fills count="13">
    <x:fill>
      <x:patternFill patternType="none"/>
    </x:fill>
    <x:fill>
      <x:patternFill patternType="gray125"/>
    </x:fill>
    <x:fill>
      <x:patternFill patternType="solid">
        <x:fgColor rgb="FF17365D"/>
      </x:patternFill>
    </x:fill>
    <x:fill>
      <x:patternFill patternType="solid">
        <x:fgColor rgb="FFF4F7FA"/>
      </x:patternFill>
    </x:fill>
    <x:fill>
      <x:patternFill patternType="solid">
        <x:fgColor rgb="FF0F6B78"/>
      </x:patternFill>
    </x:fill>
    <x:fill>
      <x:patternFill patternType="solid">
        <x:fgColor rgb="FFFFFFFF"/>
      </x:patternFill>
    </x:fill>
    <x:fill>
      <x:patternFill patternType="solid">
        <x:fgColor rgb="FFF8FAFC"/>
      </x:patternFill>
    </x:fill>
    <x:fill>
      <x:patternFill patternType="solid">
        <x:fgColor rgb="FFF2F5F7"/>
      </x:patternFill>
    </x:fill>
    <x:fill>
      <x:patternFill patternType="solid">
        <x:fgColor rgb="FF17375E"/>
      </x:patternFill>
    </x:fill>
    <x:fill>
      <x:patternFill patternType="solid">
        <x:fgColor rgb="FFEEF3F7"/>
      </x:patternFill>
    </x:fill>
    <x:fill>
      <x:patternFill patternType="solid">
        <x:fgColor rgb="FF0B7B87"/>
      </x:patternFill>
    </x:fill>
    <x:fill>
      <x:patternFill patternType="solid">
        <x:fgColor rgb="FFF7F9FB"/>
      </x:patternFill>
    </x:fill>
    <x:fill>
      <x:patternFill patternType="solid">
        <x:fgColor rgb="FFF2F5F6"/>
      </x:patternFill>
    </x:fill>
  </x:fills>
  <x:borders count="7">
    <x:border/>
    <x:border>
      <x:bottom style="thin">
        <x:color rgb="FFD9E2EA"/>
      </x:bottom>
    </x:border>
    <x:border>
      <x:bottom style="hair">
        <x:color rgb="FFD9E2EA"/>
      </x:bottom>
    </x:border>
    <x:border/>
    <x:border/>
    <x:border>
      <x:bottom style="thin">
        <x:color rgb="FFD9E2EA"/>
      </x:bottom>
    </x:border>
    <x:border>
      <x:bottom style="hair">
        <x:color rgb="FFD9E2EA"/>
      </x:bottom>
    </x:border>
  </x:borders>
  <x:cellStyleXfs count="1">
    <x:xf numFmtId="0" fontId="0" fillId="0" borderId="3"/>
  </x:cellStyleXfs>
  <x:cellXfs count="105">
    <x:xf numFmtId="0" fontId="0" fillId="0" borderId="0" xfId="0" applyBorder="1"/>
    <x:xf numFmtId="0" fontId="5" fillId="4" borderId="1" xfId="0" applyFont="1" applyFill="1" applyBorder="1" applyAlignment="1">
      <x:alignment horizontal="center" vertical="center" wrapText="1"/>
    </x:xf>
    <x:xf numFmtId="0" fontId="6" fillId="5" borderId="2" xfId="0" applyFont="1" applyFill="1" applyBorder="1" applyAlignment="1">
      <x:alignment vertical="top" wrapText="1"/>
    </x:xf>
    <x:xf numFmtId="0" fontId="6" fillId="6" borderId="2" xfId="0" applyFont="1" applyFill="1" applyBorder="1" applyAlignment="1">
      <x:alignment vertical="top" wrapText="1"/>
    </x:xf>
    <x:xf numFmtId="0" fontId="6" fillId="0" borderId="2" xfId="0" applyFont="1" applyBorder="1" applyAlignment="1">
      <x:alignment vertical="top" wrapText="1"/>
    </x:xf>
    <x:xf numFmtId="0" fontId="13" fillId="4" borderId="1" xfId="0" applyFont="1" applyFill="1" applyBorder="1" applyAlignment="1">
      <x:alignment horizontal="center" vertical="center" wrapText="1"/>
    </x:xf>
    <x:xf numFmtId="0" fontId="14" fillId="5" borderId="2" xfId="0" applyFont="1" applyFill="1" applyBorder="1" applyAlignment="1">
      <x:alignment vertical="top" wrapText="1"/>
    </x:xf>
    <x:xf numFmtId="0" fontId="14" fillId="5" borderId="2" xfId="0" applyFont="1" applyFill="1" applyBorder="1" applyAlignment="1">
      <x:alignment horizontal="center" vertical="center" wrapText="1"/>
    </x:xf>
    <x:xf numFmtId="0" fontId="14" fillId="6" borderId="2" xfId="0" applyFont="1" applyFill="1" applyBorder="1" applyAlignment="1">
      <x:alignment vertical="top" wrapText="1"/>
    </x:xf>
    <x:xf numFmtId="0" fontId="14" fillId="6" borderId="2" xfId="0" applyFont="1" applyFill="1" applyBorder="1" applyAlignment="1">
      <x:alignment horizontal="center" vertical="center" wrapText="1"/>
    </x:xf>
    <x:xf numFmtId="0" fontId="10" fillId="0" borderId="3" xfId="0" applyFont="1" applyAlignment="1">
      <x:alignment vertical="top" wrapText="1"/>
    </x:xf>
    <x:xf numFmtId="0" fontId="2" fillId="3" borderId="3" xfId="0" applyFont="1" applyFill="1" applyAlignment="1">
      <x:alignment vertical="center" wrapText="1"/>
    </x:xf>
    <x:xf numFmtId="0" fontId="1" fillId="2" borderId="3" xfId="0" applyFont="1" applyFill="1" applyAlignment="1">
      <x:alignment vertical="center"/>
    </x:xf>
    <x:xf numFmtId="0" fontId="15" fillId="7" borderId="3" xfId="0" applyFont="1" applyFill="1" applyAlignment="1">
      <x:alignment vertical="top" wrapText="1"/>
    </x:xf>
    <x:xf numFmtId="0" fontId="17" fillId="9" borderId="3" xfId="0" applyFont="1" applyFill="1" applyAlignment="1">
      <x:alignment vertical="center" wrapText="1"/>
    </x:xf>
    <x:xf numFmtId="0" fontId="16" fillId="8" borderId="3" xfId="0" applyFont="1" applyFill="1" applyAlignment="1">
      <x:alignment vertical="center" wrapText="1"/>
    </x:xf>
    <x:xf numFmtId="0" fontId="18" fillId="8" borderId="3" xfId="0" applyFont="1" applyFill="1" applyAlignment="1">
      <x:alignment vertical="center" wrapText="1"/>
    </x:xf>
    <x:xf numFmtId="0" fontId="0" fillId="0" borderId="3" xfId="0" applyAlignment="1"/>
    <x:xf numFmtId="0" fontId="0" fillId="0" borderId="3" xfId="0" applyBorder="1"/>
    <x:xf numFmtId="0" fontId="3" fillId="0" borderId="3" xfId="0" applyFont="1" applyBorder="1"/>
    <x:xf numFmtId="0" fontId="4" fillId="0" borderId="3" xfId="0" applyFont="1" applyBorder="1" applyAlignment="1">
      <x:alignment wrapText="1"/>
    </x:xf>
    <x:xf numFmtId="0" fontId="11" fillId="0" borderId="3" xfId="0" applyFont="1" applyBorder="1"/>
    <x:xf numFmtId="0" fontId="12" fillId="0" borderId="3" xfId="0" applyFont="1" applyBorder="1" applyAlignment="1">
      <x:alignment wrapText="1"/>
    </x:xf>
    <x:xf numFmtId="0" fontId="7" fillId="0" borderId="3" xfId="0" applyFont="1" applyBorder="1"/>
    <x:xf numFmtId="0" fontId="8" fillId="0" borderId="3" xfId="0" applyFont="1" applyBorder="1"/>
    <x:xf numFmtId="0" fontId="0" fillId="0" borderId="3" xfId="0" applyBorder="1" applyAlignment="1">
      <x:alignment vertical="top" wrapText="1"/>
    </x:xf>
    <x:xf numFmtId="0" fontId="9" fillId="0" borderId="3" xfId="0" applyFont="1" applyBorder="1"/>
    <x:xf numFmtId="0" fontId="0" fillId="3" borderId="3" xfId="0" applyFill="1" applyBorder="1" applyAlignment="1">
      <x:alignment vertical="top" wrapText="1"/>
    </x:xf>
    <x:xf numFmtId="0" fontId="0" fillId="0" borderId="3" xfId="0" applyBorder="1" applyAlignment="1"/>
    <x:xf numFmtId="0" fontId="0" fillId="0" borderId="3" xfId="0" applyBorder="1" applyAlignment="1">
      <x:alignment wrapText="1"/>
    </x:xf>
    <x:xf numFmtId="0" fontId="18" fillId="10" borderId="3" xfId="0" applyFont="1" applyFill="1" applyBorder="1" applyAlignment="1">
      <x:alignment vertical="center" wrapText="1"/>
    </x:xf>
    <x:xf numFmtId="0" fontId="0" fillId="11" borderId="3" xfId="0" applyFill="1" applyBorder="1" applyAlignment="1">
      <x:alignment vertical="top" wrapText="1"/>
    </x:xf>
    <x:xf numFmtId="0" fontId="18" fillId="10" borderId="3" xfId="0" applyFont="1" applyFill="1" applyBorder="1" applyAlignment="1">
      <x:alignment vertical="top" wrapText="1"/>
    </x:xf>
    <x:xf numFmtId="0" fontId="16" fillId="8" borderId="3" xfId="0" applyFont="1" applyFill="1" applyBorder="1" applyAlignment="1">
      <x:alignment vertical="center" wrapText="1"/>
    </x:xf>
    <x:xf numFmtId="0" fontId="19" fillId="12" borderId="3" xfId="0" applyFont="1" applyFill="1" applyBorder="1" applyAlignment="1">
      <x:alignment vertical="top" wrapText="1"/>
    </x:xf>
    <x:xf numFmtId="0" fontId="19" fillId="12" borderId="3" xfId="0" applyFont="1" applyFill="1" applyBorder="1" applyAlignment="1">
      <x:alignment vertical="top" wrapText="1"/>
    </x:xf>
    <x:xf numFmtId="0" fontId="0" fillId="0" borderId="4" xfId="0" applyNumberFormat="1" applyFont="1" applyFill="1" applyBorder="1"/>
    <x:xf numFmtId="0" fontId="5" fillId="4" borderId="5" xfId="0" applyNumberFormat="1" applyFont="1" applyFill="1" applyBorder="1" applyAlignment="1">
      <x:alignment horizontal="center" vertical="center" wrapText="1"/>
    </x:xf>
    <x:xf numFmtId="0" fontId="6" fillId="5" borderId="6" xfId="0" applyNumberFormat="1" applyFont="1" applyFill="1" applyBorder="1" applyAlignment="1">
      <x:alignment vertical="top" wrapText="1"/>
    </x:xf>
    <x:xf numFmtId="0" fontId="6" fillId="6" borderId="6"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13" fillId="4" borderId="5" xfId="0" applyNumberFormat="1" applyFont="1" applyFill="1" applyBorder="1" applyAlignment="1">
      <x:alignment horizontal="center" vertical="center" wrapText="1"/>
    </x:xf>
    <x:xf numFmtId="0" fontId="14" fillId="5" borderId="6" xfId="0" applyNumberFormat="1" applyFont="1" applyFill="1" applyBorder="1" applyAlignment="1">
      <x:alignment vertical="top" wrapText="1"/>
    </x:xf>
    <x:xf numFmtId="0" fontId="14" fillId="5" borderId="6" xfId="0" applyNumberFormat="1" applyFont="1" applyFill="1" applyBorder="1" applyAlignment="1">
      <x:alignment horizontal="center" vertical="center" wrapText="1"/>
    </x:xf>
    <x:xf numFmtId="0" fontId="14" fillId="6" borderId="6" xfId="0" applyNumberFormat="1" applyFont="1" applyFill="1" applyBorder="1" applyAlignment="1">
      <x:alignment vertical="top" wrapText="1"/>
    </x:xf>
    <x:xf numFmtId="0" fontId="14" fillId="6" borderId="6" xfId="0" applyNumberFormat="1" applyFont="1" applyFill="1" applyBorder="1" applyAlignment="1">
      <x:alignment horizontal="center" vertical="center" wrapText="1"/>
    </x:xf>
    <x:xf numFmtId="0" fontId="10" fillId="0" borderId="4" xfId="0" applyNumberFormat="1" applyFont="1" applyFill="1" applyBorder="1" applyAlignment="1">
      <x:alignment vertical="top" wrapText="1"/>
    </x:xf>
    <x:xf numFmtId="0" fontId="2" fillId="3" borderId="4" xfId="0" applyNumberFormat="1" applyFont="1" applyFill="1" applyBorder="1" applyAlignment="1">
      <x:alignment vertical="center" wrapText="1"/>
    </x:xf>
    <x:xf numFmtId="0" fontId="1" fillId="2" borderId="4" xfId="0" applyNumberFormat="1" applyFont="1" applyFill="1" applyBorder="1" applyAlignment="1">
      <x:alignment vertical="center"/>
    </x:xf>
    <x:xf numFmtId="0" fontId="15" fillId="7" borderId="4" xfId="0" applyNumberFormat="1" applyFont="1" applyFill="1" applyBorder="1" applyAlignment="1">
      <x:alignment vertical="top" wrapText="1"/>
    </x:xf>
    <x:xf numFmtId="0" fontId="17" fillId="9" borderId="4" xfId="0" applyNumberFormat="1" applyFont="1" applyFill="1" applyBorder="1" applyAlignment="1">
      <x:alignment vertical="center" wrapText="1"/>
    </x:xf>
    <x:xf numFmtId="0" fontId="16" fillId="8" borderId="4" xfId="0" applyNumberFormat="1" applyFont="1" applyFill="1" applyBorder="1" applyAlignment="1">
      <x:alignment vertical="center" wrapText="1"/>
    </x:xf>
    <x:xf numFmtId="0" fontId="18" fillId="8" borderId="4" xfId="0" applyNumberFormat="1" applyFont="1" applyFill="1" applyBorder="1" applyAlignment="1">
      <x:alignment vertical="center" wrapText="1"/>
    </x:xf>
    <x:xf numFmtId="0" fontId="3" fillId="0" borderId="4" xfId="0" applyNumberFormat="1" applyFont="1" applyFill="1" applyBorder="1"/>
    <x:xf numFmtId="0" fontId="4" fillId="0" borderId="4" xfId="0" applyNumberFormat="1" applyFont="1" applyFill="1" applyBorder="1" applyAlignment="1">
      <x:alignment wrapText="1"/>
    </x:xf>
    <x:xf numFmtId="0" fontId="11" fillId="0" borderId="4" xfId="0" applyNumberFormat="1" applyFont="1" applyFill="1" applyBorder="1"/>
    <x:xf numFmtId="0" fontId="12" fillId="0" borderId="4" xfId="0" applyNumberFormat="1" applyFont="1" applyFill="1" applyBorder="1" applyAlignment="1">
      <x:alignment wrapText="1"/>
    </x:xf>
    <x:xf numFmtId="0" fontId="7" fillId="0" borderId="4" xfId="0" applyNumberFormat="1" applyFont="1" applyFill="1" applyBorder="1"/>
    <x:xf numFmtId="0" fontId="8" fillId="0" borderId="4" xfId="0" applyNumberFormat="1" applyFont="1" applyFill="1" applyBorder="1"/>
    <x:xf numFmtId="0" fontId="0" fillId="0" borderId="4" xfId="0" applyNumberFormat="1" applyFont="1" applyFill="1" applyBorder="1" applyAlignment="1">
      <x:alignment vertical="top" wrapText="1"/>
    </x:xf>
    <x:xf numFmtId="0" fontId="9" fillId="0" borderId="4" xfId="0" applyNumberFormat="1" applyFont="1" applyFill="1" applyBorder="1"/>
    <x:xf numFmtId="0" fontId="0" fillId="3" borderId="4" xfId="0" applyNumberFormat="1" applyFont="1" applyFill="1" applyBorder="1" applyAlignment="1">
      <x:alignment vertical="top" wrapText="1"/>
    </x:xf>
    <x:xf numFmtId="0" fontId="0" fillId="0" borderId="4" xfId="0" applyNumberFormat="1" applyFont="1" applyFill="1" applyBorder="1" applyAlignment="1">
      <x:alignment wrapText="1"/>
    </x:xf>
    <x:xf numFmtId="0" fontId="18" fillId="10" borderId="4" xfId="0" applyNumberFormat="1" applyFont="1" applyFill="1" applyBorder="1" applyAlignment="1">
      <x:alignment vertical="center" wrapText="1"/>
    </x:xf>
    <x:xf numFmtId="0" fontId="0" fillId="11" borderId="4" xfId="0" applyNumberFormat="1" applyFont="1" applyFill="1" applyBorder="1" applyAlignment="1">
      <x:alignment vertical="top" wrapText="1"/>
    </x:xf>
    <x:xf numFmtId="0" fontId="18" fillId="10" borderId="4" xfId="0" applyNumberFormat="1" applyFont="1" applyFill="1" applyBorder="1" applyAlignment="1">
      <x:alignment vertical="top" wrapText="1"/>
    </x:xf>
    <x:xf numFmtId="0" fontId="19" fillId="12" borderId="4" xfId="0" applyNumberFormat="1" applyFont="1" applyFill="1" applyBorder="1" applyAlignment="1">
      <x:alignment vertical="top" wrapText="1"/>
    </x:xf>
    <x:xf numFmtId="0" fontId="6" fillId="6" borderId="2"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4" fillId="6" borderId="2" xfId="0" applyNumberFormat="1" applyFont="1" applyFill="1" applyBorder="1" applyAlignment="1">
      <x:alignment vertical="top" wrapText="1"/>
    </x:xf>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3"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11" fillId="0" borderId="0" xfId="0" applyNumberFormat="1" applyFont="1" applyFill="1" applyBorder="1" applyAlignment="1">
      <x:alignment wrapText="1"/>
    </x:xf>
    <x:xf numFmtId="0" fontId="12" fillId="0" borderId="0" xfId="0" applyNumberFormat="1" applyFont="1" applyFill="1" applyBorder="1" applyAlignment="1">
      <x:alignment wrapText="1"/>
    </x:xf>
    <x:xf numFmtId="0" fontId="13" fillId="4" borderId="1" xfId="0" applyNumberFormat="1" applyFont="1" applyFill="1" applyBorder="1" applyAlignment="1">
      <x:alignment horizontal="center" vertical="center" wrapText="1"/>
    </x:xf>
    <x:xf numFmtId="0" fontId="14" fillId="5" borderId="2" xfId="0" applyNumberFormat="1" applyFont="1" applyFill="1" applyBorder="1" applyAlignment="1">
      <x:alignment vertical="top" wrapText="1"/>
    </x:xf>
    <x:xf numFmtId="0" fontId="14" fillId="5" borderId="2" xfId="0" applyNumberFormat="1" applyFont="1" applyFill="1" applyBorder="1" applyAlignment="1">
      <x:alignment horizontal="center" vertical="center" wrapText="1"/>
    </x:xf>
    <x:xf numFmtId="0" fontId="14" fillId="6" borderId="2" xfId="0" applyNumberFormat="1" applyFont="1" applyFill="1" applyBorder="1" applyAlignment="1">
      <x:alignment horizontal="center" vertical="center" wrapText="1"/>
    </x:xf>
    <x:xf numFmtId="0" fontId="7" fillId="0" borderId="0" xfId="0" applyNumberFormat="1" applyFont="1" applyFill="1" applyBorder="1" applyAlignment="1">
      <x:alignment wrapText="1"/>
    </x:xf>
    <x:xf numFmtId="0" fontId="8" fillId="0" borderId="0" xfId="0" applyNumberFormat="1" applyFont="1" applyFill="1" applyBorder="1" applyAlignment="1">
      <x:alignment wrapText="1"/>
    </x:xf>
    <x:xf numFmtId="0" fontId="9"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15" fillId="7" borderId="0" xfId="0" applyNumberFormat="1" applyFont="1" applyFill="1" applyBorder="1" applyAlignment="1">
      <x:alignment vertical="top" wrapText="1"/>
    </x:xf>
    <x:xf numFmtId="0" fontId="1" fillId="2" borderId="4" xfId="0" applyNumberFormat="1" applyFont="1" applyFill="1" applyBorder="1" applyAlignment="1">
      <x:alignment vertical="center" wrapText="1"/>
    </x:xf>
    <x:xf numFmtId="0" fontId="3" fillId="0" borderId="4" xfId="0" applyNumberFormat="1" applyFont="1" applyFill="1" applyBorder="1" applyAlignment="1">
      <x:alignment wrapText="1"/>
    </x:xf>
    <x:xf numFmtId="0" fontId="11" fillId="0" borderId="4" xfId="0" applyNumberFormat="1" applyFont="1" applyFill="1" applyBorder="1" applyAlignment="1">
      <x:alignment wrapText="1"/>
    </x:xf>
    <x:xf numFmtId="0" fontId="7" fillId="0" borderId="4" xfId="0" applyNumberFormat="1" applyFont="1" applyFill="1" applyBorder="1" applyAlignment="1">
      <x:alignment wrapText="1"/>
    </x:xf>
    <x:xf numFmtId="0" fontId="8" fillId="0" borderId="4" xfId="0" applyNumberFormat="1" applyFont="1" applyFill="1" applyBorder="1" applyAlignment="1">
      <x:alignment wrapText="1"/>
    </x:xf>
    <x:xf numFmtId="0" fontId="9" fillId="0" borderId="4" xfId="0" applyNumberFormat="1" applyFont="1" applyFill="1" applyBorder="1" applyAlignment="1">
      <x:alignment wrapText="1"/>
    </x:xf>
    <x:xf numFmtId="0" fontId="1"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3" fillId="4" borderId="1" xfId="0" applyNumberFormat="1" applyFont="1" applyFill="1" applyBorder="1" applyAlignment="1">
      <x:alignment horizontal="center" vertical="top" wrapText="1"/>
    </x:xf>
    <x:xf numFmtId="0" fontId="14" fillId="5" borderId="2" xfId="0" applyNumberFormat="1" applyFont="1" applyFill="1" applyBorder="1" applyAlignment="1">
      <x:alignment horizontal="center" vertical="top" wrapText="1"/>
    </x:xf>
    <x:xf numFmtId="0" fontId="14" fillId="6" borderId="2" xfId="0" applyNumberFormat="1" applyFont="1" applyFill="1" applyBorder="1" applyAlignment="1">
      <x:alignment horizontal="center" vertical="top" wrapText="1"/>
    </x:xf>
    <x:xf numFmtId="0" fontId="7"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9" fillId="0" borderId="0" xfId="0" applyNumberFormat="1" applyFont="1" applyFill="1" applyBorder="1" applyAlignment="1">
      <x:alignment vertical="top" wrapText="1"/>
    </x:xf>
  </x:cellXfs>
  <x:cellStyles count="1">
    <x:cellStyle name="Normal" xfId="0"/>
  </x:cellStyles>
  <x:dxfs count="12">
    <x:dxf>
      <x:fill>
        <x:patternFill>
          <x:bgColor rgb="FFFFF4D6"/>
        </x:patternFill>
      </x:fill>
    </x:dxf>
    <x:dxf>
      <x:fill>
        <x:patternFill>
          <x:bgColor rgb="FFE8F5EE"/>
        </x:patternFill>
      </x:fill>
    </x:dxf>
    <x:dxf>
      <x:fill>
        <x:patternFill>
          <x:bgColor rgb="FFFFF4D6"/>
        </x:patternFill>
      </x:fill>
    </x:dxf>
    <x:dxf>
      <x:fill>
        <x:patternFill>
          <x:bgColor rgb="FFE8F5EE"/>
        </x:patternFill>
      </x:fill>
    </x:dxf>
    <x:dxf>
      <x:font>
        <x:color rgb="FF1F6B3A"/>
      </x:font>
      <x:fill>
        <x:patternFill>
          <x:bgColor rgb="FFE8F5EE"/>
        </x:patternFill>
      </x:fill>
    </x:dxf>
    <x:dxf>
      <x:font>
        <x:color rgb="FF4B5563"/>
      </x:font>
      <x:fill>
        <x:patternFill>
          <x:bgColor rgb="FFEDEFF2"/>
        </x:patternFill>
      </x:fill>
    </x:dxf>
    <x:dxf>
      <x:font>
        <x:color rgb="FF7A4E00"/>
      </x:font>
      <x:fill>
        <x:patternFill>
          <x:bgColor rgb="FFFFF4D6"/>
        </x:patternFill>
      </x:fill>
    </x:dxf>
    <x:dxf>
      <x:font>
        <x:color rgb="FFA61B1B"/>
      </x:font>
      <x:fill>
        <x:patternFill>
          <x:bgColor rgb="FFFCE8E6"/>
        </x:patternFill>
      </x:fill>
    </x:dxf>
    <x:dxf>
      <x:fill>
        <x:patternFill>
          <x:bgColor rgb="FFE7E6E6"/>
        </x:patternFill>
      </x:fill>
    </x:dxf>
    <x:dxf>
      <x:fill>
        <x:patternFill>
          <x:bgColor rgb="FFE4DFEC"/>
        </x:patternFill>
      </x:fill>
    </x:dxf>
    <x:dxf>
      <x:fill>
        <x:patternFill>
          <x:bgColor rgb="FFFCE4D6"/>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5a7c5002214d64" /><Relationship Type="http://schemas.openxmlformats.org/officeDocument/2006/relationships/theme" Target="/xl/theme/theme1.xml" Id="R4e08d993115440e9" /><Relationship Type="http://schemas.openxmlformats.org/officeDocument/2006/relationships/sharedStrings" Target="/xl/sharedStrings.xml" Id="R4536b413923c47fc" /><Relationship Type="http://schemas.openxmlformats.org/officeDocument/2006/relationships/worksheet" Target="/xl/worksheets/sheet1.xml" Id="R2bc2032cb4114176" /><Relationship Type="http://schemas.openxmlformats.org/officeDocument/2006/relationships/worksheet" Target="/xl/worksheets/sheet2.xml" Id="Rbfda8d1e089a435e" /><Relationship Type="http://schemas.openxmlformats.org/officeDocument/2006/relationships/worksheet" Target="/xl/worksheets/sheet3.xml" Id="R1ff471cb1f4c4301" /><Relationship Type="http://schemas.openxmlformats.org/officeDocument/2006/relationships/worksheet" Target="/xl/worksheets/sheet4.xml" Id="Raafe2b9d313f42fb" /><Relationship Type="http://schemas.openxmlformats.org/officeDocument/2006/relationships/worksheet" Target="/xl/worksheets/sheet5.xml" Id="R94b049300a624324" /><Relationship Type="http://schemas.openxmlformats.org/officeDocument/2006/relationships/worksheet" Target="/xl/worksheets/sheet6.xml" Id="Re845559deb514125" /><Relationship Type="http://schemas.openxmlformats.org/officeDocument/2006/relationships/worksheet" Target="/xl/worksheets/sheet7.xml" Id="Rbe056636108744cf" /><Relationship Type="http://schemas.openxmlformats.org/officeDocument/2006/relationships/worksheet" Target="/xl/worksheets/sheet8.xml" Id="Ra11e93ed60a34e6c" /><Relationship Type="http://schemas.openxmlformats.org/officeDocument/2006/relationships/worksheet" Target="/xl/worksheets/sheet9.xml" Id="Re2133c76334e4e4e" /><Relationship Type="http://schemas.openxmlformats.org/officeDocument/2006/relationships/worksheet" Target="/xl/worksheets/sheet10.xml" Id="Rc350035b4e0c4b7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6" customWidth="1"/>
    <x:col min="2" max="2" width="42" customWidth="1"/>
    <x:col min="3" max="3" width="30" customWidth="1"/>
    <x:col min="4" max="4" width="5" customWidth="1"/>
    <x:col min="5" max="5" width="22" customWidth="1"/>
    <x:col min="6" max="6" width="54" customWidth="1"/>
  </x:cols>
  <x:sheetData>
    <x:row r="1" ht="24.950000762939453" customHeight="1">
      <x:c r="A1" s="93" t="str">
        <x:v>WALVY | M04 – Matriz de Trazabilidad Funcional Definitiva v1.1</x:v>
      </x:c>
      <x:c r="B1" s="69"/>
      <x:c r="C1" s="69"/>
      <x:c r="D1" s="17"/>
      <x:c r="E1" s="17"/>
      <x:c r="F1" s="17"/>
    </x:row>
    <x:row r="2" ht="32.099998474121094" customHeight="1">
      <x:c r="A2" s="94" t="str">
        <x:v>Línea base funcional consolidada luego de la reconciliación Walvy–Kabeli. Las definiciones de Producto fueron revisadas y aprobadas en 07_Reconciliacion_Producto; 09_Fundamento_Producto conserva el fundamento de los ajustes. Esta matriz no sustituye la validación técnica runtime.</x:v>
      </x:c>
      <x:c r="B2" s="69"/>
      <x:c r="C2" s="69"/>
      <x:c r="D2" s="17"/>
      <x:c r="E2" s="17"/>
      <x:c r="F2" s="17"/>
    </x:row>
    <x:row r="3">
      <x:c r="A3" s="69" t="str">
        <x:v>Estado</x:v>
      </x:c>
      <x:c r="B3" s="69" t="str">
        <x:v>Línea base funcional Producto cerrada · lista para implementación/validación Kabeli</x:v>
      </x:c>
      <x:c r="C3" s="69"/>
      <x:c r="D3" s="18"/>
      <x:c r="E3" s="18"/>
      <x:c r="F3" s="18"/>
    </x:row>
    <x:row r="4">
      <x:c r="A4" s="95" t="str">
        <x:v>Alcance definitivo</x:v>
      </x:c>
      <x:c r="B4" s="96" t="str">
        <x:v>93 obligaciones funcionales, 45 reglas Walvy canónicas y 25 contratos P4.</x:v>
      </x:c>
      <x:c r="C4" s="69"/>
      <x:c r="D4" s="18"/>
      <x:c r="E4" s="18"/>
      <x:c r="F4" s="18"/>
    </x:row>
    <x:row r="5">
      <x:c r="A5" s="97" t="str">
        <x:v>Trazabilidad</x:v>
      </x:c>
      <x:c r="B5" s="98" t="str">
        <x:v>Se mantienen los Trace ID TR-M04-044…136 sin renumeración.</x:v>
      </x:c>
      <x:c r="C5" s="69"/>
      <x:c r="D5" s="18"/>
      <x:c r="E5" s="18"/>
      <x:c r="F5" s="18"/>
    </x:row>
    <x:row r="6">
      <x:c r="A6" s="97" t="str">
        <x:v>Fuentes rectoras</x:v>
      </x:c>
      <x:c r="B6" s="98" t="str">
        <x:v>Consolidado Funcional + Guía Backend + Anexo BDD + Figma + Anexo transversal TC/CMF confirmado por Producto.</x:v>
      </x:c>
      <x:c r="C6" s="69"/>
      <x:c r="D6" s="18"/>
      <x:c r="E6" s="18"/>
      <x:c r="F6" s="18"/>
    </x:row>
    <x:row r="7">
      <x:c r="A7" s="69" t="str">
        <x:v>Uso</x:v>
      </x:c>
      <x:c r="B7" s="69" t="str">
        <x:v>01_Matriz_Trazabilidad es la línea base funcional. 02_Reglas_Walvy y 03_Contrato_P4 resuelven reglas/cálculos; 07–09 quedan como respaldo de reconciliación y fundamento.</x:v>
      </x:c>
      <x:c r="C7" s="69"/>
      <x:c r="D7" s="18"/>
      <x:c r="E7" s="18"/>
      <x:c r="F7" s="18"/>
    </x:row>
    <x:row r="8" ht="33.95000076293945" customHeight="1">
      <x:c r="A8" s="99" t="s">
        <x:v>0</x:v>
      </x:c>
      <x:c r="B8" s="99" t="s">
        <x:v>1</x:v>
      </x:c>
      <x:c r="C8" s="99" t="s">
        <x:v>2</x:v>
      </x:c>
      <x:c r="D8" s="18"/>
      <x:c r="E8" s="18"/>
      <x:c r="F8" s="18"/>
    </x:row>
    <x:row r="9" ht="27.950000762939453" customHeight="1">
      <x:c r="A9" s="78" t="s">
        <x:v>3</x:v>
      </x:c>
      <x:c r="B9" s="100" t="n">
        <x:f>COUNTA('01_Matriz_Trazabilidad'!A5:A200)</x:f>
        <x:v>93</x:v>
      </x:c>
      <x:c r="C9" s="78" t="s">
        <x:v>4</x:v>
      </x:c>
      <x:c r="D9" s="18"/>
      <x:c r="E9" s="18"/>
      <x:c r="F9" s="18"/>
    </x:row>
    <x:row r="10" ht="27.950000762939453" customHeight="1">
      <x:c r="A10" s="70" t="s">
        <x:v>5</x:v>
      </x:c>
      <x:c r="B10" s="101" t="n">
        <x:v>45</x:v>
      </x:c>
      <x:c r="C10" s="70" t="str">
        <x:v>Debe ser 45: 43 reglas cliente + 2 reglas TC/CMF consolidadas tras aprobación de Producto.</x:v>
      </x:c>
      <x:c r="D10" s="18"/>
      <x:c r="E10" s="18"/>
      <x:c r="F10" s="18"/>
    </x:row>
    <x:row r="11" ht="27.950000762939453" customHeight="1">
      <x:c r="A11" s="78" t="s">
        <x:v>6</x:v>
      </x:c>
      <x:c r="B11" s="100" t="n">
        <x:f>COUNTA('03_Contrato_P4'!A5:A100)</x:f>
        <x:v>25</x:v>
      </x:c>
      <x:c r="C11" s="78" t="s">
        <x:v>7</x:v>
      </x:c>
      <x:c r="D11" s="18"/>
      <x:c r="E11" s="18"/>
      <x:c r="F11" s="18"/>
    </x:row>
    <x:row r="12" ht="27.950000762939453" customHeight="1">
      <x:c r="A12" s="70" t="s">
        <x:v>8</x:v>
      </x:c>
      <x:c r="B12" s="101" t="n">
        <x:f>COUNTA('05_Condiciones_y_Limites'!A5:A100)</x:f>
        <x:v>6</x:v>
      </x:c>
      <x:c r="C12" s="70" t="s">
        <x:v>9</x:v>
      </x:c>
      <x:c r="D12" s="18"/>
      <x:c r="E12" s="18"/>
      <x:c r="F12" s="18"/>
    </x:row>
    <x:row r="13" ht="27.950000762939453" customHeight="1">
      <x:c r="A13" s="78" t="s">
        <x:v>10</x:v>
      </x:c>
      <x:c r="B13" s="100" t="n">
        <x:f>COUNTA('06_Ajustes_Materializacion'!A5:A100)</x:f>
        <x:v>4</x:v>
      </x:c>
      <x:c r="C13" s="78" t="str">
        <x:v>4 ajustes de materialización/copy; no cambian reglas ni cálculos.</x:v>
      </x:c>
      <x:c r="D13" s="18"/>
      <x:c r="E13" s="18"/>
      <x:c r="F13" s="18"/>
    </x:row>
    <x:row r="14">
      <x:c r="A14" s="70" t="s">
        <x:v>11</x:v>
      </x:c>
      <x:c r="B14" s="101" t="str">
        <x:v>La validación funcional de Producto quedó cerrada en la reconciliación. La columna de validación en los Trace/contratos se conserva para el proceso de revisión/implementación Kabeli.</x:v>
      </x:c>
      <x:c r="C14" s="70" t="str">
        <x:v>Las 93 filas mantienen su campo de validación para el ciclo Kabeli; esto no reabre la definición funcional de Producto.</x:v>
      </x:c>
      <x:c r="D14" s="18"/>
      <x:c r="E14" s="18"/>
      <x:c r="F14" s="18"/>
    </x:row>
    <x:row r="15">
      <x:c r="A15" s="69"/>
      <x:c r="B15" s="69"/>
      <x:c r="C15" s="69"/>
    </x:row>
    <x:row r="16">
      <x:c r="A16" s="102" t="str">
        <x:v>Cómo usar esta matriz definitiva</x:v>
      </x:c>
      <x:c r="B16" s="69"/>
      <x:c r="C16" s="69"/>
      <x:c r="D16" s="18"/>
      <x:c r="E16" s="18"/>
      <x:c r="F16" s="18"/>
    </x:row>
    <x:row r="17" ht="32.099998474121094" customHeight="1">
      <x:c r="A17" s="103" t="str">
        <x:v>1</x:v>
      </x:c>
      <x:c r="B17" s="69" t="str">
        <x:v>Usa 01_Matriz_Trazabilidad como línea base funcional de M04; no volver a reglas supersedidas de la matriz Kabeli v1.3.</x:v>
      </x:c>
      <x:c r="C17" s="69"/>
      <x:c r="D17" s="18"/>
      <x:c r="E17" s="18"/>
      <x:c r="F17" s="18"/>
    </x:row>
    <x:row r="18" ht="32.099998474121094" customHeight="1">
      <x:c r="A18" s="104" t="str">
        <x:v>2</x:v>
      </x:c>
      <x:c r="B18" s="84" t="str">
        <x:v>Para cálculos o reglas no obvias, consulta 02_Reglas_Walvy y 03_Contrato_P4.</x:v>
      </x:c>
      <x:c r="C18" s="69"/>
      <x:c r="D18" s="17"/>
      <x:c r="E18" s="17"/>
      <x:c r="F18" s="17"/>
    </x:row>
    <x:row r="19" ht="32.099998474121094" customHeight="1">
      <x:c r="A19" s="104" t="str">
        <x:v>3</x:v>
      </x:c>
      <x:c r="B19" s="84" t="str">
        <x:v>Las definiciones S0–S4, buffer/floor 5% y recálculos locales de M05/M06 quedan reemplazados por el contrato vigente documentado.</x:v>
      </x:c>
      <x:c r="C19" s="69"/>
      <x:c r="D19" s="17"/>
      <x:c r="E19" s="17"/>
      <x:c r="F19" s="17"/>
    </x:row>
    <x:row r="20" ht="32.099998474121094" customHeight="1">
      <x:c r="A20" s="104" t="str">
        <x:v>4</x:v>
      </x:c>
      <x:c r="B20" s="84" t="str">
        <x:v>TC/CMF: aplicar precedencia y mapeos documentales confirmados por Producto; evaluación financiera posterior bajo P4/Salud.</x:v>
      </x:c>
      <x:c r="C20" s="69"/>
      <x:c r="D20" s="17"/>
      <x:c r="E20" s="17"/>
      <x:c r="F20" s="17"/>
    </x:row>
    <x:row r="21" ht="32.099998474121094" customHeight="1">
      <x:c r="A21" s="104" t="str">
        <x:v>5</x:v>
      </x:c>
      <x:c r="B21" s="84" t="str">
        <x:v>07_Reconciliacion_Producto y 09_Fundamento_Producto son respaldo histórico de decisión; no generan reglas adicionales.</x:v>
      </x:c>
      <x:c r="C21" s="69"/>
      <x:c r="D21" s="17"/>
      <x:c r="E21" s="17"/>
      <x:c r="F21" s="17"/>
    </x:row>
    <x:row r="22">
      <x:c r="A22" s="104" t="str">
        <x:v>6</x:v>
      </x:c>
      <x:c r="B22" s="84" t="str">
        <x:v>08_HU_CA_Kabeli_Ref se conserva como referencia de cobertura histórica y no reemplaza los CA contractuales por Trace.</x:v>
      </x:c>
      <x:c r="C22" s="69"/>
      <x:c r="D22" s="17"/>
      <x:c r="E22" s="17"/>
      <x:c r="F22" s="17"/>
    </x:row>
    <x:row r="23">
      <x:c r="A23" s="104" t="str">
        <x:v>7</x:v>
      </x:c>
      <x:c r="B23" s="84" t="str">
        <x:v>La validación técnica runtime continúa en la Matriz de Validación Técnica M04.</x:v>
      </x:c>
      <x:c r="C23" s="69"/>
      <x:c r="D23" s="17"/>
      <x:c r="E23" s="17"/>
      <x:c r="F23" s="17"/>
    </x:row>
    <x:row r="24">
      <x:c r="A24" s="102"/>
      <x:c r="B24" s="85"/>
      <x:c r="C24" s="69"/>
      <x:c r="D24" s="18"/>
      <x:c r="E24" s="18"/>
      <x:c r="F24" s="18"/>
    </x:row>
    <x:row r="25">
      <x:c r="A25" s="103" t="s">
        <x:v>12</x:v>
      </x:c>
      <x:c r="B25" s="86" t="s">
        <x:v>13</x:v>
      </x:c>
      <x:c r="C25" s="69"/>
      <x:c r="D25" s="17"/>
      <x:c r="E25" s="17"/>
      <x:c r="F25" s="17"/>
    </x:row>
    <x:row r="26">
      <x:c r="A26" s="18"/>
      <x:c r="B26" s="17"/>
      <x:c r="C26" s="28"/>
      <x:c r="D26" s="28"/>
      <x:c r="E26" s="28"/>
      <x:c r="F26" s="17"/>
    </x:row>
    <x:row r="27">
      <x:c r="A27" s="18"/>
      <x:c r="B27" s="17"/>
      <x:c r="C27" s="17"/>
      <x:c r="D27" s="17"/>
      <x:c r="E27" s="17"/>
      <x:c r="F27" s="17"/>
    </x:row>
  </x:sheetData>
  <x:mergeCells>
    <x:mergeCell ref="B25:F27"/>
    <x:mergeCell ref="B23:F23"/>
    <x:mergeCell ref="B22:F22"/>
    <x:mergeCell ref="B18:F18"/>
    <x:mergeCell ref="B21:F21"/>
    <x:mergeCell ref="A2:F2"/>
    <x:mergeCell ref="B20:F20"/>
    <x:mergeCell ref="A1:F1"/>
    <x:mergeCell ref="B19:F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customWidth="1"/>
    <x:col min="2" max="2" width="28" customWidth="1"/>
    <x:col min="3" max="3" width="34" customWidth="1"/>
    <x:col min="4" max="4" width="40" customWidth="1"/>
    <x:col min="5" max="5" width="28" customWidth="1"/>
    <x:col min="6" max="6" width="48" customWidth="1"/>
    <x:col min="7" max="7" width="24" hidden="1" customWidth="1"/>
    <x:col min="8" max="8" width="40" hidden="1" customWidth="1"/>
    <x:col min="9" max="9" width="34" hidden="1" customWidth="1"/>
    <x:col min="10" max="10" width="38" hidden="1" customWidth="1"/>
    <x:col min="11" max="12" width="24" hidden="1" customWidth="1"/>
    <x:col min="13" max="13" width="32" hidden="1" customWidth="1"/>
    <x:col min="14" max="14" width="24" hidden="1" customWidth="1"/>
    <x:col min="15" max="15" width="34" hidden="1" customWidth="1"/>
    <x:col min="16" max="16" width="54" customWidth="1"/>
    <x:col min="17" max="17" width="52" customWidth="1"/>
    <x:col min="18" max="18" width="36" hidden="1" customWidth="1"/>
    <x:col min="19" max="19" width="28" hidden="1" customWidth="1"/>
    <x:col min="20" max="20" width="30" hidden="1" customWidth="1"/>
    <x:col min="21" max="21" width="22" customWidth="1"/>
    <x:col min="22" max="22" width="54" hidden="1" customWidth="1"/>
    <x:col min="23" max="23" width="32" customWidth="1"/>
  </x:cols>
  <x:sheetData>
    <x:row r="1" ht="24.950000762939453" customHeight="1">
      <x:c r="A1" s="12" t="s">
        <x:v>14</x:v>
      </x:c>
      <x:c r="B1" s="17"/>
      <x:c r="C1" s="17"/>
      <x:c r="D1" s="17"/>
      <x:c r="E1" s="17"/>
      <x:c r="F1" s="17"/>
      <x:c r="G1" s="17"/>
      <x:c r="H1" s="17"/>
      <x:c r="I1" s="17"/>
      <x:c r="J1" s="17"/>
      <x:c r="K1" s="17"/>
      <x:c r="L1" s="17"/>
      <x:c r="M1" s="17"/>
      <x:c r="N1" s="17"/>
      <x:c r="O1" s="17"/>
      <x:c r="P1" s="17"/>
      <x:c r="Q1" s="17"/>
      <x:c r="R1" s="17"/>
      <x:c r="S1" s="17"/>
      <x:c r="T1" s="17"/>
      <x:c r="U1" s="17"/>
      <x:c r="V1" s="17"/>
      <x:c r="W1" s="18"/>
    </x:row>
    <x:row r="2" ht="32.099998474121094" customHeight="1">
      <x:c r="A2" s="11" t="s">
        <x:v>15</x:v>
      </x:c>
      <x:c r="B2" s="17"/>
      <x:c r="C2" s="17"/>
      <x:c r="D2" s="17"/>
      <x:c r="E2" s="17"/>
      <x:c r="F2" s="17"/>
      <x:c r="G2" s="17"/>
      <x:c r="H2" s="17"/>
      <x:c r="I2" s="17"/>
      <x:c r="J2" s="17"/>
      <x:c r="K2" s="17"/>
      <x:c r="L2" s="17"/>
      <x:c r="M2" s="17"/>
      <x:c r="N2" s="17"/>
      <x:c r="O2" s="17"/>
      <x:c r="P2" s="17"/>
      <x:c r="Q2" s="17"/>
      <x:c r="R2" s="17"/>
      <x:c r="S2" s="17"/>
      <x:c r="T2" s="17"/>
      <x:c r="U2" s="17"/>
      <x:c r="V2" s="17"/>
      <x:c r="W2" s="18"/>
    </x:row>
    <x:row r="4" ht="36" customHeight="1">
      <x:c r="A4" s="1" t="s">
        <x:v>16</x:v>
      </x:c>
      <x:c r="B4" s="1" t="s">
        <x:v>17</x:v>
      </x:c>
      <x:c r="C4" s="1" t="s">
        <x:v>18</x:v>
      </x:c>
      <x:c r="D4" s="1" t="s">
        <x:v>19</x:v>
      </x:c>
      <x:c r="E4" s="1" t="s">
        <x:v>20</x:v>
      </x:c>
      <x:c r="F4" s="1" t="s">
        <x:v>21</x:v>
      </x:c>
      <x:c r="G4" s="1" t="s">
        <x:v>22</x:v>
      </x:c>
      <x:c r="H4" s="1" t="s">
        <x:v>23</x:v>
      </x:c>
      <x:c r="I4" s="1" t="s">
        <x:v>24</x:v>
      </x:c>
      <x:c r="J4" s="1" t="s">
        <x:v>25</x:v>
      </x:c>
      <x:c r="K4" s="1" t="s">
        <x:v>26</x:v>
      </x:c>
      <x:c r="L4" s="1" t="s">
        <x:v>27</x:v>
      </x:c>
      <x:c r="M4" s="1" t="s">
        <x:v>28</x:v>
      </x:c>
      <x:c r="N4" s="1" t="s">
        <x:v>29</x:v>
      </x:c>
      <x:c r="O4" s="1" t="s">
        <x:v>30</x:v>
      </x:c>
      <x:c r="P4" s="1" t="s">
        <x:v>31</x:v>
      </x:c>
      <x:c r="Q4" s="1" t="s">
        <x:v>32</x:v>
      </x:c>
      <x:c r="R4" s="1" t="s">
        <x:v>33</x:v>
      </x:c>
      <x:c r="S4" s="1" t="s">
        <x:v>34</x:v>
      </x:c>
      <x:c r="T4" s="1" t="s">
        <x:v>35</x:v>
      </x:c>
      <x:c r="U4" s="1" t="s">
        <x:v>36</x:v>
      </x:c>
      <x:c r="V4" s="1" t="s">
        <x:v>37</x:v>
      </x:c>
      <x:c r="W4" s="1" t="s">
        <x:v>38</x:v>
      </x:c>
    </x:row>
    <x:row r="5" ht="72" customHeight="1">
      <x:c r="A5" s="6" t="s">
        <x:v>39</x:v>
      </x:c>
      <x:c r="B5" s="6" t="s">
        <x:v>40</x:v>
      </x:c>
      <x:c r="C5" s="6" t="s">
        <x:v>41</x:v>
      </x:c>
      <x:c r="D5" s="6" t="s">
        <x:v>42</x:v>
      </x:c>
      <x:c r="E5" s="6" t="s">
        <x:v>43</x:v>
      </x:c>
      <x:c r="F5" s="6" t="s">
        <x:v>44</x:v>
      </x:c>
      <x:c r="G5" s="6"/>
      <x:c r="H5" s="6" t="s">
        <x:v>45</x:v>
      </x:c>
      <x:c r="I5" s="6" t="s">
        <x:v>45</x:v>
      </x:c>
      <x:c r="J5" s="6"/>
      <x:c r="K5" s="6" t="s">
        <x:v>46</x:v>
      </x:c>
      <x:c r="L5" s="6" t="s">
        <x:v>47</x:v>
      </x:c>
      <x:c r="M5" s="6" t="s">
        <x:v>48</x:v>
      </x:c>
      <x:c r="N5" s="6" t="s">
        <x:v>49</x:v>
      </x:c>
      <x:c r="O5" s="6" t="s">
        <x:v>50</x:v>
      </x:c>
      <x:c r="P5" s="6" t="s">
        <x:v>51</x:v>
      </x:c>
      <x:c r="Q5" s="6" t="s">
        <x:v>52</x:v>
      </x:c>
      <x:c r="R5" s="6" t="s">
        <x:v>53</x:v>
      </x:c>
      <x:c r="S5" s="6" t="s">
        <x:v>54</x:v>
      </x:c>
      <x:c r="T5" s="6" t="s">
        <x:v>55</x:v>
      </x:c>
      <x:c r="U5" s="6" t="s">
        <x:v>56</x:v>
      </x:c>
      <x:c r="V5" s="6" t="s">
        <x:v>57</x:v>
      </x:c>
      <x:c r="W5" s="6"/>
    </x:row>
    <x:row r="6" ht="72" customHeight="1">
      <x:c r="A6" s="8" t="s">
        <x:v>58</x:v>
      </x:c>
      <x:c r="B6" s="8" t="s">
        <x:v>40</x:v>
      </x:c>
      <x:c r="C6" s="8" t="s">
        <x:v>59</x:v>
      </x:c>
      <x:c r="D6" s="8" t="s">
        <x:v>42</x:v>
      </x:c>
      <x:c r="E6" s="8" t="s">
        <x:v>43</x:v>
      </x:c>
      <x:c r="F6" s="8" t="s">
        <x:v>60</x:v>
      </x:c>
      <x:c r="G6" s="8"/>
      <x:c r="H6" s="8" t="s">
        <x:v>61</x:v>
      </x:c>
      <x:c r="I6" s="8" t="s">
        <x:v>62</x:v>
      </x:c>
      <x:c r="J6" s="8" t="s">
        <x:v>63</x:v>
      </x:c>
      <x:c r="K6" s="8" t="s">
        <x:v>64</x:v>
      </x:c>
      <x:c r="L6" s="8" t="s">
        <x:v>65</x:v>
      </x:c>
      <x:c r="M6" s="8" t="s">
        <x:v>66</x:v>
      </x:c>
      <x:c r="N6" s="8" t="s">
        <x:v>49</x:v>
      </x:c>
      <x:c r="O6" s="8" t="s">
        <x:v>67</x:v>
      </x:c>
      <x:c r="P6" s="8" t="s">
        <x:v>68</x:v>
      </x:c>
      <x:c r="Q6" s="8" t="s">
        <x:v>69</x:v>
      </x:c>
      <x:c r="R6" s="8" t="s">
        <x:v>53</x:v>
      </x:c>
      <x:c r="S6" s="8" t="s">
        <x:v>54</x:v>
      </x:c>
      <x:c r="T6" s="8" t="s">
        <x:v>55</x:v>
      </x:c>
      <x:c r="U6" s="8" t="s">
        <x:v>56</x:v>
      </x:c>
      <x:c r="V6" s="8" t="s">
        <x:v>57</x:v>
      </x:c>
      <x:c r="W6" s="8"/>
    </x:row>
    <x:row r="7" ht="72" customHeight="1">
      <x:c r="A7" s="6" t="s">
        <x:v>70</x:v>
      </x:c>
      <x:c r="B7" s="6" t="s">
        <x:v>40</x:v>
      </x:c>
      <x:c r="C7" s="6" t="s">
        <x:v>71</x:v>
      </x:c>
      <x:c r="D7" s="6" t="s">
        <x:v>72</x:v>
      </x:c>
      <x:c r="E7" s="6" t="s">
        <x:v>43</x:v>
      </x:c>
      <x:c r="F7" s="6" t="s">
        <x:v>73</x:v>
      </x:c>
      <x:c r="G7" s="6"/>
      <x:c r="H7" s="6" t="s">
        <x:v>74</x:v>
      </x:c>
      <x:c r="I7" s="6" t="s">
        <x:v>75</x:v>
      </x:c>
      <x:c r="J7" s="6" t="s">
        <x:v>76</x:v>
      </x:c>
      <x:c r="K7" s="6" t="s">
        <x:v>77</x:v>
      </x:c>
      <x:c r="L7" s="6" t="s">
        <x:v>78</x:v>
      </x:c>
      <x:c r="M7" s="6" t="s">
        <x:v>79</x:v>
      </x:c>
      <x:c r="N7" s="6" t="s">
        <x:v>49</x:v>
      </x:c>
      <x:c r="O7" s="6" t="s">
        <x:v>50</x:v>
      </x:c>
      <x:c r="P7" s="6" t="s">
        <x:v>80</x:v>
      </x:c>
      <x:c r="Q7" s="6" t="s">
        <x:v>81</x:v>
      </x:c>
      <x:c r="R7" s="6" t="s">
        <x:v>53</x:v>
      </x:c>
      <x:c r="S7" s="6" t="s">
        <x:v>54</x:v>
      </x:c>
      <x:c r="T7" s="6" t="s">
        <x:v>55</x:v>
      </x:c>
      <x:c r="U7" s="6" t="s">
        <x:v>56</x:v>
      </x:c>
      <x:c r="V7" s="6" t="s">
        <x:v>57</x:v>
      </x:c>
      <x:c r="W7" s="6"/>
    </x:row>
    <x:row r="8" ht="72" customHeight="1">
      <x:c r="A8" s="8" t="s">
        <x:v>82</x:v>
      </x:c>
      <x:c r="B8" s="8" t="s">
        <x:v>40</x:v>
      </x:c>
      <x:c r="C8" s="8" t="s">
        <x:v>83</x:v>
      </x:c>
      <x:c r="D8" s="8" t="s">
        <x:v>84</x:v>
      </x:c>
      <x:c r="E8" s="8" t="s">
        <x:v>85</x:v>
      </x:c>
      <x:c r="F8" s="8" t="s">
        <x:v>86</x:v>
      </x:c>
      <x:c r="G8" s="8"/>
      <x:c r="H8" s="8" t="s">
        <x:v>87</x:v>
      </x:c>
      <x:c r="I8" s="8" t="s">
        <x:v>88</x:v>
      </x:c>
      <x:c r="J8" s="8" t="s">
        <x:v>89</x:v>
      </x:c>
      <x:c r="K8" s="8" t="s">
        <x:v>90</x:v>
      </x:c>
      <x:c r="L8" s="8" t="s">
        <x:v>91</x:v>
      </x:c>
      <x:c r="M8" s="8" t="s">
        <x:v>92</x:v>
      </x:c>
      <x:c r="N8" s="8" t="s">
        <x:v>93</x:v>
      </x:c>
      <x:c r="O8" s="8" t="s">
        <x:v>47</x:v>
      </x:c>
      <x:c r="P8" s="8" t="s">
        <x:v>94</x:v>
      </x:c>
      <x:c r="Q8" s="8" t="s">
        <x:v>95</x:v>
      </x:c>
      <x:c r="R8" s="8" t="s">
        <x:v>53</x:v>
      </x:c>
      <x:c r="S8" s="8" t="s">
        <x:v>54</x:v>
      </x:c>
      <x:c r="T8" s="8" t="s">
        <x:v>55</x:v>
      </x:c>
      <x:c r="U8" s="8" t="s">
        <x:v>56</x:v>
      </x:c>
      <x:c r="V8" s="8" t="s">
        <x:v>57</x:v>
      </x:c>
      <x:c r="W8" s="8"/>
    </x:row>
    <x:row r="9" ht="72" customHeight="1">
      <x:c r="A9" s="6" t="s">
        <x:v>96</x:v>
      </x:c>
      <x:c r="B9" s="6" t="s">
        <x:v>97</x:v>
      </x:c>
      <x:c r="C9" s="6" t="s">
        <x:v>98</x:v>
      </x:c>
      <x:c r="D9" s="6" t="s">
        <x:v>99</x:v>
      </x:c>
      <x:c r="E9" s="6" t="s">
        <x:v>100</x:v>
      </x:c>
      <x:c r="F9" s="6" t="s">
        <x:v>101</x:v>
      </x:c>
      <x:c r="G9" s="6"/>
      <x:c r="H9" s="6" t="s">
        <x:v>102</x:v>
      </x:c>
      <x:c r="I9" s="6" t="s">
        <x:v>103</x:v>
      </x:c>
      <x:c r="J9" s="6" t="s">
        <x:v>104</x:v>
      </x:c>
      <x:c r="K9" s="6" t="s">
        <x:v>105</x:v>
      </x:c>
      <x:c r="L9" s="6" t="s">
        <x:v>106</x:v>
      </x:c>
      <x:c r="M9" s="6" t="s">
        <x:v>107</x:v>
      </x:c>
      <x:c r="N9" s="6" t="s">
        <x:v>47</x:v>
      </x:c>
      <x:c r="O9" s="6" t="s">
        <x:v>108</x:v>
      </x:c>
      <x:c r="P9" s="6" t="s">
        <x:v>109</x:v>
      </x:c>
      <x:c r="Q9" s="6" t="s">
        <x:v>110</x:v>
      </x:c>
      <x:c r="R9" s="6" t="s">
        <x:v>111</x:v>
      </x:c>
      <x:c r="S9" s="6" t="s">
        <x:v>112</x:v>
      </x:c>
      <x:c r="T9" s="6" t="s">
        <x:v>113</x:v>
      </x:c>
      <x:c r="U9" s="6" t="s">
        <x:v>56</x:v>
      </x:c>
      <x:c r="V9" s="6" t="s">
        <x:v>114</x:v>
      </x:c>
      <x:c r="W9" s="6"/>
    </x:row>
    <x:row r="10" ht="72" customHeight="1">
      <x:c r="A10" s="70" t="s">
        <x:v>115</x:v>
      </x:c>
      <x:c r="B10" s="70" t="s">
        <x:v>97</x:v>
      </x:c>
      <x:c r="C10" s="70" t="s">
        <x:v>116</x:v>
      </x:c>
      <x:c r="D10" s="70" t="s">
        <x:v>99</x:v>
      </x:c>
      <x:c r="E10" s="70" t="s">
        <x:v>100</x:v>
      </x:c>
      <x:c r="F10" s="70" t="str">
        <x:v>Tratar el Informe CMF como documento manual. Para deudas no-TC, usarlo como fuente documental principal salvo fuente específica más precisa; para TC, usarlo como complemento/fallback cuando exista estado de cuenta. Aplicar mapeos documentales aprobados y, si existe mora, alimentar aging/Deterioro/Salud bajo P4 sin activar Ruta automáticamente.</x:v>
      </x:c>
      <x:c r="G10" s="70" t="str">
        <x:v>P4-CNT-006; P4-CNT-016; P4-CNT-017; P4-CNT-024</x:v>
      </x:c>
      <x:c r="H10" s="70" t="str">
        <x:v>M04-RGL-004; M04-RGL-044; M04-RGL-045; M04-RGL-036 | debt / document processing · data_origin / document_processing_status / source precedence / CMF mappings / mora-aging</x:v>
      </x:c>
      <x:c r="I10" s="70" t="str">
        <x:v>M04-RGL-004; M04-RGL-044; M04-RGL-045; M04-RGL-036</x:v>
      </x:c>
      <x:c r="J10" s="70" t="str">
        <x:v>CMF manual · source precedence / current_debt_amount / original_debt_amount / financial_charge_amount / mora / provenance</x:v>
      </x:c>
      <x:c r="K10" s="70" t="s">
        <x:v>105</x:v>
      </x:c>
      <x:c r="L10" s="70" t="s">
        <x:v>106</x:v>
      </x:c>
      <x:c r="M10" s="70" t="s">
        <x:v>107</x:v>
      </x:c>
      <x:c r="N10" s="70" t="s">
        <x:v>47</x:v>
      </x:c>
      <x:c r="O10" s="70" t="s">
        <x:v>117</x:v>
      </x:c>
      <x:c r="P10" s="70" t="str">
        <x:v>Obligación: Ingerir CMF como documento manual y aplicar precedencia/mapeos aprobados. Resultado: deuda(s) normalizada(s) para revisión; mora, si existe, alimenta P4/Salud con provenance. Negativo/borde: no presentar CMF/SFA como integración activa, no duplicar una TC ya cubierta por estado de cuenta y no activar Ruta por mora aislada.</x:v>
      </x:c>
      <x:c r="Q10" s="70" t="str">
        <x:v>Soporte: M04-RGL-004/044/045 · P4-CNT-006/016/017/024 · Anexo transversal TC/CMF · FP-09</x:v>
      </x:c>
      <x:c r="R10" s="70" t="s">
        <x:v>111</x:v>
      </x:c>
      <x:c r="S10" s="70" t="s">
        <x:v>112</x:v>
      </x:c>
      <x:c r="T10" s="70" t="s">
        <x:v>118</x:v>
      </x:c>
      <x:c r="U10" s="70" t="s">
        <x:v>56</x:v>
      </x:c>
      <x:c r="V10" s="70" t="str">
        <x:v>Vigente | Producto confirmó precedencia TC/CMF, mapeos no-TC y tratamiento de mora CMF bajo P4/Salud.</x:v>
      </x:c>
      <x:c r="W10" s="70"/>
    </x:row>
    <x:row r="11" ht="72" customHeight="1">
      <x:c r="A11" s="6" t="s">
        <x:v>119</x:v>
      </x:c>
      <x:c r="B11" s="6" t="s">
        <x:v>97</x:v>
      </x:c>
      <x:c r="C11" s="6" t="s">
        <x:v>120</x:v>
      </x:c>
      <x:c r="D11" s="6" t="s">
        <x:v>121</x:v>
      </x:c>
      <x:c r="E11" s="6" t="s">
        <x:v>122</x:v>
      </x:c>
      <x:c r="F11" s="6" t="s">
        <x:v>123</x:v>
      </x:c>
      <x:c r="G11" s="6"/>
      <x:c r="H11" s="6" t="s">
        <x:v>124</x:v>
      </x:c>
      <x:c r="I11" s="6" t="s">
        <x:v>125</x:v>
      </x:c>
      <x:c r="J11" s="6" t="s">
        <x:v>126</x:v>
      </x:c>
      <x:c r="K11" s="6" t="s">
        <x:v>127</x:v>
      </x:c>
      <x:c r="L11" s="6"/>
      <x:c r="M11" s="6" t="s">
        <x:v>128</x:v>
      </x:c>
      <x:c r="N11" s="6" t="s">
        <x:v>47</x:v>
      </x:c>
      <x:c r="O11" s="6" t="s">
        <x:v>108</x:v>
      </x:c>
      <x:c r="P11" s="6" t="s">
        <x:v>129</x:v>
      </x:c>
      <x:c r="Q11" s="6" t="s">
        <x:v>130</x:v>
      </x:c>
      <x:c r="R11" s="6" t="s">
        <x:v>131</x:v>
      </x:c>
      <x:c r="S11" s="6" t="s">
        <x:v>112</x:v>
      </x:c>
      <x:c r="T11" s="6" t="s">
        <x:v>132</x:v>
      </x:c>
      <x:c r="U11" s="6" t="s">
        <x:v>56</x:v>
      </x:c>
      <x:c r="V11" s="6" t="s">
        <x:v>114</x:v>
      </x:c>
      <x:c r="W11" s="6"/>
    </x:row>
    <x:row r="12" ht="72" customHeight="1">
      <x:c r="A12" s="8" t="s">
        <x:v>133</x:v>
      </x:c>
      <x:c r="B12" s="8" t="s">
        <x:v>134</x:v>
      </x:c>
      <x:c r="C12" s="8" t="s">
        <x:v>135</x:v>
      </x:c>
      <x:c r="D12" s="8" t="s">
        <x:v>136</x:v>
      </x:c>
      <x:c r="E12" s="8" t="s">
        <x:v>137</x:v>
      </x:c>
      <x:c r="F12" s="8" t="s">
        <x:v>138</x:v>
      </x:c>
      <x:c r="G12" s="8"/>
      <x:c r="H12" s="8" t="s">
        <x:v>139</x:v>
      </x:c>
      <x:c r="I12" s="8" t="s">
        <x:v>140</x:v>
      </x:c>
      <x:c r="J12" s="8" t="s">
        <x:v>141</x:v>
      </x:c>
      <x:c r="K12" s="8" t="s">
        <x:v>142</x:v>
      </x:c>
      <x:c r="L12" s="8" t="s">
        <x:v>143</x:v>
      </x:c>
      <x:c r="M12" s="8" t="s">
        <x:v>143</x:v>
      </x:c>
      <x:c r="N12" s="8" t="s">
        <x:v>47</x:v>
      </x:c>
      <x:c r="O12" s="8" t="s">
        <x:v>47</x:v>
      </x:c>
      <x:c r="P12" s="8" t="s">
        <x:v>144</x:v>
      </x:c>
      <x:c r="Q12" s="8" t="s">
        <x:v>145</x:v>
      </x:c>
      <x:c r="R12" s="8" t="s">
        <x:v>146</x:v>
      </x:c>
      <x:c r="S12" s="8" t="s">
        <x:v>112</x:v>
      </x:c>
      <x:c r="T12" s="8" t="s">
        <x:v>147</x:v>
      </x:c>
      <x:c r="U12" s="8" t="s">
        <x:v>56</x:v>
      </x:c>
      <x:c r="V12" s="8" t="s">
        <x:v>114</x:v>
      </x:c>
      <x:c r="W12" s="8"/>
    </x:row>
    <x:row r="13" ht="72" customHeight="1">
      <x:c r="A13" s="6" t="s">
        <x:v>148</x:v>
      </x:c>
      <x:c r="B13" s="6" t="s">
        <x:v>134</x:v>
      </x:c>
      <x:c r="C13" s="6" t="s">
        <x:v>149</x:v>
      </x:c>
      <x:c r="D13" s="6" t="s">
        <x:v>136</x:v>
      </x:c>
      <x:c r="E13" s="6" t="s">
        <x:v>137</x:v>
      </x:c>
      <x:c r="F13" s="6" t="s">
        <x:v>150</x:v>
      </x:c>
      <x:c r="G13" s="6"/>
      <x:c r="H13" s="6" t="s">
        <x:v>151</x:v>
      </x:c>
      <x:c r="I13" s="6" t="s">
        <x:v>140</x:v>
      </x:c>
      <x:c r="J13" s="6" t="s">
        <x:v>152</x:v>
      </x:c>
      <x:c r="K13" s="6" t="s">
        <x:v>153</x:v>
      </x:c>
      <x:c r="L13" s="6" t="s">
        <x:v>143</x:v>
      </x:c>
      <x:c r="M13" s="6" t="s">
        <x:v>143</x:v>
      </x:c>
      <x:c r="N13" s="6" t="s">
        <x:v>47</x:v>
      </x:c>
      <x:c r="O13" s="6" t="s">
        <x:v>47</x:v>
      </x:c>
      <x:c r="P13" s="6" t="s">
        <x:v>154</x:v>
      </x:c>
      <x:c r="Q13" s="6" t="s">
        <x:v>155</x:v>
      </x:c>
      <x:c r="R13" s="6" t="s">
        <x:v>146</x:v>
      </x:c>
      <x:c r="S13" s="6" t="s">
        <x:v>112</x:v>
      </x:c>
      <x:c r="T13" s="6" t="s">
        <x:v>147</x:v>
      </x:c>
      <x:c r="U13" s="6" t="s">
        <x:v>56</x:v>
      </x:c>
      <x:c r="V13" s="6" t="s">
        <x:v>114</x:v>
      </x:c>
      <x:c r="W13" s="6"/>
    </x:row>
    <x:row r="14" ht="72" customHeight="1">
      <x:c r="A14" s="8" t="s">
        <x:v>156</x:v>
      </x:c>
      <x:c r="B14" s="8" t="s">
        <x:v>134</x:v>
      </x:c>
      <x:c r="C14" s="8" t="s">
        <x:v>157</x:v>
      </x:c>
      <x:c r="D14" s="8" t="s">
        <x:v>136</x:v>
      </x:c>
      <x:c r="E14" s="8" t="s">
        <x:v>137</x:v>
      </x:c>
      <x:c r="F14" s="8" t="s">
        <x:v>158</x:v>
      </x:c>
      <x:c r="G14" s="8"/>
      <x:c r="H14" s="8" t="s">
        <x:v>159</x:v>
      </x:c>
      <x:c r="I14" s="8" t="s">
        <x:v>140</x:v>
      </x:c>
      <x:c r="J14" s="8" t="s">
        <x:v>160</x:v>
      </x:c>
      <x:c r="K14" s="8" t="s">
        <x:v>161</x:v>
      </x:c>
      <x:c r="L14" s="8" t="s">
        <x:v>78</x:v>
      </x:c>
      <x:c r="M14" s="8" t="s">
        <x:v>162</x:v>
      </x:c>
      <x:c r="N14" s="8" t="s">
        <x:v>47</x:v>
      </x:c>
      <x:c r="O14" s="8" t="s">
        <x:v>47</x:v>
      </x:c>
      <x:c r="P14" s="8" t="s">
        <x:v>163</x:v>
      </x:c>
      <x:c r="Q14" s="8" t="s">
        <x:v>164</x:v>
      </x:c>
      <x:c r="R14" s="8" t="s">
        <x:v>146</x:v>
      </x:c>
      <x:c r="S14" s="8" t="s">
        <x:v>112</x:v>
      </x:c>
      <x:c r="T14" s="8" t="s">
        <x:v>147</x:v>
      </x:c>
      <x:c r="U14" s="8" t="s">
        <x:v>56</x:v>
      </x:c>
      <x:c r="V14" s="8" t="s">
        <x:v>114</x:v>
      </x:c>
      <x:c r="W14" s="8"/>
    </x:row>
    <x:row r="15" ht="72" customHeight="1">
      <x:c r="A15" s="6" t="s">
        <x:v>165</x:v>
      </x:c>
      <x:c r="B15" s="6" t="s">
        <x:v>166</x:v>
      </x:c>
      <x:c r="C15" s="6" t="s">
        <x:v>167</x:v>
      </x:c>
      <x:c r="D15" s="6" t="s">
        <x:v>168</x:v>
      </x:c>
      <x:c r="E15" s="6" t="s">
        <x:v>169</x:v>
      </x:c>
      <x:c r="F15" s="6" t="s">
        <x:v>170</x:v>
      </x:c>
      <x:c r="G15" s="6"/>
      <x:c r="H15" s="6" t="s">
        <x:v>171</x:v>
      </x:c>
      <x:c r="I15" s="6" t="s">
        <x:v>172</x:v>
      </x:c>
      <x:c r="J15" s="6" t="s">
        <x:v>173</x:v>
      </x:c>
      <x:c r="K15" s="6" t="s">
        <x:v>174</x:v>
      </x:c>
      <x:c r="L15" s="6" t="s">
        <x:v>175</x:v>
      </x:c>
      <x:c r="M15" s="6" t="s">
        <x:v>176</x:v>
      </x:c>
      <x:c r="N15" s="6" t="s">
        <x:v>47</x:v>
      </x:c>
      <x:c r="O15" s="6" t="s">
        <x:v>177</x:v>
      </x:c>
      <x:c r="P15" s="6" t="s">
        <x:v>178</x:v>
      </x:c>
      <x:c r="Q15" s="6" t="s">
        <x:v>179</x:v>
      </x:c>
      <x:c r="R15" s="6" t="s">
        <x:v>180</x:v>
      </x:c>
      <x:c r="S15" s="6" t="s">
        <x:v>181</x:v>
      </x:c>
      <x:c r="T15" s="6" t="s">
        <x:v>182</x:v>
      </x:c>
      <x:c r="U15" s="6" t="s">
        <x:v>56</x:v>
      </x:c>
      <x:c r="V15" s="6" t="s">
        <x:v>114</x:v>
      </x:c>
      <x:c r="W15" s="6"/>
    </x:row>
    <x:row r="16" ht="72" customHeight="1">
      <x:c r="A16" s="8" t="s">
        <x:v>183</x:v>
      </x:c>
      <x:c r="B16" s="8" t="s">
        <x:v>166</x:v>
      </x:c>
      <x:c r="C16" s="8" t="s">
        <x:v>184</x:v>
      </x:c>
      <x:c r="D16" s="8" t="s">
        <x:v>185</x:v>
      </x:c>
      <x:c r="E16" s="8" t="s">
        <x:v>176</x:v>
      </x:c>
      <x:c r="F16" s="8" t="s">
        <x:v>186</x:v>
      </x:c>
      <x:c r="G16" s="8"/>
      <x:c r="H16" s="8" t="s">
        <x:v>187</x:v>
      </x:c>
      <x:c r="I16" s="8" t="s">
        <x:v>188</x:v>
      </x:c>
      <x:c r="J16" s="8" t="s">
        <x:v>189</x:v>
      </x:c>
      <x:c r="K16" s="8" t="s">
        <x:v>174</x:v>
      </x:c>
      <x:c r="L16" s="8" t="s">
        <x:v>78</x:v>
      </x:c>
      <x:c r="M16" s="8" t="s">
        <x:v>107</x:v>
      </x:c>
      <x:c r="N16" s="8" t="s">
        <x:v>47</x:v>
      </x:c>
      <x:c r="O16" s="8" t="s">
        <x:v>177</x:v>
      </x:c>
      <x:c r="P16" s="8" t="s">
        <x:v>190</x:v>
      </x:c>
      <x:c r="Q16" s="8" t="s">
        <x:v>191</x:v>
      </x:c>
      <x:c r="R16" s="8" t="s">
        <x:v>54</x:v>
      </x:c>
      <x:c r="S16" s="8" t="s">
        <x:v>54</x:v>
      </x:c>
      <x:c r="T16" s="8" t="s">
        <x:v>182</x:v>
      </x:c>
      <x:c r="U16" s="8" t="s">
        <x:v>56</x:v>
      </x:c>
      <x:c r="V16" s="8" t="s">
        <x:v>114</x:v>
      </x:c>
      <x:c r="W16" s="8"/>
    </x:row>
    <x:row r="17" ht="72" customHeight="1">
      <x:c r="A17" s="6" t="s">
        <x:v>192</x:v>
      </x:c>
      <x:c r="B17" s="6" t="s">
        <x:v>166</x:v>
      </x:c>
      <x:c r="C17" s="6" t="s">
        <x:v>193</x:v>
      </x:c>
      <x:c r="D17" s="6" t="s">
        <x:v>194</x:v>
      </x:c>
      <x:c r="E17" s="6" t="s">
        <x:v>176</x:v>
      </x:c>
      <x:c r="F17" s="6" t="s">
        <x:v>195</x:v>
      </x:c>
      <x:c r="G17" s="6"/>
      <x:c r="H17" s="6" t="s">
        <x:v>196</x:v>
      </x:c>
      <x:c r="I17" s="6" t="s">
        <x:v>172</x:v>
      </x:c>
      <x:c r="J17" s="6" t="s">
        <x:v>197</x:v>
      </x:c>
      <x:c r="K17" s="6" t="s">
        <x:v>198</x:v>
      </x:c>
      <x:c r="L17" s="6" t="s">
        <x:v>199</x:v>
      </x:c>
      <x:c r="M17" s="6" t="s">
        <x:v>200</x:v>
      </x:c>
      <x:c r="N17" s="6" t="s">
        <x:v>47</x:v>
      </x:c>
      <x:c r="O17" s="6" t="s">
        <x:v>177</x:v>
      </x:c>
      <x:c r="P17" s="6" t="s">
        <x:v>201</x:v>
      </x:c>
      <x:c r="Q17" s="6" t="s">
        <x:v>202</x:v>
      </x:c>
      <x:c r="R17" s="6" t="s">
        <x:v>54</x:v>
      </x:c>
      <x:c r="S17" s="6" t="s">
        <x:v>54</x:v>
      </x:c>
      <x:c r="T17" s="6" t="s">
        <x:v>182</x:v>
      </x:c>
      <x:c r="U17" s="6" t="s">
        <x:v>56</x:v>
      </x:c>
      <x:c r="V17" s="6" t="s">
        <x:v>114</x:v>
      </x:c>
      <x:c r="W17" s="6"/>
    </x:row>
    <x:row r="18" ht="72" customHeight="1">
      <x:c r="A18" s="8" t="s">
        <x:v>203</x:v>
      </x:c>
      <x:c r="B18" s="8" t="s">
        <x:v>166</x:v>
      </x:c>
      <x:c r="C18" s="8" t="s">
        <x:v>204</x:v>
      </x:c>
      <x:c r="D18" s="8" t="s">
        <x:v>205</x:v>
      </x:c>
      <x:c r="E18" s="8" t="s">
        <x:v>176</x:v>
      </x:c>
      <x:c r="F18" s="8" t="s">
        <x:v>206</x:v>
      </x:c>
      <x:c r="G18" s="8"/>
      <x:c r="H18" s="8" t="s">
        <x:v>207</x:v>
      </x:c>
      <x:c r="I18" s="8" t="s">
        <x:v>207</x:v>
      </x:c>
      <x:c r="J18" s="8"/>
      <x:c r="K18" s="8" t="s">
        <x:v>208</x:v>
      </x:c>
      <x:c r="L18" s="8" t="s">
        <x:v>209</x:v>
      </x:c>
      <x:c r="M18" s="8" t="s">
        <x:v>209</x:v>
      </x:c>
      <x:c r="N18" s="8" t="s">
        <x:v>47</x:v>
      </x:c>
      <x:c r="O18" s="8" t="s">
        <x:v>177</x:v>
      </x:c>
      <x:c r="P18" s="8" t="s">
        <x:v>210</x:v>
      </x:c>
      <x:c r="Q18" s="8" t="s">
        <x:v>211</x:v>
      </x:c>
      <x:c r="R18" s="8" t="s">
        <x:v>54</x:v>
      </x:c>
      <x:c r="S18" s="8" t="s">
        <x:v>54</x:v>
      </x:c>
      <x:c r="T18" s="8" t="s">
        <x:v>182</x:v>
      </x:c>
      <x:c r="U18" s="8" t="s">
        <x:v>56</x:v>
      </x:c>
      <x:c r="V18" s="8" t="s">
        <x:v>114</x:v>
      </x:c>
      <x:c r="W18" s="8"/>
    </x:row>
    <x:row r="19" ht="72" customHeight="1">
      <x:c r="A19" s="6" t="s">
        <x:v>212</x:v>
      </x:c>
      <x:c r="B19" s="6" t="s">
        <x:v>213</x:v>
      </x:c>
      <x:c r="C19" s="6" t="s">
        <x:v>214</x:v>
      </x:c>
      <x:c r="D19" s="6" t="s">
        <x:v>215</x:v>
      </x:c>
      <x:c r="E19" s="6" t="s">
        <x:v>216</x:v>
      </x:c>
      <x:c r="F19" s="6" t="s">
        <x:v>217</x:v>
      </x:c>
      <x:c r="G19" s="6"/>
      <x:c r="H19" s="6" t="s">
        <x:v>218</x:v>
      </x:c>
      <x:c r="I19" s="6" t="s">
        <x:v>219</x:v>
      </x:c>
      <x:c r="J19" s="6" t="s">
        <x:v>220</x:v>
      </x:c>
      <x:c r="K19" s="6" t="s">
        <x:v>208</x:v>
      </x:c>
      <x:c r="L19" s="6" t="s">
        <x:v>209</x:v>
      </x:c>
      <x:c r="M19" s="6" t="s">
        <x:v>209</x:v>
      </x:c>
      <x:c r="N19" s="6" t="s">
        <x:v>47</x:v>
      </x:c>
      <x:c r="O19" s="6" t="s">
        <x:v>108</x:v>
      </x:c>
      <x:c r="P19" s="6" t="s">
        <x:v>221</x:v>
      </x:c>
      <x:c r="Q19" s="6" t="s">
        <x:v>222</x:v>
      </x:c>
      <x:c r="R19" s="6" t="s">
        <x:v>54</x:v>
      </x:c>
      <x:c r="S19" s="6" t="s">
        <x:v>54</x:v>
      </x:c>
      <x:c r="T19" s="6" t="s">
        <x:v>223</x:v>
      </x:c>
      <x:c r="U19" s="6" t="s">
        <x:v>56</x:v>
      </x:c>
      <x:c r="V19" s="6" t="s">
        <x:v>114</x:v>
      </x:c>
      <x:c r="W19" s="6"/>
    </x:row>
    <x:row r="20" ht="72" customHeight="1">
      <x:c r="A20" s="8" t="s">
        <x:v>224</x:v>
      </x:c>
      <x:c r="B20" s="8" t="s">
        <x:v>225</x:v>
      </x:c>
      <x:c r="C20" s="8" t="s">
        <x:v>226</x:v>
      </x:c>
      <x:c r="D20" s="8" t="s">
        <x:v>227</x:v>
      </x:c>
      <x:c r="E20" s="8" t="s">
        <x:v>78</x:v>
      </x:c>
      <x:c r="F20" s="8" t="s">
        <x:v>228</x:v>
      </x:c>
      <x:c r="G20" s="8"/>
      <x:c r="H20" s="8" t="s">
        <x:v>229</x:v>
      </x:c>
      <x:c r="I20" s="8" t="s">
        <x:v>230</x:v>
      </x:c>
      <x:c r="J20" s="8" t="s">
        <x:v>231</x:v>
      </x:c>
      <x:c r="K20" s="8" t="s">
        <x:v>232</x:v>
      </x:c>
      <x:c r="L20" s="8" t="s">
        <x:v>233</x:v>
      </x:c>
      <x:c r="M20" s="8" t="s">
        <x:v>234</x:v>
      </x:c>
      <x:c r="N20" s="8" t="s">
        <x:v>47</x:v>
      </x:c>
      <x:c r="O20" s="8" t="s">
        <x:v>47</x:v>
      </x:c>
      <x:c r="P20" s="8" t="s">
        <x:v>235</x:v>
      </x:c>
      <x:c r="Q20" s="8" t="s">
        <x:v>236</x:v>
      </x:c>
      <x:c r="R20" s="8" t="s">
        <x:v>237</x:v>
      </x:c>
      <x:c r="S20" s="8" t="s">
        <x:v>112</x:v>
      </x:c>
      <x:c r="T20" s="8" t="s">
        <x:v>238</x:v>
      </x:c>
      <x:c r="U20" s="8" t="s">
        <x:v>56</x:v>
      </x:c>
      <x:c r="V20" s="8" t="s">
        <x:v>239</x:v>
      </x:c>
      <x:c r="W20" s="8"/>
    </x:row>
    <x:row r="21" ht="72" customHeight="1">
      <x:c r="A21" s="6" t="s">
        <x:v>240</x:v>
      </x:c>
      <x:c r="B21" s="6" t="s">
        <x:v>241</x:v>
      </x:c>
      <x:c r="C21" s="6" t="s">
        <x:v>242</x:v>
      </x:c>
      <x:c r="D21" s="6" t="s">
        <x:v>243</x:v>
      </x:c>
      <x:c r="E21" s="6" t="s">
        <x:v>78</x:v>
      </x:c>
      <x:c r="F21" s="6" t="s">
        <x:v>244</x:v>
      </x:c>
      <x:c r="G21" s="6"/>
      <x:c r="H21" s="6" t="s">
        <x:v>245</x:v>
      </x:c>
      <x:c r="I21" s="6" t="s">
        <x:v>246</x:v>
      </x:c>
      <x:c r="J21" s="6" t="s">
        <x:v>247</x:v>
      </x:c>
      <x:c r="K21" s="6" t="s">
        <x:v>248</x:v>
      </x:c>
      <x:c r="L21" s="6" t="s">
        <x:v>249</x:v>
      </x:c>
      <x:c r="M21" s="6" t="s">
        <x:v>250</x:v>
      </x:c>
      <x:c r="N21" s="6" t="s">
        <x:v>47</x:v>
      </x:c>
      <x:c r="O21" s="6" t="s">
        <x:v>47</x:v>
      </x:c>
      <x:c r="P21" s="6" t="s">
        <x:v>251</x:v>
      </x:c>
      <x:c r="Q21" s="6" t="s">
        <x:v>252</x:v>
      </x:c>
      <x:c r="R21" s="6" t="s">
        <x:v>253</x:v>
      </x:c>
      <x:c r="S21" s="6" t="s">
        <x:v>112</x:v>
      </x:c>
      <x:c r="T21" s="6" t="s">
        <x:v>254</x:v>
      </x:c>
      <x:c r="U21" s="6" t="s">
        <x:v>56</x:v>
      </x:c>
      <x:c r="V21" s="6" t="s">
        <x:v>114</x:v>
      </x:c>
      <x:c r="W21" s="6"/>
    </x:row>
    <x:row r="22" ht="72" customHeight="1">
      <x:c r="A22" s="8" t="s">
        <x:v>255</x:v>
      </x:c>
      <x:c r="B22" s="8" t="s">
        <x:v>241</x:v>
      </x:c>
      <x:c r="C22" s="8" t="s">
        <x:v>256</x:v>
      </x:c>
      <x:c r="D22" s="8" t="s">
        <x:v>257</x:v>
      </x:c>
      <x:c r="E22" s="8" t="s">
        <x:v>249</x:v>
      </x:c>
      <x:c r="F22" s="8" t="s">
        <x:v>258</x:v>
      </x:c>
      <x:c r="G22" s="8" t="s">
        <x:v>259</x:v>
      </x:c>
      <x:c r="H22" s="8" t="s">
        <x:v>260</x:v>
      </x:c>
      <x:c r="I22" s="8" t="s">
        <x:v>261</x:v>
      </x:c>
      <x:c r="J22" s="8" t="s">
        <x:v>262</x:v>
      </x:c>
      <x:c r="K22" s="8" t="s">
        <x:v>153</x:v>
      </x:c>
      <x:c r="L22" s="8" t="s">
        <x:v>233</x:v>
      </x:c>
      <x:c r="M22" s="8" t="s">
        <x:v>263</x:v>
      </x:c>
      <x:c r="N22" s="8" t="s">
        <x:v>47</x:v>
      </x:c>
      <x:c r="O22" s="8" t="s">
        <x:v>47</x:v>
      </x:c>
      <x:c r="P22" s="8" t="s">
        <x:v>264</x:v>
      </x:c>
      <x:c r="Q22" s="8" t="s">
        <x:v>265</x:v>
      </x:c>
      <x:c r="R22" s="8" t="s">
        <x:v>266</x:v>
      </x:c>
      <x:c r="S22" s="8" t="s">
        <x:v>112</x:v>
      </x:c>
      <x:c r="T22" s="8" t="s">
        <x:v>267</x:v>
      </x:c>
      <x:c r="U22" s="8" t="s">
        <x:v>56</x:v>
      </x:c>
      <x:c r="V22" s="8" t="s">
        <x:v>268</x:v>
      </x:c>
      <x:c r="W22" s="8"/>
    </x:row>
    <x:row r="23" ht="72" customHeight="1">
      <x:c r="A23" s="6" t="s">
        <x:v>269</x:v>
      </x:c>
      <x:c r="B23" s="6" t="s">
        <x:v>241</x:v>
      </x:c>
      <x:c r="C23" s="6" t="s">
        <x:v>270</x:v>
      </x:c>
      <x:c r="D23" s="6" t="s">
        <x:v>271</x:v>
      </x:c>
      <x:c r="E23" s="6" t="s">
        <x:v>78</x:v>
      </x:c>
      <x:c r="F23" s="6" t="s">
        <x:v>272</x:v>
      </x:c>
      <x:c r="G23" s="6"/>
      <x:c r="H23" s="6" t="s">
        <x:v>273</x:v>
      </x:c>
      <x:c r="I23" s="6" t="s">
        <x:v>274</x:v>
      </x:c>
      <x:c r="J23" s="6" t="s">
        <x:v>275</x:v>
      </x:c>
      <x:c r="K23" s="6" t="s">
        <x:v>276</x:v>
      </x:c>
      <x:c r="L23" s="6" t="s">
        <x:v>78</x:v>
      </x:c>
      <x:c r="M23" s="6" t="s">
        <x:v>277</x:v>
      </x:c>
      <x:c r="N23" s="6" t="s">
        <x:v>47</x:v>
      </x:c>
      <x:c r="O23" s="6" t="s">
        <x:v>47</x:v>
      </x:c>
      <x:c r="P23" s="6" t="s">
        <x:v>278</x:v>
      </x:c>
      <x:c r="Q23" s="6" t="s">
        <x:v>279</x:v>
      </x:c>
      <x:c r="R23" s="6" t="s">
        <x:v>54</x:v>
      </x:c>
      <x:c r="S23" s="6" t="s">
        <x:v>54</x:v>
      </x:c>
      <x:c r="T23" s="6" t="s">
        <x:v>280</x:v>
      </x:c>
      <x:c r="U23" s="6" t="s">
        <x:v>56</x:v>
      </x:c>
      <x:c r="V23" s="6" t="s">
        <x:v>114</x:v>
      </x:c>
      <x:c r="W23" s="6"/>
    </x:row>
    <x:row r="24" ht="72" customHeight="1">
      <x:c r="A24" s="8" t="s">
        <x:v>281</x:v>
      </x:c>
      <x:c r="B24" s="8" t="s">
        <x:v>241</x:v>
      </x:c>
      <x:c r="C24" s="8" t="s">
        <x:v>282</x:v>
      </x:c>
      <x:c r="D24" s="8" t="s">
        <x:v>283</x:v>
      </x:c>
      <x:c r="E24" s="8" t="s">
        <x:v>78</x:v>
      </x:c>
      <x:c r="F24" s="8" t="s">
        <x:v>284</x:v>
      </x:c>
      <x:c r="G24" s="8"/>
      <x:c r="H24" s="8" t="s">
        <x:v>285</x:v>
      </x:c>
      <x:c r="I24" s="8" t="s">
        <x:v>286</x:v>
      </x:c>
      <x:c r="J24" s="8" t="s">
        <x:v>287</x:v>
      </x:c>
      <x:c r="K24" s="8" t="s">
        <x:v>288</x:v>
      </x:c>
      <x:c r="L24" s="8" t="s">
        <x:v>78</x:v>
      </x:c>
      <x:c r="M24" s="8" t="s">
        <x:v>289</x:v>
      </x:c>
      <x:c r="N24" s="8" t="s">
        <x:v>47</x:v>
      </x:c>
      <x:c r="O24" s="8" t="s">
        <x:v>290</x:v>
      </x:c>
      <x:c r="P24" s="8" t="s">
        <x:v>291</x:v>
      </x:c>
      <x:c r="Q24" s="8" t="s">
        <x:v>292</x:v>
      </x:c>
      <x:c r="R24" s="8" t="s">
        <x:v>293</x:v>
      </x:c>
      <x:c r="S24" s="8" t="s">
        <x:v>181</x:v>
      </x:c>
      <x:c r="T24" s="8" t="s">
        <x:v>267</x:v>
      </x:c>
      <x:c r="U24" s="8" t="s">
        <x:v>56</x:v>
      </x:c>
      <x:c r="V24" s="8" t="s">
        <x:v>114</x:v>
      </x:c>
      <x:c r="W24" s="8"/>
    </x:row>
    <x:row r="25" ht="72" customHeight="1">
      <x:c r="A25" s="6" t="s">
        <x:v>294</x:v>
      </x:c>
      <x:c r="B25" s="6" t="s">
        <x:v>295</x:v>
      </x:c>
      <x:c r="C25" s="6" t="s">
        <x:v>296</x:v>
      </x:c>
      <x:c r="D25" s="6" t="s">
        <x:v>297</x:v>
      </x:c>
      <x:c r="E25" s="6" t="s">
        <x:v>78</x:v>
      </x:c>
      <x:c r="F25" s="6" t="s">
        <x:v>298</x:v>
      </x:c>
      <x:c r="G25" s="6"/>
      <x:c r="H25" s="6" t="s">
        <x:v>299</x:v>
      </x:c>
      <x:c r="I25" s="6" t="s">
        <x:v>300</x:v>
      </x:c>
      <x:c r="J25" s="6" t="s">
        <x:v>301</x:v>
      </x:c>
      <x:c r="K25" s="6" t="s">
        <x:v>302</x:v>
      </x:c>
      <x:c r="L25" s="6" t="s">
        <x:v>233</x:v>
      </x:c>
      <x:c r="M25" s="6" t="s">
        <x:v>303</x:v>
      </x:c>
      <x:c r="N25" s="6" t="s">
        <x:v>47</x:v>
      </x:c>
      <x:c r="O25" s="6" t="s">
        <x:v>47</x:v>
      </x:c>
      <x:c r="P25" s="6" t="s">
        <x:v>304</x:v>
      </x:c>
      <x:c r="Q25" s="6" t="s">
        <x:v>305</x:v>
      </x:c>
      <x:c r="R25" s="6" t="s">
        <x:v>306</x:v>
      </x:c>
      <x:c r="S25" s="6" t="s">
        <x:v>112</x:v>
      </x:c>
      <x:c r="T25" s="6"/>
      <x:c r="U25" s="6" t="s">
        <x:v>56</x:v>
      </x:c>
      <x:c r="V25" s="6" t="s">
        <x:v>114</x:v>
      </x:c>
      <x:c r="W25" s="6"/>
    </x:row>
    <x:row r="26" ht="72" customHeight="1">
      <x:c r="A26" s="8" t="s">
        <x:v>307</x:v>
      </x:c>
      <x:c r="B26" s="8" t="s">
        <x:v>295</x:v>
      </x:c>
      <x:c r="C26" s="8" t="s">
        <x:v>308</x:v>
      </x:c>
      <x:c r="D26" s="8" t="s">
        <x:v>309</x:v>
      </x:c>
      <x:c r="E26" s="8" t="s">
        <x:v>78</x:v>
      </x:c>
      <x:c r="F26" s="8" t="s">
        <x:v>310</x:v>
      </x:c>
      <x:c r="G26" s="8"/>
      <x:c r="H26" s="8" t="s">
        <x:v>311</x:v>
      </x:c>
      <x:c r="I26" s="8" t="s">
        <x:v>312</x:v>
      </x:c>
      <x:c r="J26" s="8" t="s">
        <x:v>313</x:v>
      </x:c>
      <x:c r="K26" s="8" t="s">
        <x:v>302</x:v>
      </x:c>
      <x:c r="L26" s="8" t="s">
        <x:v>314</x:v>
      </x:c>
      <x:c r="M26" s="8" t="s">
        <x:v>314</x:v>
      </x:c>
      <x:c r="N26" s="8" t="s">
        <x:v>47</x:v>
      </x:c>
      <x:c r="O26" s="8" t="s">
        <x:v>47</x:v>
      </x:c>
      <x:c r="P26" s="8" t="s">
        <x:v>315</x:v>
      </x:c>
      <x:c r="Q26" s="8" t="s">
        <x:v>316</x:v>
      </x:c>
      <x:c r="R26" s="8" t="s">
        <x:v>317</x:v>
      </x:c>
      <x:c r="S26" s="8" t="s">
        <x:v>112</x:v>
      </x:c>
      <x:c r="T26" s="8"/>
      <x:c r="U26" s="8" t="s">
        <x:v>56</x:v>
      </x:c>
      <x:c r="V26" s="8" t="s">
        <x:v>114</x:v>
      </x:c>
      <x:c r="W26" s="8"/>
    </x:row>
    <x:row r="27" ht="72" customHeight="1">
      <x:c r="A27" s="6" t="s">
        <x:v>318</x:v>
      </x:c>
      <x:c r="B27" s="6" t="s">
        <x:v>319</x:v>
      </x:c>
      <x:c r="C27" s="6" t="s">
        <x:v>320</x:v>
      </x:c>
      <x:c r="D27" s="6" t="s">
        <x:v>321</x:v>
      </x:c>
      <x:c r="E27" s="6" t="s">
        <x:v>322</x:v>
      </x:c>
      <x:c r="F27" s="6" t="s">
        <x:v>323</x:v>
      </x:c>
      <x:c r="G27" s="6"/>
      <x:c r="H27" s="6" t="s">
        <x:v>324</x:v>
      </x:c>
      <x:c r="I27" s="6" t="s">
        <x:v>325</x:v>
      </x:c>
      <x:c r="J27" s="6" t="s">
        <x:v>326</x:v>
      </x:c>
      <x:c r="K27" s="6" t="s">
        <x:v>327</x:v>
      </x:c>
      <x:c r="L27" s="6" t="s">
        <x:v>78</x:v>
      </x:c>
      <x:c r="M27" s="6" t="s">
        <x:v>328</x:v>
      </x:c>
      <x:c r="N27" s="6" t="s">
        <x:v>47</x:v>
      </x:c>
      <x:c r="O27" s="6" t="s">
        <x:v>47</x:v>
      </x:c>
      <x:c r="P27" s="6" t="s">
        <x:v>329</x:v>
      </x:c>
      <x:c r="Q27" s="6" t="s">
        <x:v>330</x:v>
      </x:c>
      <x:c r="R27" s="6" t="s">
        <x:v>331</x:v>
      </x:c>
      <x:c r="S27" s="6" t="s">
        <x:v>54</x:v>
      </x:c>
      <x:c r="T27" s="6" t="s">
        <x:v>332</x:v>
      </x:c>
      <x:c r="U27" s="6" t="s">
        <x:v>56</x:v>
      </x:c>
      <x:c r="V27" s="6" t="s">
        <x:v>114</x:v>
      </x:c>
      <x:c r="W27" s="6"/>
    </x:row>
    <x:row r="28" ht="72" customHeight="1">
      <x:c r="A28" s="8" t="s">
        <x:v>333</x:v>
      </x:c>
      <x:c r="B28" s="8" t="s">
        <x:v>334</x:v>
      </x:c>
      <x:c r="C28" s="8" t="s">
        <x:v>335</x:v>
      </x:c>
      <x:c r="D28" s="8" t="s">
        <x:v>336</x:v>
      </x:c>
      <x:c r="E28" s="8" t="s">
        <x:v>337</x:v>
      </x:c>
      <x:c r="F28" s="8" t="s">
        <x:v>338</x:v>
      </x:c>
      <x:c r="G28" s="8"/>
      <x:c r="H28" s="8" t="s">
        <x:v>339</x:v>
      </x:c>
      <x:c r="I28" s="8" t="s">
        <x:v>340</x:v>
      </x:c>
      <x:c r="J28" s="8" t="s">
        <x:v>341</x:v>
      </x:c>
      <x:c r="K28" s="8" t="s">
        <x:v>342</x:v>
      </x:c>
      <x:c r="L28" s="8" t="s">
        <x:v>78</x:v>
      </x:c>
      <x:c r="M28" s="8" t="s">
        <x:v>343</x:v>
      </x:c>
      <x:c r="N28" s="8" t="s">
        <x:v>47</x:v>
      </x:c>
      <x:c r="O28" s="8" t="s">
        <x:v>47</x:v>
      </x:c>
      <x:c r="P28" s="8" t="s">
        <x:v>344</x:v>
      </x:c>
      <x:c r="Q28" s="8" t="s">
        <x:v>345</x:v>
      </x:c>
      <x:c r="R28" s="8" t="s">
        <x:v>346</x:v>
      </x:c>
      <x:c r="S28" s="8" t="s">
        <x:v>54</x:v>
      </x:c>
      <x:c r="T28" s="8" t="s">
        <x:v>347</x:v>
      </x:c>
      <x:c r="U28" s="8" t="s">
        <x:v>56</x:v>
      </x:c>
      <x:c r="V28" s="8" t="s">
        <x:v>114</x:v>
      </x:c>
      <x:c r="W28" s="8"/>
    </x:row>
    <x:row r="29" ht="72" customHeight="1">
      <x:c r="A29" s="6" t="s">
        <x:v>348</x:v>
      </x:c>
      <x:c r="B29" s="6" t="s">
        <x:v>349</x:v>
      </x:c>
      <x:c r="C29" s="6" t="s">
        <x:v>350</x:v>
      </x:c>
      <x:c r="D29" s="6" t="s">
        <x:v>351</x:v>
      </x:c>
      <x:c r="E29" s="6" t="s">
        <x:v>352</x:v>
      </x:c>
      <x:c r="F29" s="6" t="s">
        <x:v>353</x:v>
      </x:c>
      <x:c r="G29" s="6"/>
      <x:c r="H29" s="6" t="s">
        <x:v>354</x:v>
      </x:c>
      <x:c r="I29" s="6" t="s">
        <x:v>355</x:v>
      </x:c>
      <x:c r="J29" s="6" t="s">
        <x:v>356</x:v>
      </x:c>
      <x:c r="K29" s="6" t="s">
        <x:v>357</x:v>
      </x:c>
      <x:c r="L29" s="6" t="s">
        <x:v>78</x:v>
      </x:c>
      <x:c r="M29" s="6" t="s">
        <x:v>358</x:v>
      </x:c>
      <x:c r="N29" s="6" t="s">
        <x:v>47</x:v>
      </x:c>
      <x:c r="O29" s="6" t="s">
        <x:v>47</x:v>
      </x:c>
      <x:c r="P29" s="6" t="s">
        <x:v>359</x:v>
      </x:c>
      <x:c r="Q29" s="6" t="s">
        <x:v>360</x:v>
      </x:c>
      <x:c r="R29" s="6" t="s">
        <x:v>361</x:v>
      </x:c>
      <x:c r="S29" s="6" t="s">
        <x:v>112</x:v>
      </x:c>
      <x:c r="T29" s="6" t="s">
        <x:v>362</x:v>
      </x:c>
      <x:c r="U29" s="6" t="s">
        <x:v>56</x:v>
      </x:c>
      <x:c r="V29" s="6" t="s">
        <x:v>114</x:v>
      </x:c>
      <x:c r="W29" s="6"/>
    </x:row>
    <x:row r="30" ht="72" customHeight="1">
      <x:c r="A30" s="8" t="s">
        <x:v>363</x:v>
      </x:c>
      <x:c r="B30" s="8" t="s">
        <x:v>349</x:v>
      </x:c>
      <x:c r="C30" s="8" t="s">
        <x:v>364</x:v>
      </x:c>
      <x:c r="D30" s="8" t="s">
        <x:v>365</x:v>
      </x:c>
      <x:c r="E30" s="8" t="s">
        <x:v>352</x:v>
      </x:c>
      <x:c r="F30" s="8" t="s">
        <x:v>366</x:v>
      </x:c>
      <x:c r="G30" s="8"/>
      <x:c r="H30" s="8" t="s">
        <x:v>367</x:v>
      </x:c>
      <x:c r="I30" s="8" t="s">
        <x:v>312</x:v>
      </x:c>
      <x:c r="J30" s="8" t="s">
        <x:v>368</x:v>
      </x:c>
      <x:c r="K30" s="8" t="s">
        <x:v>357</x:v>
      </x:c>
      <x:c r="L30" s="8" t="s">
        <x:v>78</x:v>
      </x:c>
      <x:c r="M30" s="8" t="s">
        <x:v>369</x:v>
      </x:c>
      <x:c r="N30" s="8" t="s">
        <x:v>47</x:v>
      </x:c>
      <x:c r="O30" s="8" t="s">
        <x:v>47</x:v>
      </x:c>
      <x:c r="P30" s="8" t="s">
        <x:v>370</x:v>
      </x:c>
      <x:c r="Q30" s="8" t="s">
        <x:v>371</x:v>
      </x:c>
      <x:c r="R30" s="8" t="s">
        <x:v>317</x:v>
      </x:c>
      <x:c r="S30" s="8" t="s">
        <x:v>112</x:v>
      </x:c>
      <x:c r="T30" s="8" t="s">
        <x:v>362</x:v>
      </x:c>
      <x:c r="U30" s="8" t="s">
        <x:v>56</x:v>
      </x:c>
      <x:c r="V30" s="8" t="s">
        <x:v>114</x:v>
      </x:c>
      <x:c r="W30" s="8"/>
    </x:row>
    <x:row r="31" ht="72" customHeight="1">
      <x:c r="A31" s="6" t="s">
        <x:v>372</x:v>
      </x:c>
      <x:c r="B31" s="6" t="s">
        <x:v>373</x:v>
      </x:c>
      <x:c r="C31" s="6" t="s">
        <x:v>374</x:v>
      </x:c>
      <x:c r="D31" s="6" t="s">
        <x:v>375</x:v>
      </x:c>
      <x:c r="E31" s="6" t="s">
        <x:v>376</x:v>
      </x:c>
      <x:c r="F31" s="6" t="s">
        <x:v>377</x:v>
      </x:c>
      <x:c r="G31" s="6" t="s">
        <x:v>378</x:v>
      </x:c>
      <x:c r="H31" s="6" t="s">
        <x:v>379</x:v>
      </x:c>
      <x:c r="I31" s="6" t="s">
        <x:v>380</x:v>
      </x:c>
      <x:c r="J31" s="6" t="s">
        <x:v>381</x:v>
      </x:c>
      <x:c r="K31" s="6" t="s">
        <x:v>382</x:v>
      </x:c>
      <x:c r="L31" s="6" t="s">
        <x:v>314</x:v>
      </x:c>
      <x:c r="M31" s="6" t="s">
        <x:v>383</x:v>
      </x:c>
      <x:c r="N31" s="6" t="s">
        <x:v>47</x:v>
      </x:c>
      <x:c r="O31" s="6" t="s">
        <x:v>47</x:v>
      </x:c>
      <x:c r="P31" s="6" t="s">
        <x:v>384</x:v>
      </x:c>
      <x:c r="Q31" s="6" t="s">
        <x:v>385</x:v>
      </x:c>
      <x:c r="R31" s="6" t="s">
        <x:v>386</x:v>
      </x:c>
      <x:c r="S31" s="6" t="s">
        <x:v>112</x:v>
      </x:c>
      <x:c r="T31" s="6" t="s">
        <x:v>387</x:v>
      </x:c>
      <x:c r="U31" s="6" t="s">
        <x:v>56</x:v>
      </x:c>
      <x:c r="V31" s="6" t="s">
        <x:v>388</x:v>
      </x:c>
      <x:c r="W31" s="6"/>
    </x:row>
    <x:row r="32" ht="72" customHeight="1">
      <x:c r="A32" s="8" t="s">
        <x:v>389</x:v>
      </x:c>
      <x:c r="B32" s="8" t="s">
        <x:v>373</x:v>
      </x:c>
      <x:c r="C32" s="8" t="s">
        <x:v>390</x:v>
      </x:c>
      <x:c r="D32" s="8" t="s">
        <x:v>375</x:v>
      </x:c>
      <x:c r="E32" s="8" t="s">
        <x:v>376</x:v>
      </x:c>
      <x:c r="F32" s="8" t="s">
        <x:v>391</x:v>
      </x:c>
      <x:c r="G32" s="8" t="s">
        <x:v>392</x:v>
      </x:c>
      <x:c r="H32" s="8" t="s">
        <x:v>393</x:v>
      </x:c>
      <x:c r="I32" s="8" t="s">
        <x:v>394</x:v>
      </x:c>
      <x:c r="J32" s="8" t="s">
        <x:v>395</x:v>
      </x:c>
      <x:c r="K32" s="8" t="s">
        <x:v>396</x:v>
      </x:c>
      <x:c r="L32" s="8" t="s">
        <x:v>233</x:v>
      </x:c>
      <x:c r="M32" s="8" t="s">
        <x:v>397</x:v>
      </x:c>
      <x:c r="N32" s="8" t="s">
        <x:v>47</x:v>
      </x:c>
      <x:c r="O32" s="8" t="s">
        <x:v>47</x:v>
      </x:c>
      <x:c r="P32" s="8" t="s">
        <x:v>398</x:v>
      </x:c>
      <x:c r="Q32" s="8" t="s">
        <x:v>399</x:v>
      </x:c>
      <x:c r="R32" s="8" t="s">
        <x:v>400</x:v>
      </x:c>
      <x:c r="S32" s="8" t="s">
        <x:v>401</x:v>
      </x:c>
      <x:c r="T32" s="8" t="s">
        <x:v>402</x:v>
      </x:c>
      <x:c r="U32" s="8" t="s">
        <x:v>56</x:v>
      </x:c>
      <x:c r="V32" s="8" t="s">
        <x:v>403</x:v>
      </x:c>
      <x:c r="W32" s="8"/>
    </x:row>
    <x:row r="33" ht="72" customHeight="1">
      <x:c r="A33" s="6" t="s">
        <x:v>404</x:v>
      </x:c>
      <x:c r="B33" s="6" t="s">
        <x:v>373</x:v>
      </x:c>
      <x:c r="C33" s="6" t="s">
        <x:v>405</x:v>
      </x:c>
      <x:c r="D33" s="6" t="s">
        <x:v>375</x:v>
      </x:c>
      <x:c r="E33" s="6" t="s">
        <x:v>376</x:v>
      </x:c>
      <x:c r="F33" s="6" t="s">
        <x:v>406</x:v>
      </x:c>
      <x:c r="G33" s="6" t="s">
        <x:v>407</x:v>
      </x:c>
      <x:c r="H33" s="6" t="s">
        <x:v>408</x:v>
      </x:c>
      <x:c r="I33" s="6" t="s">
        <x:v>409</x:v>
      </x:c>
      <x:c r="J33" s="6" t="s">
        <x:v>410</x:v>
      </x:c>
      <x:c r="K33" s="6" t="s">
        <x:v>411</x:v>
      </x:c>
      <x:c r="L33" s="6" t="s">
        <x:v>78</x:v>
      </x:c>
      <x:c r="M33" s="6" t="s">
        <x:v>162</x:v>
      </x:c>
      <x:c r="N33" s="6" t="s">
        <x:v>47</x:v>
      </x:c>
      <x:c r="O33" s="6" t="s">
        <x:v>47</x:v>
      </x:c>
      <x:c r="P33" s="6" t="s">
        <x:v>412</x:v>
      </x:c>
      <x:c r="Q33" s="6" t="s">
        <x:v>413</x:v>
      </x:c>
      <x:c r="R33" s="6" t="s">
        <x:v>54</x:v>
      </x:c>
      <x:c r="S33" s="6" t="s">
        <x:v>54</x:v>
      </x:c>
      <x:c r="T33" s="6" t="s">
        <x:v>414</x:v>
      </x:c>
      <x:c r="U33" s="6" t="s">
        <x:v>56</x:v>
      </x:c>
      <x:c r="V33" s="6" t="s">
        <x:v>415</x:v>
      </x:c>
      <x:c r="W33" s="6"/>
    </x:row>
    <x:row r="34" ht="72" customHeight="1">
      <x:c r="A34" s="8" t="s">
        <x:v>416</x:v>
      </x:c>
      <x:c r="B34" s="8" t="s">
        <x:v>417</x:v>
      </x:c>
      <x:c r="C34" s="8" t="s">
        <x:v>418</x:v>
      </x:c>
      <x:c r="D34" s="8" t="s">
        <x:v>419</x:v>
      </x:c>
      <x:c r="E34" s="8" t="s">
        <x:v>420</x:v>
      </x:c>
      <x:c r="F34" s="8" t="s">
        <x:v>421</x:v>
      </x:c>
      <x:c r="G34" s="8" t="s">
        <x:v>422</x:v>
      </x:c>
      <x:c r="H34" s="8" t="s">
        <x:v>423</x:v>
      </x:c>
      <x:c r="I34" s="8" t="s">
        <x:v>424</x:v>
      </x:c>
      <x:c r="J34" s="8" t="s">
        <x:v>425</x:v>
      </x:c>
      <x:c r="K34" s="8" t="s">
        <x:v>426</x:v>
      </x:c>
      <x:c r="L34" s="8" t="s">
        <x:v>427</x:v>
      </x:c>
      <x:c r="M34" s="8" t="s">
        <x:v>428</x:v>
      </x:c>
      <x:c r="N34" s="8" t="s">
        <x:v>429</x:v>
      </x:c>
      <x:c r="O34" s="8" t="s">
        <x:v>430</x:v>
      </x:c>
      <x:c r="P34" s="8" t="s">
        <x:v>431</x:v>
      </x:c>
      <x:c r="Q34" s="8" t="s">
        <x:v>432</x:v>
      </x:c>
      <x:c r="R34" s="8" t="s">
        <x:v>433</x:v>
      </x:c>
      <x:c r="S34" s="8" t="s">
        <x:v>112</x:v>
      </x:c>
      <x:c r="T34" s="8" t="s">
        <x:v>434</x:v>
      </x:c>
      <x:c r="U34" s="8" t="s">
        <x:v>56</x:v>
      </x:c>
      <x:c r="V34" s="8" t="s">
        <x:v>435</x:v>
      </x:c>
      <x:c r="W34" s="8"/>
    </x:row>
    <x:row r="35" ht="72" customHeight="1">
      <x:c r="A35" s="6" t="s">
        <x:v>436</x:v>
      </x:c>
      <x:c r="B35" s="6" t="s">
        <x:v>417</x:v>
      </x:c>
      <x:c r="C35" s="6" t="s">
        <x:v>437</x:v>
      </x:c>
      <x:c r="D35" s="6" t="s">
        <x:v>438</x:v>
      </x:c>
      <x:c r="E35" s="6" t="s">
        <x:v>420</x:v>
      </x:c>
      <x:c r="F35" s="6" t="s">
        <x:v>439</x:v>
      </x:c>
      <x:c r="G35" s="6"/>
      <x:c r="H35" s="6" t="s">
        <x:v>440</x:v>
      </x:c>
      <x:c r="I35" s="6" t="s">
        <x:v>441</x:v>
      </x:c>
      <x:c r="J35" s="6" t="s">
        <x:v>442</x:v>
      </x:c>
      <x:c r="K35" s="6" t="s">
        <x:v>443</x:v>
      </x:c>
      <x:c r="L35" s="6" t="s">
        <x:v>444</x:v>
      </x:c>
      <x:c r="M35" s="6" t="s">
        <x:v>444</x:v>
      </x:c>
      <x:c r="N35" s="6" t="s">
        <x:v>445</x:v>
      </x:c>
      <x:c r="O35" s="6" t="s">
        <x:v>67</x:v>
      </x:c>
      <x:c r="P35" s="6" t="s">
        <x:v>446</x:v>
      </x:c>
      <x:c r="Q35" s="6" t="s">
        <x:v>447</x:v>
      </x:c>
      <x:c r="R35" s="6" t="s">
        <x:v>433</x:v>
      </x:c>
      <x:c r="S35" s="6" t="s">
        <x:v>112</x:v>
      </x:c>
      <x:c r="T35" s="6"/>
      <x:c r="U35" s="6" t="s">
        <x:v>56</x:v>
      </x:c>
      <x:c r="V35" s="6" t="s">
        <x:v>57</x:v>
      </x:c>
      <x:c r="W35" s="6"/>
    </x:row>
    <x:row r="36" ht="72" customHeight="1">
      <x:c r="A36" s="8" t="s">
        <x:v>448</x:v>
      </x:c>
      <x:c r="B36" s="8" t="s">
        <x:v>417</x:v>
      </x:c>
      <x:c r="C36" s="8" t="s">
        <x:v>449</x:v>
      </x:c>
      <x:c r="D36" s="8" t="s">
        <x:v>450</x:v>
      </x:c>
      <x:c r="E36" s="8" t="s">
        <x:v>420</x:v>
      </x:c>
      <x:c r="F36" s="8" t="s">
        <x:v>451</x:v>
      </x:c>
      <x:c r="G36" s="8" t="s">
        <x:v>452</x:v>
      </x:c>
      <x:c r="H36" s="8" t="str">
        <x:v>M04-RGL-041; M04-RGL-017; M04-RGL-044 | debt_cycle · statement_total_amount / payment_made_amount / cycle_evaluation_status / D=D0</x:v>
      </x:c>
      <x:c r="I36" s="8" t="str">
        <x:v>M04-RGL-041; M04-RGL-017; M04-RGL-044</x:v>
      </x:c>
      <x:c r="J36" s="8" t="s">
        <x:v>453</x:v>
      </x:c>
      <x:c r="K36" s="8" t="s">
        <x:v>454</x:v>
      </x:c>
      <x:c r="L36" s="8" t="s">
        <x:v>314</x:v>
      </x:c>
      <x:c r="M36" s="8" t="s">
        <x:v>455</x:v>
      </x:c>
      <x:c r="N36" s="8" t="s">
        <x:v>47</x:v>
      </x:c>
      <x:c r="O36" s="8" t="s">
        <x:v>47</x:v>
      </x:c>
      <x:c r="P36" s="8" t="s">
        <x:v>456</x:v>
      </x:c>
      <x:c r="Q36" s="8" t="s">
        <x:v>457</x:v>
      </x:c>
      <x:c r="R36" s="8" t="s">
        <x:v>458</x:v>
      </x:c>
      <x:c r="S36" s="8" t="s">
        <x:v>401</x:v>
      </x:c>
      <x:c r="T36" s="8" t="s">
        <x:v>459</x:v>
      </x:c>
      <x:c r="U36" s="8" t="s">
        <x:v>56</x:v>
      </x:c>
      <x:c r="V36" s="8" t="str">
        <x:v>Vigente | Anti-falso-rojo: P4-CNT-015. | Aplicar precedencia/mapeos TC/CMF de M04-RGL-044 cuando corresponda.</x:v>
      </x:c>
      <x:c r="W36" s="8"/>
    </x:row>
    <x:row r="37" ht="72" customHeight="1">
      <x:c r="A37" s="6" t="s">
        <x:v>460</x:v>
      </x:c>
      <x:c r="B37" s="6" t="s">
        <x:v>417</x:v>
      </x:c>
      <x:c r="C37" s="6" t="s">
        <x:v>461</x:v>
      </x:c>
      <x:c r="D37" s="6" t="s">
        <x:v>462</x:v>
      </x:c>
      <x:c r="E37" s="6" t="s">
        <x:v>420</x:v>
      </x:c>
      <x:c r="F37" s="6" t="s">
        <x:v>463</x:v>
      </x:c>
      <x:c r="G37" s="6" t="s">
        <x:v>464</x:v>
      </x:c>
      <x:c r="H37" s="6" t="str">
        <x:v>M04-RGL-041; M04-RGL-017; M04-RGL-044 | debt_cycle · installment_monthly_amount / payment_status_cycle / D=D0</x:v>
      </x:c>
      <x:c r="I37" s="6" t="str">
        <x:v>M04-RGL-041; M04-RGL-017; M04-RGL-044</x:v>
      </x:c>
      <x:c r="J37" s="6" t="s">
        <x:v>465</x:v>
      </x:c>
      <x:c r="K37" s="6" t="s">
        <x:v>466</x:v>
      </x:c>
      <x:c r="L37" s="6" t="s">
        <x:v>314</x:v>
      </x:c>
      <x:c r="M37" s="6" t="s">
        <x:v>467</x:v>
      </x:c>
      <x:c r="N37" s="6" t="s">
        <x:v>47</x:v>
      </x:c>
      <x:c r="O37" s="6" t="s">
        <x:v>47</x:v>
      </x:c>
      <x:c r="P37" s="6" t="s">
        <x:v>468</x:v>
      </x:c>
      <x:c r="Q37" s="6" t="s">
        <x:v>469</x:v>
      </x:c>
      <x:c r="R37" s="6" t="s">
        <x:v>458</x:v>
      </x:c>
      <x:c r="S37" s="6" t="s">
        <x:v>401</x:v>
      </x:c>
      <x:c r="T37" s="6" t="s">
        <x:v>459</x:v>
      </x:c>
      <x:c r="U37" s="6" t="s">
        <x:v>56</x:v>
      </x:c>
      <x:c r="V37" s="6" t="str">
        <x:v>Vigente | Aplicar P4-CNT-002 y P4-CNT-015. | Aplicar precedencia/mapeos TC/CMF de M04-RGL-044 cuando corresponda.</x:v>
      </x:c>
      <x:c r="W37" s="6"/>
    </x:row>
    <x:row r="38" ht="72" customHeight="1">
      <x:c r="A38" s="8" t="s">
        <x:v>470</x:v>
      </x:c>
      <x:c r="B38" s="8" t="s">
        <x:v>471</x:v>
      </x:c>
      <x:c r="C38" s="8" t="s">
        <x:v>472</x:v>
      </x:c>
      <x:c r="D38" s="8" t="s">
        <x:v>473</x:v>
      </x:c>
      <x:c r="E38" s="8" t="s">
        <x:v>420</x:v>
      </x:c>
      <x:c r="F38" s="8" t="s">
        <x:v>474</x:v>
      </x:c>
      <x:c r="G38" s="8" t="s">
        <x:v>475</x:v>
      </x:c>
      <x:c r="H38" s="8" t="s">
        <x:v>476</x:v>
      </x:c>
      <x:c r="I38" s="8" t="s">
        <x:v>477</x:v>
      </x:c>
      <x:c r="J38" s="8" t="s">
        <x:v>478</x:v>
      </x:c>
      <x:c r="K38" s="8" t="s">
        <x:v>479</x:v>
      </x:c>
      <x:c r="L38" s="8" t="s">
        <x:v>480</x:v>
      </x:c>
      <x:c r="M38" s="8" t="s">
        <x:v>481</x:v>
      </x:c>
      <x:c r="N38" s="8" t="s">
        <x:v>47</x:v>
      </x:c>
      <x:c r="O38" s="8" t="s">
        <x:v>47</x:v>
      </x:c>
      <x:c r="P38" s="8" t="s">
        <x:v>482</x:v>
      </x:c>
      <x:c r="Q38" s="8" t="s">
        <x:v>483</x:v>
      </x:c>
      <x:c r="R38" s="8" t="s">
        <x:v>484</x:v>
      </x:c>
      <x:c r="S38" s="8" t="s">
        <x:v>112</x:v>
      </x:c>
      <x:c r="T38" s="8" t="s">
        <x:v>485</x:v>
      </x:c>
      <x:c r="U38" s="8" t="s">
        <x:v>56</x:v>
      </x:c>
      <x:c r="V38" s="8" t="s">
        <x:v>486</x:v>
      </x:c>
      <x:c r="W38" s="8"/>
    </x:row>
    <x:row r="39" ht="72" customHeight="1">
      <x:c r="A39" s="6" t="s">
        <x:v>487</x:v>
      </x:c>
      <x:c r="B39" s="6" t="s">
        <x:v>471</x:v>
      </x:c>
      <x:c r="C39" s="6" t="s">
        <x:v>488</x:v>
      </x:c>
      <x:c r="D39" s="6" t="s">
        <x:v>489</x:v>
      </x:c>
      <x:c r="E39" s="6" t="s">
        <x:v>420</x:v>
      </x:c>
      <x:c r="F39" s="6" t="s">
        <x:v>490</x:v>
      </x:c>
      <x:c r="G39" s="6" t="s">
        <x:v>491</x:v>
      </x:c>
      <x:c r="H39" s="6" t="s">
        <x:v>492</x:v>
      </x:c>
      <x:c r="I39" s="6" t="s">
        <x:v>493</x:v>
      </x:c>
      <x:c r="J39" s="6" t="s">
        <x:v>494</x:v>
      </x:c>
      <x:c r="K39" s="6" t="s">
        <x:v>495</x:v>
      </x:c>
      <x:c r="L39" s="6" t="s">
        <x:v>496</x:v>
      </x:c>
      <x:c r="M39" s="6" t="s">
        <x:v>497</x:v>
      </x:c>
      <x:c r="N39" s="6" t="s">
        <x:v>47</x:v>
      </x:c>
      <x:c r="O39" s="6" t="s">
        <x:v>47</x:v>
      </x:c>
      <x:c r="P39" s="6" t="s">
        <x:v>498</x:v>
      </x:c>
      <x:c r="Q39" s="6" t="s">
        <x:v>499</x:v>
      </x:c>
      <x:c r="R39" s="6" t="s">
        <x:v>484</x:v>
      </x:c>
      <x:c r="S39" s="6" t="s">
        <x:v>112</x:v>
      </x:c>
      <x:c r="T39" s="6" t="s">
        <x:v>500</x:v>
      </x:c>
      <x:c r="U39" s="6" t="s">
        <x:v>56</x:v>
      </x:c>
      <x:c r="V39" s="6" t="s">
        <x:v>501</x:v>
      </x:c>
      <x:c r="W39" s="6"/>
    </x:row>
    <x:row r="40" ht="72" customHeight="1">
      <x:c r="A40" s="8" t="s">
        <x:v>502</x:v>
      </x:c>
      <x:c r="B40" s="8" t="s">
        <x:v>471</x:v>
      </x:c>
      <x:c r="C40" s="8" t="s">
        <x:v>503</x:v>
      </x:c>
      <x:c r="D40" s="8" t="s">
        <x:v>489</x:v>
      </x:c>
      <x:c r="E40" s="8" t="s">
        <x:v>420</x:v>
      </x:c>
      <x:c r="F40" s="8" t="s">
        <x:v>504</x:v>
      </x:c>
      <x:c r="G40" s="8" t="s">
        <x:v>505</x:v>
      </x:c>
      <x:c r="H40" s="8" t="s">
        <x:v>506</x:v>
      </x:c>
      <x:c r="I40" s="8" t="s">
        <x:v>507</x:v>
      </x:c>
      <x:c r="J40" s="8" t="s">
        <x:v>508</x:v>
      </x:c>
      <x:c r="K40" s="8" t="s">
        <x:v>495</x:v>
      </x:c>
      <x:c r="L40" s="8" t="s">
        <x:v>509</x:v>
      </x:c>
      <x:c r="M40" s="8" t="s">
        <x:v>510</x:v>
      </x:c>
      <x:c r="N40" s="8" t="s">
        <x:v>47</x:v>
      </x:c>
      <x:c r="O40" s="8" t="s">
        <x:v>47</x:v>
      </x:c>
      <x:c r="P40" s="8" t="s">
        <x:v>511</x:v>
      </x:c>
      <x:c r="Q40" s="8" t="s">
        <x:v>512</x:v>
      </x:c>
      <x:c r="R40" s="8" t="s">
        <x:v>484</x:v>
      </x:c>
      <x:c r="S40" s="8" t="s">
        <x:v>513</x:v>
      </x:c>
      <x:c r="T40" s="8" t="s">
        <x:v>514</x:v>
      </x:c>
      <x:c r="U40" s="8" t="s">
        <x:v>56</x:v>
      </x:c>
      <x:c r="V40" s="8" t="s">
        <x:v>515</x:v>
      </x:c>
      <x:c r="W40" s="8"/>
    </x:row>
    <x:row r="41" ht="72" customHeight="1">
      <x:c r="A41" s="6" t="s">
        <x:v>516</x:v>
      </x:c>
      <x:c r="B41" s="6" t="s">
        <x:v>471</x:v>
      </x:c>
      <x:c r="C41" s="6" t="s">
        <x:v>517</x:v>
      </x:c>
      <x:c r="D41" s="6" t="s">
        <x:v>473</x:v>
      </x:c>
      <x:c r="E41" s="6" t="s">
        <x:v>420</x:v>
      </x:c>
      <x:c r="F41" s="6" t="s">
        <x:v>518</x:v>
      </x:c>
      <x:c r="G41" s="6" t="s">
        <x:v>464</x:v>
      </x:c>
      <x:c r="H41" s="6" t="str">
        <x:v>M04-RGL-041; M04-RGL-018; M04-RGL-044 | debt_cycle · costo financiero confirmado / servicio mensual normalizado / D=D0</x:v>
      </x:c>
      <x:c r="I41" s="6" t="str">
        <x:v>M04-RGL-041; M04-RGL-018; M04-RGL-044</x:v>
      </x:c>
      <x:c r="J41" s="6" t="s">
        <x:v>519</x:v>
      </x:c>
      <x:c r="K41" s="6" t="s">
        <x:v>479</x:v>
      </x:c>
      <x:c r="L41" s="6" t="s">
        <x:v>509</x:v>
      </x:c>
      <x:c r="M41" s="6" t="s">
        <x:v>520</x:v>
      </x:c>
      <x:c r="N41" s="6" t="s">
        <x:v>47</x:v>
      </x:c>
      <x:c r="O41" s="6" t="s">
        <x:v>47</x:v>
      </x:c>
      <x:c r="P41" s="6" t="s">
        <x:v>521</x:v>
      </x:c>
      <x:c r="Q41" s="6" t="s">
        <x:v>522</x:v>
      </x:c>
      <x:c r="R41" s="6" t="s">
        <x:v>484</x:v>
      </x:c>
      <x:c r="S41" s="6" t="s">
        <x:v>54</x:v>
      </x:c>
      <x:c r="T41" s="6" t="s">
        <x:v>523</x:v>
      </x:c>
      <x:c r="U41" s="6" t="s">
        <x:v>56</x:v>
      </x:c>
      <x:c r="V41" s="6" t="str">
        <x:v>Vigente | Aplicar P4-CNT-002 y P4-CNT-015; recargo moratorio sigue aging/deterioro. | Aplicar precedencia/mapeos TC/CMF de M04-RGL-044 cuando corresponda.</x:v>
      </x:c>
      <x:c r="W41" s="6"/>
    </x:row>
    <x:row r="42" ht="72" customHeight="1">
      <x:c r="A42" s="8" t="s">
        <x:v>524</x:v>
      </x:c>
      <x:c r="B42" s="8" t="s">
        <x:v>471</x:v>
      </x:c>
      <x:c r="C42" s="8" t="s">
        <x:v>525</x:v>
      </x:c>
      <x:c r="D42" s="8" t="s">
        <x:v>526</x:v>
      </x:c>
      <x:c r="E42" s="8" t="s">
        <x:v>420</x:v>
      </x:c>
      <x:c r="F42" s="8" t="s">
        <x:v>527</x:v>
      </x:c>
      <x:c r="G42" s="8" t="s">
        <x:v>392</x:v>
      </x:c>
      <x:c r="H42" s="8" t="s">
        <x:v>528</x:v>
      </x:c>
      <x:c r="I42" s="8" t="s">
        <x:v>529</x:v>
      </x:c>
      <x:c r="J42" s="8" t="s">
        <x:v>530</x:v>
      </x:c>
      <x:c r="K42" s="8" t="s">
        <x:v>531</x:v>
      </x:c>
      <x:c r="L42" s="8" t="s">
        <x:v>78</x:v>
      </x:c>
      <x:c r="M42" s="8" t="s">
        <x:v>532</x:v>
      </x:c>
      <x:c r="N42" s="8" t="s">
        <x:v>47</x:v>
      </x:c>
      <x:c r="O42" s="8" t="s">
        <x:v>47</x:v>
      </x:c>
      <x:c r="P42" s="8" t="s">
        <x:v>533</x:v>
      </x:c>
      <x:c r="Q42" s="8" t="s">
        <x:v>534</x:v>
      </x:c>
      <x:c r="R42" s="8" t="s">
        <x:v>535</x:v>
      </x:c>
      <x:c r="S42" s="8" t="s">
        <x:v>401</x:v>
      </x:c>
      <x:c r="T42" s="8"/>
      <x:c r="U42" s="8" t="s">
        <x:v>56</x:v>
      </x:c>
      <x:c r="V42" s="8" t="s">
        <x:v>536</x:v>
      </x:c>
      <x:c r="W42" s="8"/>
    </x:row>
    <x:row r="43" ht="72" customHeight="1">
      <x:c r="A43" s="6" t="s">
        <x:v>537</x:v>
      </x:c>
      <x:c r="B43" s="6" t="s">
        <x:v>471</x:v>
      </x:c>
      <x:c r="C43" s="6" t="s">
        <x:v>538</x:v>
      </x:c>
      <x:c r="D43" s="6" t="s">
        <x:v>539</x:v>
      </x:c>
      <x:c r="E43" s="6" t="s">
        <x:v>420</x:v>
      </x:c>
      <x:c r="F43" s="6" t="s">
        <x:v>540</x:v>
      </x:c>
      <x:c r="G43" s="6" t="s">
        <x:v>452</x:v>
      </x:c>
      <x:c r="H43" s="6" t="str">
        <x:v>M04-RGL-041; M04-RGL-018; M04-RGL-044 | debt_cycle · billing_cycle_close_date / payment_status_cycle / cycle_evaluation_status / D</x:v>
      </x:c>
      <x:c r="I43" s="6" t="str">
        <x:v>M04-RGL-041; M04-RGL-018; M04-RGL-044</x:v>
      </x:c>
      <x:c r="J43" s="6" t="s">
        <x:v>541</x:v>
      </x:c>
      <x:c r="K43" s="6" t="s">
        <x:v>542</x:v>
      </x:c>
      <x:c r="L43" s="6" t="s">
        <x:v>543</x:v>
      </x:c>
      <x:c r="M43" s="6" t="s">
        <x:v>544</x:v>
      </x:c>
      <x:c r="N43" s="6" t="s">
        <x:v>47</x:v>
      </x:c>
      <x:c r="O43" s="6" t="s">
        <x:v>47</x:v>
      </x:c>
      <x:c r="P43" s="6" t="s">
        <x:v>545</x:v>
      </x:c>
      <x:c r="Q43" s="6" t="s">
        <x:v>546</x:v>
      </x:c>
      <x:c r="R43" s="6" t="s">
        <x:v>547</x:v>
      </x:c>
      <x:c r="S43" s="6" t="s">
        <x:v>54</x:v>
      </x:c>
      <x:c r="T43" s="6" t="s">
        <x:v>523</x:v>
      </x:c>
      <x:c r="U43" s="6" t="s">
        <x:v>56</x:v>
      </x:c>
      <x:c r="V43" s="6" t="str">
        <x:v>Vigente | Aplicar P4-CNT-015; anti-falso-positivo. | Aplicar precedencia/mapeos TC/CMF de M04-RGL-044 cuando corresponda.</x:v>
      </x:c>
      <x:c r="W43" s="6"/>
    </x:row>
    <x:row r="44" ht="72" customHeight="1">
      <x:c r="A44" s="8" t="s">
        <x:v>548</x:v>
      </x:c>
      <x:c r="B44" s="8" t="s">
        <x:v>471</x:v>
      </x:c>
      <x:c r="C44" s="8" t="s">
        <x:v>549</x:v>
      </x:c>
      <x:c r="D44" s="8" t="s">
        <x:v>550</x:v>
      </x:c>
      <x:c r="E44" s="8" t="s">
        <x:v>420</x:v>
      </x:c>
      <x:c r="F44" s="8" t="s">
        <x:v>551</x:v>
      </x:c>
      <x:c r="G44" s="8"/>
      <x:c r="H44" s="8" t="s">
        <x:v>552</x:v>
      </x:c>
      <x:c r="I44" s="8" t="s">
        <x:v>553</x:v>
      </x:c>
      <x:c r="J44" s="8" t="s">
        <x:v>554</x:v>
      </x:c>
      <x:c r="K44" s="8" t="s">
        <x:v>555</x:v>
      </x:c>
      <x:c r="L44" s="8" t="s">
        <x:v>78</x:v>
      </x:c>
      <x:c r="M44" s="8" t="s">
        <x:v>556</x:v>
      </x:c>
      <x:c r="N44" s="8" t="s">
        <x:v>47</x:v>
      </x:c>
      <x:c r="O44" s="8" t="s">
        <x:v>47</x:v>
      </x:c>
      <x:c r="P44" s="8" t="s">
        <x:v>557</x:v>
      </x:c>
      <x:c r="Q44" s="8" t="s">
        <x:v>558</x:v>
      </x:c>
      <x:c r="R44" s="8" t="s">
        <x:v>484</x:v>
      </x:c>
      <x:c r="S44" s="8" t="s">
        <x:v>401</x:v>
      </x:c>
      <x:c r="T44" s="8" t="s">
        <x:v>559</x:v>
      </x:c>
      <x:c r="U44" s="8" t="s">
        <x:v>56</x:v>
      </x:c>
      <x:c r="V44" s="8" t="s">
        <x:v>57</x:v>
      </x:c>
      <x:c r="W44" s="8"/>
    </x:row>
    <x:row r="45" ht="72" customHeight="1">
      <x:c r="A45" s="6" t="s">
        <x:v>560</x:v>
      </x:c>
      <x:c r="B45" s="6" t="s">
        <x:v>561</x:v>
      </x:c>
      <x:c r="C45" s="6" t="s">
        <x:v>562</x:v>
      </x:c>
      <x:c r="D45" s="6" t="s">
        <x:v>563</x:v>
      </x:c>
      <x:c r="E45" s="6" t="s">
        <x:v>420</x:v>
      </x:c>
      <x:c r="F45" s="6" t="s">
        <x:v>564</x:v>
      </x:c>
      <x:c r="G45" s="6" t="s">
        <x:v>565</x:v>
      </x:c>
      <x:c r="H45" s="6" t="s">
        <x:v>566</x:v>
      </x:c>
      <x:c r="I45" s="6" t="s">
        <x:v>567</x:v>
      </x:c>
      <x:c r="J45" s="6" t="s">
        <x:v>568</x:v>
      </x:c>
      <x:c r="K45" s="6" t="s">
        <x:v>569</x:v>
      </x:c>
      <x:c r="L45" s="6" t="s">
        <x:v>570</x:v>
      </x:c>
      <x:c r="M45" s="6" t="s">
        <x:v>571</x:v>
      </x:c>
      <x:c r="N45" s="6" t="s">
        <x:v>445</x:v>
      </x:c>
      <x:c r="O45" s="6" t="s">
        <x:v>47</x:v>
      </x:c>
      <x:c r="P45" s="6" t="s">
        <x:v>572</x:v>
      </x:c>
      <x:c r="Q45" s="6" t="s">
        <x:v>573</x:v>
      </x:c>
      <x:c r="R45" s="6" t="s">
        <x:v>574</x:v>
      </x:c>
      <x:c r="S45" s="6" t="s">
        <x:v>513</x:v>
      </x:c>
      <x:c r="T45" s="6" t="s">
        <x:v>575</x:v>
      </x:c>
      <x:c r="U45" s="6" t="s">
        <x:v>56</x:v>
      </x:c>
      <x:c r="V45" s="6" t="s">
        <x:v>576</x:v>
      </x:c>
      <x:c r="W45" s="6"/>
    </x:row>
    <x:row r="46" ht="72" customHeight="1">
      <x:c r="A46" s="8" t="s">
        <x:v>577</x:v>
      </x:c>
      <x:c r="B46" s="8" t="s">
        <x:v>561</x:v>
      </x:c>
      <x:c r="C46" s="8" t="s">
        <x:v>578</x:v>
      </x:c>
      <x:c r="D46" s="8" t="s">
        <x:v>579</x:v>
      </x:c>
      <x:c r="E46" s="8" t="s">
        <x:v>420</x:v>
      </x:c>
      <x:c r="F46" s="8" t="s">
        <x:v>580</x:v>
      </x:c>
      <x:c r="G46" s="8" t="s">
        <x:v>581</x:v>
      </x:c>
      <x:c r="H46" s="8" t="s">
        <x:v>582</x:v>
      </x:c>
      <x:c r="I46" s="8" t="s">
        <x:v>567</x:v>
      </x:c>
      <x:c r="J46" s="8" t="s">
        <x:v>583</x:v>
      </x:c>
      <x:c r="K46" s="8" t="s">
        <x:v>569</x:v>
      </x:c>
      <x:c r="L46" s="8" t="s">
        <x:v>570</x:v>
      </x:c>
      <x:c r="M46" s="8" t="s">
        <x:v>584</x:v>
      </x:c>
      <x:c r="N46" s="8" t="s">
        <x:v>445</x:v>
      </x:c>
      <x:c r="O46" s="8" t="s">
        <x:v>47</x:v>
      </x:c>
      <x:c r="P46" s="8" t="s">
        <x:v>585</x:v>
      </x:c>
      <x:c r="Q46" s="8" t="s">
        <x:v>573</x:v>
      </x:c>
      <x:c r="R46" s="8" t="s">
        <x:v>574</x:v>
      </x:c>
      <x:c r="S46" s="8" t="s">
        <x:v>513</x:v>
      </x:c>
      <x:c r="T46" s="8" t="s">
        <x:v>575</x:v>
      </x:c>
      <x:c r="U46" s="8" t="s">
        <x:v>56</x:v>
      </x:c>
      <x:c r="V46" s="8" t="s">
        <x:v>586</x:v>
      </x:c>
      <x:c r="W46" s="8"/>
    </x:row>
    <x:row r="47" ht="72" customHeight="1">
      <x:c r="A47" s="6" t="s">
        <x:v>587</x:v>
      </x:c>
      <x:c r="B47" s="6" t="s">
        <x:v>561</x:v>
      </x:c>
      <x:c r="C47" s="6" t="s">
        <x:v>588</x:v>
      </x:c>
      <x:c r="D47" s="6" t="s">
        <x:v>563</x:v>
      </x:c>
      <x:c r="E47" s="6" t="s">
        <x:v>420</x:v>
      </x:c>
      <x:c r="F47" s="6" t="s">
        <x:v>589</x:v>
      </x:c>
      <x:c r="G47" s="6" t="s">
        <x:v>590</x:v>
      </x:c>
      <x:c r="H47" s="6" t="s">
        <x:v>591</x:v>
      </x:c>
      <x:c r="I47" s="6" t="s">
        <x:v>592</x:v>
      </x:c>
      <x:c r="J47" s="6" t="s">
        <x:v>593</x:v>
      </x:c>
      <x:c r="K47" s="6" t="s">
        <x:v>569</x:v>
      </x:c>
      <x:c r="L47" s="6" t="s">
        <x:v>570</x:v>
      </x:c>
      <x:c r="M47" s="6" t="s">
        <x:v>594</x:v>
      </x:c>
      <x:c r="N47" s="6" t="s">
        <x:v>445</x:v>
      </x:c>
      <x:c r="O47" s="6" t="s">
        <x:v>47</x:v>
      </x:c>
      <x:c r="P47" s="6" t="s">
        <x:v>595</x:v>
      </x:c>
      <x:c r="Q47" s="6" t="s">
        <x:v>596</x:v>
      </x:c>
      <x:c r="R47" s="6" t="s">
        <x:v>574</x:v>
      </x:c>
      <x:c r="S47" s="6" t="s">
        <x:v>513</x:v>
      </x:c>
      <x:c r="T47" s="6" t="s">
        <x:v>597</x:v>
      </x:c>
      <x:c r="U47" s="6" t="s">
        <x:v>56</x:v>
      </x:c>
      <x:c r="V47" s="6" t="s">
        <x:v>598</x:v>
      </x:c>
      <x:c r="W47" s="6"/>
    </x:row>
    <x:row r="48" ht="72" customHeight="1">
      <x:c r="A48" s="8" t="s">
        <x:v>599</x:v>
      </x:c>
      <x:c r="B48" s="8" t="s">
        <x:v>561</x:v>
      </x:c>
      <x:c r="C48" s="8" t="s">
        <x:v>600</x:v>
      </x:c>
      <x:c r="D48" s="8" t="s">
        <x:v>579</x:v>
      </x:c>
      <x:c r="E48" s="8" t="s">
        <x:v>420</x:v>
      </x:c>
      <x:c r="F48" s="8" t="s">
        <x:v>601</x:v>
      </x:c>
      <x:c r="G48" s="8" t="s">
        <x:v>602</x:v>
      </x:c>
      <x:c r="H48" s="8" t="s">
        <x:v>603</x:v>
      </x:c>
      <x:c r="I48" s="8" t="s">
        <x:v>592</x:v>
      </x:c>
      <x:c r="J48" s="8" t="s">
        <x:v>604</x:v>
      </x:c>
      <x:c r="K48" s="8" t="s">
        <x:v>569</x:v>
      </x:c>
      <x:c r="L48" s="8" t="s">
        <x:v>570</x:v>
      </x:c>
      <x:c r="M48" s="8" t="s">
        <x:v>605</x:v>
      </x:c>
      <x:c r="N48" s="8" t="s">
        <x:v>445</x:v>
      </x:c>
      <x:c r="O48" s="8" t="s">
        <x:v>47</x:v>
      </x:c>
      <x:c r="P48" s="8" t="s">
        <x:v>606</x:v>
      </x:c>
      <x:c r="Q48" s="8" t="s">
        <x:v>596</x:v>
      </x:c>
      <x:c r="R48" s="8" t="s">
        <x:v>574</x:v>
      </x:c>
      <x:c r="S48" s="8" t="s">
        <x:v>513</x:v>
      </x:c>
      <x:c r="T48" s="8" t="s">
        <x:v>597</x:v>
      </x:c>
      <x:c r="U48" s="8" t="s">
        <x:v>56</x:v>
      </x:c>
      <x:c r="V48" s="8" t="s">
        <x:v>607</x:v>
      </x:c>
      <x:c r="W48" s="8"/>
    </x:row>
    <x:row r="49" ht="72" customHeight="1">
      <x:c r="A49" s="6" t="s">
        <x:v>608</x:v>
      </x:c>
      <x:c r="B49" s="6" t="s">
        <x:v>561</x:v>
      </x:c>
      <x:c r="C49" s="6" t="s">
        <x:v>609</x:v>
      </x:c>
      <x:c r="D49" s="6" t="s">
        <x:v>563</x:v>
      </x:c>
      <x:c r="E49" s="6" t="s">
        <x:v>420</x:v>
      </x:c>
      <x:c r="F49" s="6" t="s">
        <x:v>610</x:v>
      </x:c>
      <x:c r="G49" s="6" t="s">
        <x:v>611</x:v>
      </x:c>
      <x:c r="H49" s="6" t="str">
        <x:v>M04-RGL-041; M04-RGL-019, M04-RGL-014; M04-RGL-044 | debt_cycle / debt_signal · resultado de ciclo / tipo de comportamiento / recurrencia M06 / D / dedup</x:v>
      </x:c>
      <x:c r="I49" s="6" t="str">
        <x:v>M04-RGL-041; M04-RGL-019, M04-RGL-014; M04-RGL-044</x:v>
      </x:c>
      <x:c r="J49" s="6" t="s">
        <x:v>612</x:v>
      </x:c>
      <x:c r="K49" s="6" t="s">
        <x:v>569</x:v>
      </x:c>
      <x:c r="L49" s="6" t="s">
        <x:v>570</x:v>
      </x:c>
      <x:c r="M49" s="6" t="s">
        <x:v>613</x:v>
      </x:c>
      <x:c r="N49" s="6" t="s">
        <x:v>445</x:v>
      </x:c>
      <x:c r="O49" s="6" t="s">
        <x:v>47</x:v>
      </x:c>
      <x:c r="P49" s="6" t="s">
        <x:v>614</x:v>
      </x:c>
      <x:c r="Q49" s="6" t="s">
        <x:v>615</x:v>
      </x:c>
      <x:c r="R49" s="6" t="s">
        <x:v>574</x:v>
      </x:c>
      <x:c r="S49" s="6" t="s">
        <x:v>401</x:v>
      </x:c>
      <x:c r="T49" s="6" t="s">
        <x:v>616</x:v>
      </x:c>
      <x:c r="U49" s="6" t="s">
        <x:v>56</x:v>
      </x:c>
      <x:c r="V49" s="6" t="str">
        <x:v>Vigente | Aplicar P4-CNT-015/P4-CNT-006. | Aplicar precedencia/mapeos TC/CMF de M04-RGL-044 cuando corresponda.</x:v>
      </x:c>
      <x:c r="W49" s="6"/>
    </x:row>
    <x:row r="50" ht="72" customHeight="1">
      <x:c r="A50" s="8" t="s">
        <x:v>617</x:v>
      </x:c>
      <x:c r="B50" s="8" t="s">
        <x:v>561</x:v>
      </x:c>
      <x:c r="C50" s="8" t="s">
        <x:v>618</x:v>
      </x:c>
      <x:c r="D50" s="8" t="s">
        <x:v>563</x:v>
      </x:c>
      <x:c r="E50" s="8" t="s">
        <x:v>420</x:v>
      </x:c>
      <x:c r="F50" s="8" t="s">
        <x:v>619</x:v>
      </x:c>
      <x:c r="G50" s="8" t="s">
        <x:v>620</x:v>
      </x:c>
      <x:c r="H50" s="8" t="s">
        <x:v>621</x:v>
      </x:c>
      <x:c r="I50" s="8" t="s">
        <x:v>622</x:v>
      </x:c>
      <x:c r="J50" s="8" t="s">
        <x:v>623</x:v>
      </x:c>
      <x:c r="K50" s="8" t="s">
        <x:v>624</x:v>
      </x:c>
      <x:c r="L50" s="8" t="s">
        <x:v>625</x:v>
      </x:c>
      <x:c r="M50" s="8" t="s">
        <x:v>626</x:v>
      </x:c>
      <x:c r="N50" s="8" t="s">
        <x:v>429</x:v>
      </x:c>
      <x:c r="O50" s="8" t="s">
        <x:v>627</x:v>
      </x:c>
      <x:c r="P50" s="8" t="s">
        <x:v>628</x:v>
      </x:c>
      <x:c r="Q50" s="8" t="s">
        <x:v>629</x:v>
      </x:c>
      <x:c r="R50" s="8" t="s">
        <x:v>574</x:v>
      </x:c>
      <x:c r="S50" s="8" t="s">
        <x:v>401</x:v>
      </x:c>
      <x:c r="T50" s="8" t="s">
        <x:v>630</x:v>
      </x:c>
      <x:c r="U50" s="8" t="s">
        <x:v>56</x:v>
      </x:c>
      <x:c r="V50" s="8" t="s">
        <x:v>631</x:v>
      </x:c>
      <x:c r="W50" s="8"/>
    </x:row>
    <x:row r="51" ht="72" customHeight="1">
      <x:c r="A51" s="6" t="s">
        <x:v>632</x:v>
      </x:c>
      <x:c r="B51" s="6" t="s">
        <x:v>561</x:v>
      </x:c>
      <x:c r="C51" s="6" t="s">
        <x:v>633</x:v>
      </x:c>
      <x:c r="D51" s="6" t="s">
        <x:v>634</x:v>
      </x:c>
      <x:c r="E51" s="6" t="s">
        <x:v>420</x:v>
      </x:c>
      <x:c r="F51" s="6" t="s">
        <x:v>635</x:v>
      </x:c>
      <x:c r="G51" s="6" t="s">
        <x:v>636</x:v>
      </x:c>
      <x:c r="H51" s="6" t="s">
        <x:v>637</x:v>
      </x:c>
      <x:c r="I51" s="6" t="s">
        <x:v>638</x:v>
      </x:c>
      <x:c r="J51" s="6" t="s">
        <x:v>639</x:v>
      </x:c>
      <x:c r="K51" s="6" t="s">
        <x:v>640</x:v>
      </x:c>
      <x:c r="L51" s="6" t="s">
        <x:v>570</x:v>
      </x:c>
      <x:c r="M51" s="6" t="s">
        <x:v>641</x:v>
      </x:c>
      <x:c r="N51" s="6" t="s">
        <x:v>47</x:v>
      </x:c>
      <x:c r="O51" s="6" t="s">
        <x:v>47</x:v>
      </x:c>
      <x:c r="P51" s="6" t="s">
        <x:v>642</x:v>
      </x:c>
      <x:c r="Q51" s="6" t="s">
        <x:v>643</x:v>
      </x:c>
      <x:c r="R51" s="6" t="s">
        <x:v>574</x:v>
      </x:c>
      <x:c r="S51" s="6" t="s">
        <x:v>401</x:v>
      </x:c>
      <x:c r="T51" s="6" t="s">
        <x:v>644</x:v>
      </x:c>
      <x:c r="U51" s="6" t="s">
        <x:v>56</x:v>
      </x:c>
      <x:c r="V51" s="6" t="s">
        <x:v>645</x:v>
      </x:c>
      <x:c r="W51" s="6"/>
    </x:row>
    <x:row r="52" ht="72" customHeight="1">
      <x:c r="A52" s="8" t="s">
        <x:v>646</x:v>
      </x:c>
      <x:c r="B52" s="8" t="s">
        <x:v>561</x:v>
      </x:c>
      <x:c r="C52" s="8" t="s">
        <x:v>647</x:v>
      </x:c>
      <x:c r="D52" s="8" t="s">
        <x:v>563</x:v>
      </x:c>
      <x:c r="E52" s="8" t="s">
        <x:v>420</x:v>
      </x:c>
      <x:c r="F52" s="8" t="s">
        <x:v>648</x:v>
      </x:c>
      <x:c r="G52" s="8" t="s">
        <x:v>649</x:v>
      </x:c>
      <x:c r="H52" s="8" t="s">
        <x:v>650</x:v>
      </x:c>
      <x:c r="I52" s="8" t="s">
        <x:v>651</x:v>
      </x:c>
      <x:c r="J52" s="8" t="s">
        <x:v>652</x:v>
      </x:c>
      <x:c r="K52" s="8" t="s">
        <x:v>569</x:v>
      </x:c>
      <x:c r="L52" s="8" t="s">
        <x:v>570</x:v>
      </x:c>
      <x:c r="M52" s="8" t="s">
        <x:v>653</x:v>
      </x:c>
      <x:c r="N52" s="8" t="s">
        <x:v>445</x:v>
      </x:c>
      <x:c r="O52" s="8" t="s">
        <x:v>47</x:v>
      </x:c>
      <x:c r="P52" s="8" t="s">
        <x:v>654</x:v>
      </x:c>
      <x:c r="Q52" s="8" t="s">
        <x:v>643</x:v>
      </x:c>
      <x:c r="R52" s="8" t="s">
        <x:v>574</x:v>
      </x:c>
      <x:c r="S52" s="8" t="s">
        <x:v>112</x:v>
      </x:c>
      <x:c r="T52" s="8" t="s">
        <x:v>644</x:v>
      </x:c>
      <x:c r="U52" s="8" t="s">
        <x:v>56</x:v>
      </x:c>
      <x:c r="V52" s="8" t="s">
        <x:v>655</x:v>
      </x:c>
      <x:c r="W52" s="8"/>
    </x:row>
    <x:row r="53" ht="72" customHeight="1">
      <x:c r="A53" s="6" t="s">
        <x:v>656</x:v>
      </x:c>
      <x:c r="B53" s="6" t="s">
        <x:v>561</x:v>
      </x:c>
      <x:c r="C53" s="6" t="s">
        <x:v>657</x:v>
      </x:c>
      <x:c r="D53" s="6" t="s">
        <x:v>550</x:v>
      </x:c>
      <x:c r="E53" s="6" t="s">
        <x:v>420</x:v>
      </x:c>
      <x:c r="F53" s="6" t="s">
        <x:v>658</x:v>
      </x:c>
      <x:c r="G53" s="6" t="s">
        <x:v>659</x:v>
      </x:c>
      <x:c r="H53" s="6" t="s">
        <x:v>660</x:v>
      </x:c>
      <x:c r="I53" s="6" t="s">
        <x:v>651</x:v>
      </x:c>
      <x:c r="J53" s="6" t="s">
        <x:v>661</x:v>
      </x:c>
      <x:c r="K53" s="6" t="s">
        <x:v>555</x:v>
      </x:c>
      <x:c r="L53" s="6" t="s">
        <x:v>78</x:v>
      </x:c>
      <x:c r="M53" s="6" t="s">
        <x:v>662</x:v>
      </x:c>
      <x:c r="N53" s="6" t="s">
        <x:v>47</x:v>
      </x:c>
      <x:c r="O53" s="6" t="s">
        <x:v>47</x:v>
      </x:c>
      <x:c r="P53" s="6" t="s">
        <x:v>663</x:v>
      </x:c>
      <x:c r="Q53" s="6" t="s">
        <x:v>664</x:v>
      </x:c>
      <x:c r="R53" s="6" t="s">
        <x:v>574</x:v>
      </x:c>
      <x:c r="S53" s="6" t="s">
        <x:v>401</x:v>
      </x:c>
      <x:c r="T53" s="6" t="s">
        <x:v>644</x:v>
      </x:c>
      <x:c r="U53" s="6" t="s">
        <x:v>56</x:v>
      </x:c>
      <x:c r="V53" s="6" t="s">
        <x:v>665</x:v>
      </x:c>
      <x:c r="W53" s="6"/>
    </x:row>
    <x:row r="54" ht="72" customHeight="1">
      <x:c r="A54" s="8" t="s">
        <x:v>666</x:v>
      </x:c>
      <x:c r="B54" s="8" t="s">
        <x:v>667</x:v>
      </x:c>
      <x:c r="C54" s="8" t="s">
        <x:v>668</x:v>
      </x:c>
      <x:c r="D54" s="8" t="s">
        <x:v>669</x:v>
      </x:c>
      <x:c r="E54" s="8" t="s">
        <x:v>670</x:v>
      </x:c>
      <x:c r="F54" s="8" t="s">
        <x:v>671</x:v>
      </x:c>
      <x:c r="G54" s="8" t="s">
        <x:v>672</x:v>
      </x:c>
      <x:c r="H54" s="8" t="s">
        <x:v>673</x:v>
      </x:c>
      <x:c r="I54" s="8" t="s">
        <x:v>674</x:v>
      </x:c>
      <x:c r="J54" s="8" t="s">
        <x:v>675</x:v>
      </x:c>
      <x:c r="K54" s="8" t="s">
        <x:v>676</x:v>
      </x:c>
      <x:c r="L54" s="8" t="s">
        <x:v>677</x:v>
      </x:c>
      <x:c r="M54" s="8" t="s">
        <x:v>678</x:v>
      </x:c>
      <x:c r="N54" s="8" t="s">
        <x:v>47</x:v>
      </x:c>
      <x:c r="O54" s="8" t="s">
        <x:v>47</x:v>
      </x:c>
      <x:c r="P54" s="8" t="s">
        <x:v>679</x:v>
      </x:c>
      <x:c r="Q54" s="8" t="s">
        <x:v>680</x:v>
      </x:c>
      <x:c r="R54" s="8" t="s">
        <x:v>681</x:v>
      </x:c>
      <x:c r="S54" s="8" t="s">
        <x:v>112</x:v>
      </x:c>
      <x:c r="T54" s="8"/>
      <x:c r="U54" s="8" t="s">
        <x:v>56</x:v>
      </x:c>
      <x:c r="V54" s="8" t="s">
        <x:v>682</x:v>
      </x:c>
      <x:c r="W54" s="8"/>
    </x:row>
    <x:row r="55" ht="72" customHeight="1">
      <x:c r="A55" s="6" t="s">
        <x:v>683</x:v>
      </x:c>
      <x:c r="B55" s="6" t="s">
        <x:v>667</x:v>
      </x:c>
      <x:c r="C55" s="6" t="s">
        <x:v>684</x:v>
      </x:c>
      <x:c r="D55" s="6" t="s">
        <x:v>685</x:v>
      </x:c>
      <x:c r="E55" s="6" t="s">
        <x:v>670</x:v>
      </x:c>
      <x:c r="F55" s="6" t="s">
        <x:v>686</x:v>
      </x:c>
      <x:c r="G55" s="6"/>
      <x:c r="H55" s="6" t="s">
        <x:v>687</x:v>
      </x:c>
      <x:c r="I55" s="6" t="s">
        <x:v>688</x:v>
      </x:c>
      <x:c r="J55" s="6" t="s">
        <x:v>689</x:v>
      </x:c>
      <x:c r="K55" s="6" t="s">
        <x:v>690</x:v>
      </x:c>
      <x:c r="L55" s="6" t="s">
        <x:v>691</x:v>
      </x:c>
      <x:c r="M55" s="6" t="s">
        <x:v>692</x:v>
      </x:c>
      <x:c r="N55" s="6" t="s">
        <x:v>47</x:v>
      </x:c>
      <x:c r="O55" s="6" t="s">
        <x:v>47</x:v>
      </x:c>
      <x:c r="P55" s="6" t="s">
        <x:v>693</x:v>
      </x:c>
      <x:c r="Q55" s="6" t="s">
        <x:v>694</x:v>
      </x:c>
      <x:c r="R55" s="6" t="s">
        <x:v>681</x:v>
      </x:c>
      <x:c r="S55" s="6" t="s">
        <x:v>112</x:v>
      </x:c>
      <x:c r="T55" s="6"/>
      <x:c r="U55" s="6" t="s">
        <x:v>56</x:v>
      </x:c>
      <x:c r="V55" s="6" t="s">
        <x:v>114</x:v>
      </x:c>
      <x:c r="W55" s="6"/>
    </x:row>
    <x:row r="56" ht="72" customHeight="1">
      <x:c r="A56" s="8" t="s">
        <x:v>695</x:v>
      </x:c>
      <x:c r="B56" s="8" t="s">
        <x:v>667</x:v>
      </x:c>
      <x:c r="C56" s="8" t="s">
        <x:v>696</x:v>
      </x:c>
      <x:c r="D56" s="8" t="s">
        <x:v>697</x:v>
      </x:c>
      <x:c r="E56" s="8" t="s">
        <x:v>670</x:v>
      </x:c>
      <x:c r="F56" s="8" t="s">
        <x:v>698</x:v>
      </x:c>
      <x:c r="G56" s="8"/>
      <x:c r="H56" s="8" t="s">
        <x:v>699</x:v>
      </x:c>
      <x:c r="I56" s="8" t="s">
        <x:v>700</x:v>
      </x:c>
      <x:c r="J56" s="8" t="s">
        <x:v>701</x:v>
      </x:c>
      <x:c r="K56" s="8" t="s">
        <x:v>676</x:v>
      </x:c>
      <x:c r="L56" s="8" t="s">
        <x:v>677</x:v>
      </x:c>
      <x:c r="M56" s="8" t="s">
        <x:v>702</x:v>
      </x:c>
      <x:c r="N56" s="8" t="s">
        <x:v>47</x:v>
      </x:c>
      <x:c r="O56" s="8" t="s">
        <x:v>47</x:v>
      </x:c>
      <x:c r="P56" s="8" t="s">
        <x:v>703</x:v>
      </x:c>
      <x:c r="Q56" s="8" t="s">
        <x:v>704</x:v>
      </x:c>
      <x:c r="R56" s="8" t="s">
        <x:v>681</x:v>
      </x:c>
      <x:c r="S56" s="8" t="s">
        <x:v>112</x:v>
      </x:c>
      <x:c r="T56" s="8" t="s">
        <x:v>705</x:v>
      </x:c>
      <x:c r="U56" s="8" t="s">
        <x:v>56</x:v>
      </x:c>
      <x:c r="V56" s="8" t="s">
        <x:v>239</x:v>
      </x:c>
      <x:c r="W56" s="8"/>
    </x:row>
    <x:row r="57" ht="72" customHeight="1">
      <x:c r="A57" s="6" t="s">
        <x:v>706</x:v>
      </x:c>
      <x:c r="B57" s="6" t="s">
        <x:v>707</x:v>
      </x:c>
      <x:c r="C57" s="6" t="s">
        <x:v>708</x:v>
      </x:c>
      <x:c r="D57" s="6" t="s">
        <x:v>709</x:v>
      </x:c>
      <x:c r="E57" s="6" t="s">
        <x:v>710</x:v>
      </x:c>
      <x:c r="F57" s="6" t="s">
        <x:v>711</x:v>
      </x:c>
      <x:c r="G57" s="6"/>
      <x:c r="H57" s="6" t="s">
        <x:v>712</x:v>
      </x:c>
      <x:c r="I57" s="6" t="s">
        <x:v>713</x:v>
      </x:c>
      <x:c r="J57" s="6" t="s">
        <x:v>714</x:v>
      </x:c>
      <x:c r="K57" s="6" t="s">
        <x:v>715</x:v>
      </x:c>
      <x:c r="L57" s="6" t="s">
        <x:v>716</x:v>
      </x:c>
      <x:c r="M57" s="6" t="s">
        <x:v>717</x:v>
      </x:c>
      <x:c r="N57" s="6" t="s">
        <x:v>47</x:v>
      </x:c>
      <x:c r="O57" s="6" t="s">
        <x:v>47</x:v>
      </x:c>
      <x:c r="P57" s="6" t="s">
        <x:v>718</x:v>
      </x:c>
      <x:c r="Q57" s="6" t="s">
        <x:v>719</x:v>
      </x:c>
      <x:c r="R57" s="6" t="s">
        <x:v>54</x:v>
      </x:c>
      <x:c r="S57" s="6" t="s">
        <x:v>54</x:v>
      </x:c>
      <x:c r="T57" s="6" t="s">
        <x:v>720</x:v>
      </x:c>
      <x:c r="U57" s="6" t="s">
        <x:v>56</x:v>
      </x:c>
      <x:c r="V57" s="6" t="s">
        <x:v>114</x:v>
      </x:c>
      <x:c r="W57" s="6"/>
    </x:row>
    <x:row r="58" ht="72" customHeight="1">
      <x:c r="A58" s="8" t="s">
        <x:v>721</x:v>
      </x:c>
      <x:c r="B58" s="8" t="s">
        <x:v>707</x:v>
      </x:c>
      <x:c r="C58" s="8" t="s">
        <x:v>722</x:v>
      </x:c>
      <x:c r="D58" s="8" t="s">
        <x:v>723</x:v>
      </x:c>
      <x:c r="E58" s="8" t="s">
        <x:v>710</x:v>
      </x:c>
      <x:c r="F58" s="8" t="s">
        <x:v>724</x:v>
      </x:c>
      <x:c r="G58" s="8"/>
      <x:c r="H58" s="8" t="s">
        <x:v>725</x:v>
      </x:c>
      <x:c r="I58" s="8" t="s">
        <x:v>726</x:v>
      </x:c>
      <x:c r="J58" s="8" t="s">
        <x:v>727</x:v>
      </x:c>
      <x:c r="K58" s="8" t="s">
        <x:v>728</x:v>
      </x:c>
      <x:c r="L58" s="8" t="s">
        <x:v>729</x:v>
      </x:c>
      <x:c r="M58" s="8" t="s">
        <x:v>729</x:v>
      </x:c>
      <x:c r="N58" s="8" t="s">
        <x:v>429</x:v>
      </x:c>
      <x:c r="O58" s="8" t="s">
        <x:v>730</x:v>
      </x:c>
      <x:c r="P58" s="8" t="s">
        <x:v>731</x:v>
      </x:c>
      <x:c r="Q58" s="8" t="s">
        <x:v>732</x:v>
      </x:c>
      <x:c r="R58" s="8" t="s">
        <x:v>54</x:v>
      </x:c>
      <x:c r="S58" s="8" t="s">
        <x:v>54</x:v>
      </x:c>
      <x:c r="T58" s="8" t="s">
        <x:v>733</x:v>
      </x:c>
      <x:c r="U58" s="8" t="s">
        <x:v>56</x:v>
      </x:c>
      <x:c r="V58" s="8" t="s">
        <x:v>57</x:v>
      </x:c>
      <x:c r="W58" s="8"/>
    </x:row>
    <x:row r="59" ht="72" customHeight="1">
      <x:c r="A59" s="6" t="s">
        <x:v>734</x:v>
      </x:c>
      <x:c r="B59" s="6" t="s">
        <x:v>707</x:v>
      </x:c>
      <x:c r="C59" s="6" t="s">
        <x:v>735</x:v>
      </x:c>
      <x:c r="D59" s="6" t="s">
        <x:v>736</x:v>
      </x:c>
      <x:c r="E59" s="6" t="s">
        <x:v>710</x:v>
      </x:c>
      <x:c r="F59" s="6" t="s">
        <x:v>737</x:v>
      </x:c>
      <x:c r="G59" s="6"/>
      <x:c r="H59" s="6" t="s">
        <x:v>738</x:v>
      </x:c>
      <x:c r="I59" s="6" t="s">
        <x:v>739</x:v>
      </x:c>
      <x:c r="J59" s="6" t="s">
        <x:v>740</x:v>
      </x:c>
      <x:c r="K59" s="6" t="s">
        <x:v>569</x:v>
      </x:c>
      <x:c r="L59" s="6" t="s">
        <x:v>570</x:v>
      </x:c>
      <x:c r="M59" s="6" t="s">
        <x:v>570</x:v>
      </x:c>
      <x:c r="N59" s="6" t="s">
        <x:v>47</x:v>
      </x:c>
      <x:c r="O59" s="6" t="s">
        <x:v>47</x:v>
      </x:c>
      <x:c r="P59" s="6" t="s">
        <x:v>741</x:v>
      </x:c>
      <x:c r="Q59" s="6" t="s">
        <x:v>742</x:v>
      </x:c>
      <x:c r="R59" s="6" t="s">
        <x:v>54</x:v>
      </x:c>
      <x:c r="S59" s="6" t="s">
        <x:v>54</x:v>
      </x:c>
      <x:c r="T59" s="6" t="s">
        <x:v>743</x:v>
      </x:c>
      <x:c r="U59" s="6" t="s">
        <x:v>56</x:v>
      </x:c>
      <x:c r="V59" s="6" t="s">
        <x:v>239</x:v>
      </x:c>
      <x:c r="W59" s="6"/>
    </x:row>
    <x:row r="60" ht="72" customHeight="1">
      <x:c r="A60" s="8" t="s">
        <x:v>744</x:v>
      </x:c>
      <x:c r="B60" s="8" t="s">
        <x:v>707</x:v>
      </x:c>
      <x:c r="C60" s="8" t="s">
        <x:v>745</x:v>
      </x:c>
      <x:c r="D60" s="8" t="s">
        <x:v>746</x:v>
      </x:c>
      <x:c r="E60" s="8" t="s">
        <x:v>710</x:v>
      </x:c>
      <x:c r="F60" s="8" t="s">
        <x:v>747</x:v>
      </x:c>
      <x:c r="G60" s="8"/>
      <x:c r="H60" s="8" t="s">
        <x:v>748</x:v>
      </x:c>
      <x:c r="I60" s="8" t="s">
        <x:v>748</x:v>
      </x:c>
      <x:c r="J60" s="8"/>
      <x:c r="K60" s="8" t="s">
        <x:v>749</x:v>
      </x:c>
      <x:c r="L60" s="8"/>
      <x:c r="M60" s="8" t="s">
        <x:v>750</x:v>
      </x:c>
      <x:c r="N60" s="8" t="s">
        <x:v>47</x:v>
      </x:c>
      <x:c r="O60" s="8" t="s">
        <x:v>751</x:v>
      </x:c>
      <x:c r="P60" s="8" t="s">
        <x:v>752</x:v>
      </x:c>
      <x:c r="Q60" s="8" t="s">
        <x:v>753</x:v>
      </x:c>
      <x:c r="R60" s="8" t="s">
        <x:v>54</x:v>
      </x:c>
      <x:c r="S60" s="8" t="s">
        <x:v>54</x:v>
      </x:c>
      <x:c r="T60" s="8" t="s">
        <x:v>720</x:v>
      </x:c>
      <x:c r="U60" s="8" t="s">
        <x:v>56</x:v>
      </x:c>
      <x:c r="V60" s="8" t="s">
        <x:v>114</x:v>
      </x:c>
      <x:c r="W60" s="8"/>
    </x:row>
    <x:row r="61" ht="72" customHeight="1">
      <x:c r="A61" s="6" t="s">
        <x:v>754</x:v>
      </x:c>
      <x:c r="B61" s="6" t="s">
        <x:v>755</x:v>
      </x:c>
      <x:c r="C61" s="6" t="s">
        <x:v>756</x:v>
      </x:c>
      <x:c r="D61" s="6" t="s">
        <x:v>757</x:v>
      </x:c>
      <x:c r="E61" s="6" t="s">
        <x:v>43</x:v>
      </x:c>
      <x:c r="F61" s="6" t="s">
        <x:v>758</x:v>
      </x:c>
      <x:c r="G61" s="6"/>
      <x:c r="H61" s="6" t="s">
        <x:v>759</x:v>
      </x:c>
      <x:c r="I61" s="6" t="s">
        <x:v>760</x:v>
      </x:c>
      <x:c r="J61" s="6" t="s">
        <x:v>761</x:v>
      </x:c>
      <x:c r="K61" s="6" t="s">
        <x:v>90</x:v>
      </x:c>
      <x:c r="L61" s="6" t="s">
        <x:v>47</x:v>
      </x:c>
      <x:c r="M61" s="6" t="s">
        <x:v>762</x:v>
      </x:c>
      <x:c r="N61" s="6" t="s">
        <x:v>49</x:v>
      </x:c>
      <x:c r="O61" s="6" t="s">
        <x:v>50</x:v>
      </x:c>
      <x:c r="P61" s="6" t="s">
        <x:v>763</x:v>
      </x:c>
      <x:c r="Q61" s="6" t="s">
        <x:v>764</x:v>
      </x:c>
      <x:c r="R61" s="6" t="s">
        <x:v>54</x:v>
      </x:c>
      <x:c r="S61" s="6" t="s">
        <x:v>54</x:v>
      </x:c>
      <x:c r="T61" s="6" t="s">
        <x:v>765</x:v>
      </x:c>
      <x:c r="U61" s="6" t="s">
        <x:v>56</x:v>
      </x:c>
      <x:c r="V61" s="6" t="s">
        <x:v>57</x:v>
      </x:c>
      <x:c r="W61" s="6"/>
    </x:row>
    <x:row r="62" ht="72" customHeight="1">
      <x:c r="A62" s="8" t="s">
        <x:v>766</x:v>
      </x:c>
      <x:c r="B62" s="8" t="s">
        <x:v>755</x:v>
      </x:c>
      <x:c r="C62" s="8" t="s">
        <x:v>767</x:v>
      </x:c>
      <x:c r="D62" s="8" t="s">
        <x:v>768</x:v>
      </x:c>
      <x:c r="E62" s="8" t="s">
        <x:v>43</x:v>
      </x:c>
      <x:c r="F62" s="8" t="s">
        <x:v>769</x:v>
      </x:c>
      <x:c r="G62" s="8"/>
      <x:c r="H62" s="8" t="s">
        <x:v>45</x:v>
      </x:c>
      <x:c r="I62" s="8" t="s">
        <x:v>45</x:v>
      </x:c>
      <x:c r="J62" s="8"/>
      <x:c r="K62" s="8" t="s">
        <x:v>770</x:v>
      </x:c>
      <x:c r="L62" s="8"/>
      <x:c r="M62" s="8" t="s">
        <x:v>771</x:v>
      </x:c>
      <x:c r="N62" s="8" t="s">
        <x:v>49</x:v>
      </x:c>
      <x:c r="O62" s="8" t="s">
        <x:v>49</x:v>
      </x:c>
      <x:c r="P62" s="8" t="s">
        <x:v>772</x:v>
      </x:c>
      <x:c r="Q62" s="8" t="s">
        <x:v>773</x:v>
      </x:c>
      <x:c r="R62" s="8" t="s">
        <x:v>54</x:v>
      </x:c>
      <x:c r="S62" s="8" t="s">
        <x:v>54</x:v>
      </x:c>
      <x:c r="T62" s="8" t="s">
        <x:v>774</x:v>
      </x:c>
      <x:c r="U62" s="8" t="s">
        <x:v>56</x:v>
      </x:c>
      <x:c r="V62" s="8" t="s">
        <x:v>57</x:v>
      </x:c>
      <x:c r="W62" s="8"/>
    </x:row>
    <x:row r="63" ht="72" customHeight="1">
      <x:c r="A63" s="6" t="s">
        <x:v>775</x:v>
      </x:c>
      <x:c r="B63" s="6" t="s">
        <x:v>755</x:v>
      </x:c>
      <x:c r="C63" s="6" t="s">
        <x:v>776</x:v>
      </x:c>
      <x:c r="D63" s="6" t="s">
        <x:v>777</x:v>
      </x:c>
      <x:c r="E63" s="6" t="s">
        <x:v>43</x:v>
      </x:c>
      <x:c r="F63" s="6" t="s">
        <x:v>778</x:v>
      </x:c>
      <x:c r="G63" s="6"/>
      <x:c r="H63" s="6" t="s">
        <x:v>779</x:v>
      </x:c>
      <x:c r="I63" s="6" t="s">
        <x:v>780</x:v>
      </x:c>
      <x:c r="J63" s="6" t="s">
        <x:v>442</x:v>
      </x:c>
      <x:c r="K63" s="6" t="s">
        <x:v>781</x:v>
      </x:c>
      <x:c r="L63" s="6" t="s">
        <x:v>65</x:v>
      </x:c>
      <x:c r="M63" s="6" t="s">
        <x:v>65</x:v>
      </x:c>
      <x:c r="N63" s="6" t="s">
        <x:v>49</x:v>
      </x:c>
      <x:c r="O63" s="6" t="s">
        <x:v>65</x:v>
      </x:c>
      <x:c r="P63" s="6" t="s">
        <x:v>782</x:v>
      </x:c>
      <x:c r="Q63" s="6" t="s">
        <x:v>783</x:v>
      </x:c>
      <x:c r="R63" s="6" t="s">
        <x:v>54</x:v>
      </x:c>
      <x:c r="S63" s="6" t="s">
        <x:v>54</x:v>
      </x:c>
      <x:c r="T63" s="6" t="s">
        <x:v>784</x:v>
      </x:c>
      <x:c r="U63" s="6" t="s">
        <x:v>56</x:v>
      </x:c>
      <x:c r="V63" s="6" t="s">
        <x:v>57</x:v>
      </x:c>
      <x:c r="W63" s="6"/>
    </x:row>
    <x:row r="64" ht="72" customHeight="1">
      <x:c r="A64" s="8" t="s">
        <x:v>785</x:v>
      </x:c>
      <x:c r="B64" s="8" t="s">
        <x:v>755</x:v>
      </x:c>
      <x:c r="C64" s="8" t="s">
        <x:v>786</x:v>
      </x:c>
      <x:c r="D64" s="8" t="s">
        <x:v>42</x:v>
      </x:c>
      <x:c r="E64" s="8" t="s">
        <x:v>43</x:v>
      </x:c>
      <x:c r="F64" s="8" t="s">
        <x:v>787</x:v>
      </x:c>
      <x:c r="G64" s="8"/>
      <x:c r="H64" s="8" t="s">
        <x:v>748</x:v>
      </x:c>
      <x:c r="I64" s="8" t="s">
        <x:v>748</x:v>
      </x:c>
      <x:c r="J64" s="8"/>
      <x:c r="K64" s="8" t="s">
        <x:v>46</x:v>
      </x:c>
      <x:c r="L64" s="8"/>
      <x:c r="M64" s="8" t="s">
        <x:v>788</x:v>
      </x:c>
      <x:c r="N64" s="8" t="s">
        <x:v>49</x:v>
      </x:c>
      <x:c r="O64" s="8" t="s">
        <x:v>789</x:v>
      </x:c>
      <x:c r="P64" s="8" t="s">
        <x:v>790</x:v>
      </x:c>
      <x:c r="Q64" s="8" t="s">
        <x:v>791</x:v>
      </x:c>
      <x:c r="R64" s="8" t="s">
        <x:v>54</x:v>
      </x:c>
      <x:c r="S64" s="8" t="s">
        <x:v>54</x:v>
      </x:c>
      <x:c r="T64" s="8" t="s">
        <x:v>720</x:v>
      </x:c>
      <x:c r="U64" s="8" t="s">
        <x:v>56</x:v>
      </x:c>
      <x:c r="V64" s="8" t="s">
        <x:v>114</x:v>
      </x:c>
      <x:c r="W64" s="8"/>
    </x:row>
    <x:row r="65" ht="72" customHeight="1">
      <x:c r="A65" s="6" t="s">
        <x:v>792</x:v>
      </x:c>
      <x:c r="B65" s="6" t="s">
        <x:v>793</x:v>
      </x:c>
      <x:c r="C65" s="6" t="s">
        <x:v>794</x:v>
      </x:c>
      <x:c r="D65" s="6" t="s">
        <x:v>795</x:v>
      </x:c>
      <x:c r="E65" s="6" t="s">
        <x:v>702</x:v>
      </x:c>
      <x:c r="F65" s="6" t="s">
        <x:v>796</x:v>
      </x:c>
      <x:c r="G65" s="6"/>
      <x:c r="H65" s="6" t="s">
        <x:v>797</x:v>
      </x:c>
      <x:c r="I65" s="6" t="s">
        <x:v>688</x:v>
      </x:c>
      <x:c r="J65" s="6" t="s">
        <x:v>798</x:v>
      </x:c>
      <x:c r="K65" s="6" t="s">
        <x:v>799</x:v>
      </x:c>
      <x:c r="L65" s="6" t="s">
        <x:v>677</x:v>
      </x:c>
      <x:c r="M65" s="6" t="s">
        <x:v>800</x:v>
      </x:c>
      <x:c r="N65" s="6" t="s">
        <x:v>47</x:v>
      </x:c>
      <x:c r="O65" s="6" t="s">
        <x:v>47</x:v>
      </x:c>
      <x:c r="P65" s="6" t="s">
        <x:v>801</x:v>
      </x:c>
      <x:c r="Q65" s="6" t="s">
        <x:v>802</x:v>
      </x:c>
      <x:c r="R65" s="6" t="s">
        <x:v>803</x:v>
      </x:c>
      <x:c r="S65" s="6" t="s">
        <x:v>112</x:v>
      </x:c>
      <x:c r="T65" s="6" t="s">
        <x:v>804</x:v>
      </x:c>
      <x:c r="U65" s="6" t="s">
        <x:v>56</x:v>
      </x:c>
      <x:c r="V65" s="6" t="s">
        <x:v>114</x:v>
      </x:c>
      <x:c r="W65" s="6"/>
    </x:row>
    <x:row r="66" ht="72" customHeight="1">
      <x:c r="A66" s="8" t="s">
        <x:v>805</x:v>
      </x:c>
      <x:c r="B66" s="8" t="s">
        <x:v>793</x:v>
      </x:c>
      <x:c r="C66" s="8" t="s">
        <x:v>806</x:v>
      </x:c>
      <x:c r="D66" s="8" t="s">
        <x:v>807</x:v>
      </x:c>
      <x:c r="E66" s="8" t="s">
        <x:v>702</x:v>
      </x:c>
      <x:c r="F66" s="8" t="s">
        <x:v>808</x:v>
      </x:c>
      <x:c r="G66" s="8"/>
      <x:c r="H66" s="8" t="s">
        <x:v>809</x:v>
      </x:c>
      <x:c r="I66" s="8" t="s">
        <x:v>810</x:v>
      </x:c>
      <x:c r="J66" s="8" t="s">
        <x:v>811</x:v>
      </x:c>
      <x:c r="K66" s="8" t="s">
        <x:v>812</x:v>
      </x:c>
      <x:c r="L66" s="8" t="s">
        <x:v>677</x:v>
      </x:c>
      <x:c r="M66" s="8" t="s">
        <x:v>800</x:v>
      </x:c>
      <x:c r="N66" s="8" t="s">
        <x:v>813</x:v>
      </x:c>
      <x:c r="O66" s="8" t="s">
        <x:v>47</x:v>
      </x:c>
      <x:c r="P66" s="8" t="s">
        <x:v>814</x:v>
      </x:c>
      <x:c r="Q66" s="8" t="s">
        <x:v>815</x:v>
      </x:c>
      <x:c r="R66" s="8" t="s">
        <x:v>803</x:v>
      </x:c>
      <x:c r="S66" s="8" t="s">
        <x:v>816</x:v>
      </x:c>
      <x:c r="T66" s="8"/>
      <x:c r="U66" s="8" t="s">
        <x:v>56</x:v>
      </x:c>
      <x:c r="V66" s="8" t="s">
        <x:v>817</x:v>
      </x:c>
      <x:c r="W66" s="8"/>
    </x:row>
    <x:row r="67" ht="72" customHeight="1">
      <x:c r="A67" s="6" t="s">
        <x:v>818</x:v>
      </x:c>
      <x:c r="B67" s="6" t="s">
        <x:v>793</x:v>
      </x:c>
      <x:c r="C67" s="6" t="s">
        <x:v>819</x:v>
      </x:c>
      <x:c r="D67" s="6" t="s">
        <x:v>820</x:v>
      </x:c>
      <x:c r="E67" s="6" t="s">
        <x:v>702</x:v>
      </x:c>
      <x:c r="F67" s="6" t="s">
        <x:v>821</x:v>
      </x:c>
      <x:c r="G67" s="6"/>
      <x:c r="H67" s="6" t="s">
        <x:v>822</x:v>
      </x:c>
      <x:c r="I67" s="6" t="s">
        <x:v>823</x:v>
      </x:c>
      <x:c r="J67" s="6" t="s">
        <x:v>824</x:v>
      </x:c>
      <x:c r="K67" s="6" t="s">
        <x:v>825</x:v>
      </x:c>
      <x:c r="L67" s="6" t="s">
        <x:v>677</x:v>
      </x:c>
      <x:c r="M67" s="6" t="s">
        <x:v>800</x:v>
      </x:c>
      <x:c r="N67" s="6" t="s">
        <x:v>47</x:v>
      </x:c>
      <x:c r="O67" s="6" t="s">
        <x:v>47</x:v>
      </x:c>
      <x:c r="P67" s="6" t="s">
        <x:v>826</x:v>
      </x:c>
      <x:c r="Q67" s="6" t="s">
        <x:v>827</x:v>
      </x:c>
      <x:c r="R67" s="6" t="s">
        <x:v>803</x:v>
      </x:c>
      <x:c r="S67" s="6" t="s">
        <x:v>112</x:v>
      </x:c>
      <x:c r="T67" s="6" t="s">
        <x:v>828</x:v>
      </x:c>
      <x:c r="U67" s="6" t="s">
        <x:v>56</x:v>
      </x:c>
      <x:c r="V67" s="6" t="s">
        <x:v>114</x:v>
      </x:c>
      <x:c r="W67" s="6"/>
    </x:row>
    <x:row r="68" ht="72" customHeight="1">
      <x:c r="A68" s="8" t="s">
        <x:v>829</x:v>
      </x:c>
      <x:c r="B68" s="8" t="s">
        <x:v>793</x:v>
      </x:c>
      <x:c r="C68" s="8" t="s">
        <x:v>830</x:v>
      </x:c>
      <x:c r="D68" s="8" t="s">
        <x:v>831</x:v>
      </x:c>
      <x:c r="E68" s="8" t="s">
        <x:v>702</x:v>
      </x:c>
      <x:c r="F68" s="8" t="s">
        <x:v>832</x:v>
      </x:c>
      <x:c r="G68" s="8"/>
      <x:c r="H68" s="8" t="s">
        <x:v>833</x:v>
      </x:c>
      <x:c r="I68" s="8" t="s">
        <x:v>834</x:v>
      </x:c>
      <x:c r="J68" s="8" t="s">
        <x:v>835</x:v>
      </x:c>
      <x:c r="K68" s="8" t="s">
        <x:v>836</x:v>
      </x:c>
      <x:c r="L68" s="8" t="s">
        <x:v>837</x:v>
      </x:c>
      <x:c r="M68" s="8" t="s">
        <x:v>838</x:v>
      </x:c>
      <x:c r="N68" s="8" t="s">
        <x:v>47</x:v>
      </x:c>
      <x:c r="O68" s="8" t="s">
        <x:v>47</x:v>
      </x:c>
      <x:c r="P68" s="8" t="s">
        <x:v>839</x:v>
      </x:c>
      <x:c r="Q68" s="8" t="s">
        <x:v>840</x:v>
      </x:c>
      <x:c r="R68" s="8" t="s">
        <x:v>54</x:v>
      </x:c>
      <x:c r="S68" s="8" t="s">
        <x:v>54</x:v>
      </x:c>
      <x:c r="T68" s="8" t="s">
        <x:v>828</x:v>
      </x:c>
      <x:c r="U68" s="8" t="s">
        <x:v>56</x:v>
      </x:c>
      <x:c r="V68" s="8" t="s">
        <x:v>114</x:v>
      </x:c>
      <x:c r="W68" s="8"/>
    </x:row>
    <x:row r="69" ht="72" customHeight="1">
      <x:c r="A69" s="6" t="s">
        <x:v>841</x:v>
      </x:c>
      <x:c r="B69" s="6" t="s">
        <x:v>793</x:v>
      </x:c>
      <x:c r="C69" s="6" t="s">
        <x:v>842</x:v>
      </x:c>
      <x:c r="D69" s="6" t="s">
        <x:v>843</x:v>
      </x:c>
      <x:c r="E69" s="6" t="s">
        <x:v>702</x:v>
      </x:c>
      <x:c r="F69" s="6" t="s">
        <x:v>844</x:v>
      </x:c>
      <x:c r="G69" s="6"/>
      <x:c r="H69" s="6" t="s">
        <x:v>845</x:v>
      </x:c>
      <x:c r="I69" s="6"/>
      <x:c r="J69" s="6" t="s">
        <x:v>845</x:v>
      </x:c>
      <x:c r="K69" s="6" t="s">
        <x:v>846</x:v>
      </x:c>
      <x:c r="L69" s="6" t="s">
        <x:v>847</x:v>
      </x:c>
      <x:c r="M69" s="6" t="s">
        <x:v>848</x:v>
      </x:c>
      <x:c r="N69" s="6" t="s">
        <x:v>47</x:v>
      </x:c>
      <x:c r="O69" s="6" t="s">
        <x:v>47</x:v>
      </x:c>
      <x:c r="P69" s="6" t="s">
        <x:v>849</x:v>
      </x:c>
      <x:c r="Q69" s="6" t="s">
        <x:v>850</x:v>
      </x:c>
      <x:c r="R69" s="6" t="s">
        <x:v>851</x:v>
      </x:c>
      <x:c r="S69" s="6" t="s">
        <x:v>852</x:v>
      </x:c>
      <x:c r="T69" s="6"/>
      <x:c r="U69" s="6" t="s">
        <x:v>56</x:v>
      </x:c>
      <x:c r="V69" s="6" t="s">
        <x:v>114</x:v>
      </x:c>
      <x:c r="W69" s="6"/>
    </x:row>
    <x:row r="70" ht="72" customHeight="1">
      <x:c r="A70" s="8" t="s">
        <x:v>853</x:v>
      </x:c>
      <x:c r="B70" s="8" t="s">
        <x:v>793</x:v>
      </x:c>
      <x:c r="C70" s="8" t="s">
        <x:v>854</x:v>
      </x:c>
      <x:c r="D70" s="8" t="s">
        <x:v>855</x:v>
      </x:c>
      <x:c r="E70" s="8" t="s">
        <x:v>702</x:v>
      </x:c>
      <x:c r="F70" s="8" t="s">
        <x:v>856</x:v>
      </x:c>
      <x:c r="G70" s="8"/>
      <x:c r="H70" s="8" t="s">
        <x:v>857</x:v>
      </x:c>
      <x:c r="I70" s="8" t="s">
        <x:v>810</x:v>
      </x:c>
      <x:c r="J70" s="8" t="s">
        <x:v>858</x:v>
      </x:c>
      <x:c r="K70" s="8" t="s">
        <x:v>859</x:v>
      </x:c>
      <x:c r="L70" s="8" t="s">
        <x:v>677</x:v>
      </x:c>
      <x:c r="M70" s="8" t="s">
        <x:v>860</x:v>
      </x:c>
      <x:c r="N70" s="8" t="s">
        <x:v>813</x:v>
      </x:c>
      <x:c r="O70" s="8" t="s">
        <x:v>47</x:v>
      </x:c>
      <x:c r="P70" s="8" t="s">
        <x:v>861</x:v>
      </x:c>
      <x:c r="Q70" s="8" t="s">
        <x:v>862</x:v>
      </x:c>
      <x:c r="R70" s="8" t="s">
        <x:v>803</x:v>
      </x:c>
      <x:c r="S70" s="8" t="s">
        <x:v>863</x:v>
      </x:c>
      <x:c r="T70" s="8"/>
      <x:c r="U70" s="8" t="s">
        <x:v>56</x:v>
      </x:c>
      <x:c r="V70" s="8" t="s">
        <x:v>817</x:v>
      </x:c>
      <x:c r="W70" s="8"/>
    </x:row>
    <x:row r="71" ht="72" customHeight="1">
      <x:c r="A71" s="6" t="s">
        <x:v>864</x:v>
      </x:c>
      <x:c r="B71" s="6" t="s">
        <x:v>865</x:v>
      </x:c>
      <x:c r="C71" s="6" t="s">
        <x:v>866</x:v>
      </x:c>
      <x:c r="D71" s="6" t="s">
        <x:v>867</x:v>
      </x:c>
      <x:c r="E71" s="6" t="s">
        <x:v>868</x:v>
      </x:c>
      <x:c r="F71" s="6" t="s">
        <x:v>869</x:v>
      </x:c>
      <x:c r="G71" s="6" t="s">
        <x:v>870</x:v>
      </x:c>
      <x:c r="H71" s="6" t="s">
        <x:v>871</x:v>
      </x:c>
      <x:c r="I71" s="6" t="s">
        <x:v>872</x:v>
      </x:c>
      <x:c r="J71" s="6" t="s">
        <x:v>873</x:v>
      </x:c>
      <x:c r="K71" s="6" t="s">
        <x:v>874</x:v>
      </x:c>
      <x:c r="L71" s="6" t="s">
        <x:v>677</x:v>
      </x:c>
      <x:c r="M71" s="6" t="s">
        <x:v>875</x:v>
      </x:c>
      <x:c r="N71" s="6" t="s">
        <x:v>47</x:v>
      </x:c>
      <x:c r="O71" s="6" t="s">
        <x:v>47</x:v>
      </x:c>
      <x:c r="P71" s="6" t="s">
        <x:v>876</x:v>
      </x:c>
      <x:c r="Q71" s="6" t="s">
        <x:v>877</x:v>
      </x:c>
      <x:c r="R71" s="6" t="s">
        <x:v>878</x:v>
      </x:c>
      <x:c r="S71" s="6" t="s">
        <x:v>401</x:v>
      </x:c>
      <x:c r="T71" s="6" t="s">
        <x:v>879</x:v>
      </x:c>
      <x:c r="U71" s="6" t="s">
        <x:v>56</x:v>
      </x:c>
      <x:c r="V71" s="6" t="s">
        <x:v>880</x:v>
      </x:c>
      <x:c r="W71" s="6"/>
    </x:row>
    <x:row r="72" ht="72" customHeight="1">
      <x:c r="A72" s="8" t="s">
        <x:v>881</x:v>
      </x:c>
      <x:c r="B72" s="8" t="s">
        <x:v>865</x:v>
      </x:c>
      <x:c r="C72" s="8" t="s">
        <x:v>882</x:v>
      </x:c>
      <x:c r="D72" s="8" t="s">
        <x:v>867</x:v>
      </x:c>
      <x:c r="E72" s="8" t="s">
        <x:v>868</x:v>
      </x:c>
      <x:c r="F72" s="8" t="s">
        <x:v>883</x:v>
      </x:c>
      <x:c r="G72" s="8" t="s">
        <x:v>884</x:v>
      </x:c>
      <x:c r="H72" s="8" t="s">
        <x:v>885</x:v>
      </x:c>
      <x:c r="I72" s="8" t="s">
        <x:v>886</x:v>
      </x:c>
      <x:c r="J72" s="8" t="s">
        <x:v>887</x:v>
      </x:c>
      <x:c r="K72" s="8" t="s">
        <x:v>874</x:v>
      </x:c>
      <x:c r="L72" s="8" t="s">
        <x:v>677</x:v>
      </x:c>
      <x:c r="M72" s="8" t="s">
        <x:v>888</x:v>
      </x:c>
      <x:c r="N72" s="8" t="s">
        <x:v>889</x:v>
      </x:c>
      <x:c r="O72" s="8" t="s">
        <x:v>890</x:v>
      </x:c>
      <x:c r="P72" s="8" t="s">
        <x:v>891</x:v>
      </x:c>
      <x:c r="Q72" s="8" t="s">
        <x:v>892</x:v>
      </x:c>
      <x:c r="R72" s="8" t="s">
        <x:v>878</x:v>
      </x:c>
      <x:c r="S72" s="8" t="s">
        <x:v>401</x:v>
      </x:c>
      <x:c r="T72" s="8" t="s">
        <x:v>893</x:v>
      </x:c>
      <x:c r="U72" s="8" t="s">
        <x:v>56</x:v>
      </x:c>
      <x:c r="V72" s="8" t="s">
        <x:v>894</x:v>
      </x:c>
      <x:c r="W72" s="8"/>
    </x:row>
    <x:row r="73" ht="84" customHeight="1">
      <x:c r="A73" s="6" t="s">
        <x:v>895</x:v>
      </x:c>
      <x:c r="B73" s="6" t="s">
        <x:v>865</x:v>
      </x:c>
      <x:c r="C73" s="6" t="s">
        <x:v>896</x:v>
      </x:c>
      <x:c r="D73" s="6" t="s">
        <x:v>867</x:v>
      </x:c>
      <x:c r="E73" s="6" t="s">
        <x:v>868</x:v>
      </x:c>
      <x:c r="F73" s="6" t="s">
        <x:v>897</x:v>
      </x:c>
      <x:c r="G73" s="6" t="s">
        <x:v>870</x:v>
      </x:c>
      <x:c r="H73" s="6" t="s">
        <x:v>898</x:v>
      </x:c>
      <x:c r="I73" s="6" t="s">
        <x:v>899</x:v>
      </x:c>
      <x:c r="J73" s="6" t="s">
        <x:v>900</x:v>
      </x:c>
      <x:c r="K73" s="6" t="s">
        <x:v>874</x:v>
      </x:c>
      <x:c r="L73" s="6" t="s">
        <x:v>677</x:v>
      </x:c>
      <x:c r="M73" s="6" t="s">
        <x:v>901</x:v>
      </x:c>
      <x:c r="N73" s="6" t="s">
        <x:v>47</x:v>
      </x:c>
      <x:c r="O73" s="6" t="s">
        <x:v>47</x:v>
      </x:c>
      <x:c r="P73" s="6" t="s">
        <x:v>902</x:v>
      </x:c>
      <x:c r="Q73" s="6" t="s">
        <x:v>903</x:v>
      </x:c>
      <x:c r="R73" s="6" t="s">
        <x:v>878</x:v>
      </x:c>
      <x:c r="S73" s="6" t="s">
        <x:v>401</x:v>
      </x:c>
      <x:c r="T73" s="6" t="s">
        <x:v>904</x:v>
      </x:c>
      <x:c r="U73" s="6" t="s">
        <x:v>56</x:v>
      </x:c>
      <x:c r="V73" s="6" t="s">
        <x:v>880</x:v>
      </x:c>
      <x:c r="W73" s="6"/>
    </x:row>
    <x:row r="74" ht="84" customHeight="1">
      <x:c r="A74" s="8" t="s">
        <x:v>905</x:v>
      </x:c>
      <x:c r="B74" s="8" t="s">
        <x:v>865</x:v>
      </x:c>
      <x:c r="C74" s="8" t="s">
        <x:v>906</x:v>
      </x:c>
      <x:c r="D74" s="8" t="s">
        <x:v>907</x:v>
      </x:c>
      <x:c r="E74" s="8" t="s">
        <x:v>868</x:v>
      </x:c>
      <x:c r="F74" s="8" t="s">
        <x:v>908</x:v>
      </x:c>
      <x:c r="G74" s="8" t="s">
        <x:v>909</x:v>
      </x:c>
      <x:c r="H74" s="8" t="s">
        <x:v>910</x:v>
      </x:c>
      <x:c r="I74" s="8" t="s">
        <x:v>911</x:v>
      </x:c>
      <x:c r="J74" s="8" t="s">
        <x:v>912</x:v>
      </x:c>
      <x:c r="K74" s="8" t="s">
        <x:v>913</x:v>
      </x:c>
      <x:c r="L74" s="8" t="s">
        <x:v>914</x:v>
      </x:c>
      <x:c r="M74" s="8" t="s">
        <x:v>915</x:v>
      </x:c>
      <x:c r="N74" s="8" t="s">
        <x:v>47</x:v>
      </x:c>
      <x:c r="O74" s="8" t="s">
        <x:v>47</x:v>
      </x:c>
      <x:c r="P74" s="8" t="s">
        <x:v>916</x:v>
      </x:c>
      <x:c r="Q74" s="8" t="s">
        <x:v>917</x:v>
      </x:c>
      <x:c r="R74" s="8" t="s">
        <x:v>878</x:v>
      </x:c>
      <x:c r="S74" s="8" t="s">
        <x:v>112</x:v>
      </x:c>
      <x:c r="T74" s="8" t="s">
        <x:v>918</x:v>
      </x:c>
      <x:c r="U74" s="8" t="s">
        <x:v>56</x:v>
      </x:c>
      <x:c r="V74" s="8" t="s">
        <x:v>919</x:v>
      </x:c>
      <x:c r="W74" s="8"/>
    </x:row>
    <x:row r="75" ht="96" customHeight="1">
      <x:c r="A75" s="6" t="s">
        <x:v>920</x:v>
      </x:c>
      <x:c r="B75" s="6" t="s">
        <x:v>865</x:v>
      </x:c>
      <x:c r="C75" s="6" t="s">
        <x:v>921</x:v>
      </x:c>
      <x:c r="D75" s="6" t="s">
        <x:v>922</x:v>
      </x:c>
      <x:c r="E75" s="6" t="s">
        <x:v>868</x:v>
      </x:c>
      <x:c r="F75" s="6" t="s">
        <x:v>923</x:v>
      </x:c>
      <x:c r="G75" s="6" t="s">
        <x:v>870</x:v>
      </x:c>
      <x:c r="H75" s="6" t="s">
        <x:v>924</x:v>
      </x:c>
      <x:c r="I75" s="6" t="s">
        <x:v>925</x:v>
      </x:c>
      <x:c r="J75" s="6" t="s">
        <x:v>926</x:v>
      </x:c>
      <x:c r="K75" s="6" t="s">
        <x:v>927</x:v>
      </x:c>
      <x:c r="L75" s="6" t="s">
        <x:v>914</x:v>
      </x:c>
      <x:c r="M75" s="6" t="s">
        <x:v>928</x:v>
      </x:c>
      <x:c r="N75" s="6" t="s">
        <x:v>47</x:v>
      </x:c>
      <x:c r="O75" s="6" t="s">
        <x:v>47</x:v>
      </x:c>
      <x:c r="P75" s="6" t="s">
        <x:v>929</x:v>
      </x:c>
      <x:c r="Q75" s="6" t="s">
        <x:v>930</x:v>
      </x:c>
      <x:c r="R75" s="6" t="s">
        <x:v>931</x:v>
      </x:c>
      <x:c r="S75" s="6" t="s">
        <x:v>932</x:v>
      </x:c>
      <x:c r="T75" s="6" t="s">
        <x:v>933</x:v>
      </x:c>
      <x:c r="U75" s="6" t="s">
        <x:v>56</x:v>
      </x:c>
      <x:c r="V75" s="6" t="s">
        <x:v>934</x:v>
      </x:c>
      <x:c r="W75" s="6"/>
    </x:row>
    <x:row r="76" ht="72" customHeight="1">
      <x:c r="A76" s="8" t="s">
        <x:v>935</x:v>
      </x:c>
      <x:c r="B76" s="8" t="s">
        <x:v>865</x:v>
      </x:c>
      <x:c r="C76" s="8" t="s">
        <x:v>936</x:v>
      </x:c>
      <x:c r="D76" s="8" t="s">
        <x:v>937</x:v>
      </x:c>
      <x:c r="E76" s="8" t="s">
        <x:v>868</x:v>
      </x:c>
      <x:c r="F76" s="8" t="s">
        <x:v>938</x:v>
      </x:c>
      <x:c r="G76" s="8" t="s">
        <x:v>939</x:v>
      </x:c>
      <x:c r="H76" s="8" t="s">
        <x:v>940</x:v>
      </x:c>
      <x:c r="I76" s="8" t="s">
        <x:v>823</x:v>
      </x:c>
      <x:c r="J76" s="8" t="s">
        <x:v>941</x:v>
      </x:c>
      <x:c r="K76" s="8" t="s">
        <x:v>942</x:v>
      </x:c>
      <x:c r="L76" s="8" t="s">
        <x:v>677</x:v>
      </x:c>
      <x:c r="M76" s="8" t="s">
        <x:v>943</x:v>
      </x:c>
      <x:c r="N76" s="8" t="s">
        <x:v>889</x:v>
      </x:c>
      <x:c r="O76" s="8" t="s">
        <x:v>944</x:v>
      </x:c>
      <x:c r="P76" s="8" t="s">
        <x:v>945</x:v>
      </x:c>
      <x:c r="Q76" s="8" t="s">
        <x:v>946</x:v>
      </x:c>
      <x:c r="R76" s="8" t="s">
        <x:v>947</x:v>
      </x:c>
      <x:c r="S76" s="8" t="s">
        <x:v>54</x:v>
      </x:c>
      <x:c r="T76" s="8" t="s">
        <x:v>948</x:v>
      </x:c>
      <x:c r="U76" s="8" t="s">
        <x:v>56</x:v>
      </x:c>
      <x:c r="V76" s="8" t="s">
        <x:v>949</x:v>
      </x:c>
      <x:c r="W76" s="8"/>
    </x:row>
    <x:row r="77" ht="108" customHeight="1">
      <x:c r="A77" s="6" t="s">
        <x:v>950</x:v>
      </x:c>
      <x:c r="B77" s="6" t="s">
        <x:v>951</x:v>
      </x:c>
      <x:c r="C77" s="6" t="s">
        <x:v>952</x:v>
      </x:c>
      <x:c r="D77" s="6" t="s">
        <x:v>953</x:v>
      </x:c>
      <x:c r="E77" s="6" t="s">
        <x:v>914</x:v>
      </x:c>
      <x:c r="F77" s="6" t="s">
        <x:v>954</x:v>
      </x:c>
      <x:c r="G77" s="6"/>
      <x:c r="H77" s="6" t="s">
        <x:v>955</x:v>
      </x:c>
      <x:c r="I77" s="6" t="s">
        <x:v>956</x:v>
      </x:c>
      <x:c r="J77" s="6" t="s">
        <x:v>957</x:v>
      </x:c>
      <x:c r="K77" s="6" t="s">
        <x:v>958</x:v>
      </x:c>
      <x:c r="L77" s="6" t="s">
        <x:v>677</x:v>
      </x:c>
      <x:c r="M77" s="6" t="s">
        <x:v>959</x:v>
      </x:c>
      <x:c r="N77" s="6" t="s">
        <x:v>47</x:v>
      </x:c>
      <x:c r="O77" s="6" t="s">
        <x:v>47</x:v>
      </x:c>
      <x:c r="P77" s="6" t="s">
        <x:v>960</x:v>
      </x:c>
      <x:c r="Q77" s="6" t="s">
        <x:v>961</x:v>
      </x:c>
      <x:c r="R77" s="6" t="s">
        <x:v>962</x:v>
      </x:c>
      <x:c r="S77" s="6" t="s">
        <x:v>112</x:v>
      </x:c>
      <x:c r="T77" s="6" t="s">
        <x:v>963</x:v>
      </x:c>
      <x:c r="U77" s="6" t="s">
        <x:v>56</x:v>
      </x:c>
      <x:c r="V77" s="6" t="s">
        <x:v>114</x:v>
      </x:c>
      <x:c r="W77" s="6"/>
    </x:row>
    <x:row r="78" ht="120" customHeight="1">
      <x:c r="A78" s="8" t="s">
        <x:v>964</x:v>
      </x:c>
      <x:c r="B78" s="8" t="s">
        <x:v>951</x:v>
      </x:c>
      <x:c r="C78" s="8" t="s">
        <x:v>965</x:v>
      </x:c>
      <x:c r="D78" s="8" t="s">
        <x:v>966</x:v>
      </x:c>
      <x:c r="E78" s="8" t="s">
        <x:v>914</x:v>
      </x:c>
      <x:c r="F78" s="8" t="s">
        <x:v>967</x:v>
      </x:c>
      <x:c r="G78" s="8"/>
      <x:c r="H78" s="8" t="s">
        <x:v>968</x:v>
      </x:c>
      <x:c r="I78" s="8" t="s">
        <x:v>969</x:v>
      </x:c>
      <x:c r="J78" s="8" t="s">
        <x:v>970</x:v>
      </x:c>
      <x:c r="K78" s="8" t="s">
        <x:v>971</x:v>
      </x:c>
      <x:c r="L78" s="8" t="s">
        <x:v>677</x:v>
      </x:c>
      <x:c r="M78" s="8" t="s">
        <x:v>972</x:v>
      </x:c>
      <x:c r="N78" s="8" t="s">
        <x:v>47</x:v>
      </x:c>
      <x:c r="O78" s="8" t="s">
        <x:v>47</x:v>
      </x:c>
      <x:c r="P78" s="8" t="s">
        <x:v>973</x:v>
      </x:c>
      <x:c r="Q78" s="8" t="s">
        <x:v>974</x:v>
      </x:c>
      <x:c r="R78" s="8" t="s">
        <x:v>975</x:v>
      </x:c>
      <x:c r="S78" s="8" t="s">
        <x:v>976</x:v>
      </x:c>
      <x:c r="T78" s="8" t="s">
        <x:v>977</x:v>
      </x:c>
      <x:c r="U78" s="8" t="s">
        <x:v>56</x:v>
      </x:c>
      <x:c r="V78" s="8" t="s">
        <x:v>978</x:v>
      </x:c>
      <x:c r="W78" s="8"/>
    </x:row>
    <x:row r="79" ht="72" customHeight="1">
      <x:c r="A79" s="6" t="s">
        <x:v>979</x:v>
      </x:c>
      <x:c r="B79" s="6" t="s">
        <x:v>980</x:v>
      </x:c>
      <x:c r="C79" s="6" t="s">
        <x:v>981</x:v>
      </x:c>
      <x:c r="D79" s="6" t="s">
        <x:v>982</x:v>
      </x:c>
      <x:c r="E79" s="6" t="s">
        <x:v>702</x:v>
      </x:c>
      <x:c r="F79" s="6" t="s">
        <x:v>983</x:v>
      </x:c>
      <x:c r="G79" s="6"/>
      <x:c r="H79" s="6" t="s">
        <x:v>984</x:v>
      </x:c>
      <x:c r="I79" s="6" t="s">
        <x:v>985</x:v>
      </x:c>
      <x:c r="J79" s="6" t="s">
        <x:v>986</x:v>
      </x:c>
      <x:c r="K79" s="6" t="s">
        <x:v>987</x:v>
      </x:c>
      <x:c r="L79" s="6" t="s">
        <x:v>988</x:v>
      </x:c>
      <x:c r="M79" s="6" t="s">
        <x:v>989</x:v>
      </x:c>
      <x:c r="N79" s="6" t="s">
        <x:v>47</x:v>
      </x:c>
      <x:c r="O79" s="6" t="s">
        <x:v>47</x:v>
      </x:c>
      <x:c r="P79" s="6" t="s">
        <x:v>990</x:v>
      </x:c>
      <x:c r="Q79" s="6" t="s">
        <x:v>991</x:v>
      </x:c>
      <x:c r="R79" s="6" t="s">
        <x:v>992</x:v>
      </x:c>
      <x:c r="S79" s="6" t="s">
        <x:v>112</x:v>
      </x:c>
      <x:c r="T79" s="6" t="s">
        <x:v>993</x:v>
      </x:c>
      <x:c r="U79" s="6" t="s">
        <x:v>56</x:v>
      </x:c>
      <x:c r="V79" s="6" t="s">
        <x:v>239</x:v>
      </x:c>
      <x:c r="W79" s="6"/>
    </x:row>
    <x:row r="80" ht="72" customHeight="1">
      <x:c r="A80" s="8" t="s">
        <x:v>994</x:v>
      </x:c>
      <x:c r="B80" s="8" t="s">
        <x:v>980</x:v>
      </x:c>
      <x:c r="C80" s="8" t="s">
        <x:v>995</x:v>
      </x:c>
      <x:c r="D80" s="8" t="s">
        <x:v>996</x:v>
      </x:c>
      <x:c r="E80" s="8" t="s">
        <x:v>997</x:v>
      </x:c>
      <x:c r="F80" s="8" t="s">
        <x:v>998</x:v>
      </x:c>
      <x:c r="G80" s="8"/>
      <x:c r="H80" s="8" t="s">
        <x:v>999</x:v>
      </x:c>
      <x:c r="I80" s="8" t="s">
        <x:v>1000</x:v>
      </x:c>
      <x:c r="J80" s="8" t="s">
        <x:v>1001</x:v>
      </x:c>
      <x:c r="K80" s="8" t="s">
        <x:v>1002</x:v>
      </x:c>
      <x:c r="L80" s="8" t="s">
        <x:v>988</x:v>
      </x:c>
      <x:c r="M80" s="8" t="s">
        <x:v>988</x:v>
      </x:c>
      <x:c r="N80" s="8" t="s">
        <x:v>429</x:v>
      </x:c>
      <x:c r="O80" s="8" t="s">
        <x:v>47</x:v>
      </x:c>
      <x:c r="P80" s="8" t="s">
        <x:v>1003</x:v>
      </x:c>
      <x:c r="Q80" s="8" t="s">
        <x:v>1004</x:v>
      </x:c>
      <x:c r="R80" s="8" t="s">
        <x:v>1005</x:v>
      </x:c>
      <x:c r="S80" s="8" t="s">
        <x:v>112</x:v>
      </x:c>
      <x:c r="T80" s="8" t="s">
        <x:v>993</x:v>
      </x:c>
      <x:c r="U80" s="8" t="s">
        <x:v>56</x:v>
      </x:c>
      <x:c r="V80" s="8" t="s">
        <x:v>239</x:v>
      </x:c>
      <x:c r="W80" s="8"/>
    </x:row>
    <x:row r="81" ht="72" customHeight="1">
      <x:c r="A81" s="6" t="s">
        <x:v>1006</x:v>
      </x:c>
      <x:c r="B81" s="6" t="s">
        <x:v>980</x:v>
      </x:c>
      <x:c r="C81" s="6" t="s">
        <x:v>1007</x:v>
      </x:c>
      <x:c r="D81" s="6" t="s">
        <x:v>1008</x:v>
      </x:c>
      <x:c r="E81" s="6" t="s">
        <x:v>997</x:v>
      </x:c>
      <x:c r="F81" s="6" t="s">
        <x:v>1009</x:v>
      </x:c>
      <x:c r="G81" s="6"/>
      <x:c r="H81" s="6" t="s">
        <x:v>1010</x:v>
      </x:c>
      <x:c r="I81" s="6" t="s">
        <x:v>1011</x:v>
      </x:c>
      <x:c r="J81" s="6" t="s">
        <x:v>1012</x:v>
      </x:c>
      <x:c r="K81" s="6" t="s">
        <x:v>1013</x:v>
      </x:c>
      <x:c r="L81" s="6" t="s">
        <x:v>444</x:v>
      </x:c>
      <x:c r="M81" s="6" t="s">
        <x:v>444</x:v>
      </x:c>
      <x:c r="N81" s="6" t="s">
        <x:v>429</x:v>
      </x:c>
      <x:c r="O81" s="6" t="s">
        <x:v>67</x:v>
      </x:c>
      <x:c r="P81" s="6" t="s">
        <x:v>1014</x:v>
      </x:c>
      <x:c r="Q81" s="6" t="s">
        <x:v>1015</x:v>
      </x:c>
      <x:c r="R81" s="6" t="s">
        <x:v>1005</x:v>
      </x:c>
      <x:c r="S81" s="6" t="s">
        <x:v>112</x:v>
      </x:c>
      <x:c r="T81" s="6" t="s">
        <x:v>993</x:v>
      </x:c>
      <x:c r="U81" s="6" t="s">
        <x:v>56</x:v>
      </x:c>
      <x:c r="V81" s="6" t="s">
        <x:v>57</x:v>
      </x:c>
      <x:c r="W81" s="6"/>
    </x:row>
    <x:row r="82" ht="72" customHeight="1">
      <x:c r="A82" s="8" t="s">
        <x:v>1016</x:v>
      </x:c>
      <x:c r="B82" s="8" t="s">
        <x:v>980</x:v>
      </x:c>
      <x:c r="C82" s="8" t="s">
        <x:v>1017</x:v>
      </x:c>
      <x:c r="D82" s="8" t="s">
        <x:v>1018</x:v>
      </x:c>
      <x:c r="E82" s="8" t="s">
        <x:v>997</x:v>
      </x:c>
      <x:c r="F82" s="8" t="s">
        <x:v>1019</x:v>
      </x:c>
      <x:c r="G82" s="8"/>
      <x:c r="H82" s="8" t="s">
        <x:v>1020</x:v>
      </x:c>
      <x:c r="I82" s="8" t="s">
        <x:v>1021</x:v>
      </x:c>
      <x:c r="J82" s="8" t="s">
        <x:v>1022</x:v>
      </x:c>
      <x:c r="K82" s="8" t="s">
        <x:v>1023</x:v>
      </x:c>
      <x:c r="L82" s="8" t="s">
        <x:v>93</x:v>
      </x:c>
      <x:c r="M82" s="8" t="s">
        <x:v>85</x:v>
      </x:c>
      <x:c r="N82" s="8" t="s">
        <x:v>93</x:v>
      </x:c>
      <x:c r="O82" s="8" t="s">
        <x:v>47</x:v>
      </x:c>
      <x:c r="P82" s="8" t="s">
        <x:v>1024</x:v>
      </x:c>
      <x:c r="Q82" s="8" t="s">
        <x:v>1015</x:v>
      </x:c>
      <x:c r="R82" s="8" t="s">
        <x:v>1005</x:v>
      </x:c>
      <x:c r="S82" s="8" t="s">
        <x:v>112</x:v>
      </x:c>
      <x:c r="T82" s="8" t="s">
        <x:v>993</x:v>
      </x:c>
      <x:c r="U82" s="8" t="s">
        <x:v>56</x:v>
      </x:c>
      <x:c r="V82" s="8" t="s">
        <x:v>57</x:v>
      </x:c>
      <x:c r="W82" s="8"/>
    </x:row>
    <x:row r="83" ht="72" customHeight="1">
      <x:c r="A83" s="6" t="s">
        <x:v>1025</x:v>
      </x:c>
      <x:c r="B83" s="6" t="s">
        <x:v>980</x:v>
      </x:c>
      <x:c r="C83" s="6" t="s">
        <x:v>1026</x:v>
      </x:c>
      <x:c r="D83" s="6" t="s">
        <x:v>1027</x:v>
      </x:c>
      <x:c r="E83" s="6" t="s">
        <x:v>997</x:v>
      </x:c>
      <x:c r="F83" s="6" t="s">
        <x:v>1028</x:v>
      </x:c>
      <x:c r="G83" s="6"/>
      <x:c r="H83" s="6" t="s">
        <x:v>1029</x:v>
      </x:c>
      <x:c r="I83" s="6" t="s">
        <x:v>1030</x:v>
      </x:c>
      <x:c r="J83" s="6" t="s">
        <x:v>1031</x:v>
      </x:c>
      <x:c r="K83" s="6" t="s">
        <x:v>1032</x:v>
      </x:c>
      <x:c r="L83" s="6" t="s">
        <x:v>988</x:v>
      </x:c>
      <x:c r="M83" s="6" t="s">
        <x:v>988</x:v>
      </x:c>
      <x:c r="N83" s="6" t="s">
        <x:v>1033</x:v>
      </x:c>
      <x:c r="O83" s="6" t="s">
        <x:v>47</x:v>
      </x:c>
      <x:c r="P83" s="6" t="s">
        <x:v>1034</x:v>
      </x:c>
      <x:c r="Q83" s="6" t="s">
        <x:v>1035</x:v>
      </x:c>
      <x:c r="R83" s="6" t="s">
        <x:v>1005</x:v>
      </x:c>
      <x:c r="S83" s="6" t="s">
        <x:v>1036</x:v>
      </x:c>
      <x:c r="T83" s="6" t="s">
        <x:v>1037</x:v>
      </x:c>
      <x:c r="U83" s="6" t="s">
        <x:v>56</x:v>
      </x:c>
      <x:c r="V83" s="6" t="s">
        <x:v>1038</x:v>
      </x:c>
      <x:c r="W83" s="6"/>
    </x:row>
    <x:row r="84" ht="72" customHeight="1">
      <x:c r="A84" s="8" t="s">
        <x:v>1039</x:v>
      </x:c>
      <x:c r="B84" s="8" t="s">
        <x:v>980</x:v>
      </x:c>
      <x:c r="C84" s="8" t="s">
        <x:v>1040</x:v>
      </x:c>
      <x:c r="D84" s="8" t="s">
        <x:v>1041</x:v>
      </x:c>
      <x:c r="E84" s="8" t="s">
        <x:v>997</x:v>
      </x:c>
      <x:c r="F84" s="8" t="s">
        <x:v>1042</x:v>
      </x:c>
      <x:c r="G84" s="8"/>
      <x:c r="H84" s="8" t="s">
        <x:v>857</x:v>
      </x:c>
      <x:c r="I84" s="8" t="s">
        <x:v>810</x:v>
      </x:c>
      <x:c r="J84" s="8" t="s">
        <x:v>858</x:v>
      </x:c>
      <x:c r="K84" s="8" t="s">
        <x:v>859</x:v>
      </x:c>
      <x:c r="L84" s="8" t="s">
        <x:v>988</x:v>
      </x:c>
      <x:c r="M84" s="8" t="s">
        <x:v>1043</x:v>
      </x:c>
      <x:c r="N84" s="8" t="s">
        <x:v>813</x:v>
      </x:c>
      <x:c r="O84" s="8" t="s">
        <x:v>47</x:v>
      </x:c>
      <x:c r="P84" s="8" t="s">
        <x:v>1044</x:v>
      </x:c>
      <x:c r="Q84" s="8" t="s">
        <x:v>1045</x:v>
      </x:c>
      <x:c r="R84" s="8" t="s">
        <x:v>1005</x:v>
      </x:c>
      <x:c r="S84" s="8" t="s">
        <x:v>863</x:v>
      </x:c>
      <x:c r="T84" s="8" t="s">
        <x:v>1046</x:v>
      </x:c>
      <x:c r="U84" s="8" t="s">
        <x:v>56</x:v>
      </x:c>
      <x:c r="V84" s="8" t="s">
        <x:v>817</x:v>
      </x:c>
      <x:c r="W84" s="8"/>
    </x:row>
    <x:row r="85" ht="72" customHeight="1">
      <x:c r="A85" s="6" t="s">
        <x:v>1047</x:v>
      </x:c>
      <x:c r="B85" s="6" t="s">
        <x:v>980</x:v>
      </x:c>
      <x:c r="C85" s="6" t="s">
        <x:v>1048</x:v>
      </x:c>
      <x:c r="D85" s="6" t="s">
        <x:v>1049</x:v>
      </x:c>
      <x:c r="E85" s="6" t="s">
        <x:v>997</x:v>
      </x:c>
      <x:c r="F85" s="6" t="s">
        <x:v>1050</x:v>
      </x:c>
      <x:c r="G85" s="6"/>
      <x:c r="H85" s="6" t="s">
        <x:v>1051</x:v>
      </x:c>
      <x:c r="I85" s="6" t="s">
        <x:v>1052</x:v>
      </x:c>
      <x:c r="J85" s="6" t="s">
        <x:v>1053</x:v>
      </x:c>
      <x:c r="K85" s="6" t="s">
        <x:v>1054</x:v>
      </x:c>
      <x:c r="L85" s="6" t="s">
        <x:v>988</x:v>
      </x:c>
      <x:c r="M85" s="6" t="s">
        <x:v>1043</x:v>
      </x:c>
      <x:c r="N85" s="6" t="s">
        <x:v>1033</x:v>
      </x:c>
      <x:c r="O85" s="6" t="s">
        <x:v>47</x:v>
      </x:c>
      <x:c r="P85" s="6" t="s">
        <x:v>1055</x:v>
      </x:c>
      <x:c r="Q85" s="6" t="s">
        <x:v>1056</x:v>
      </x:c>
      <x:c r="R85" s="6" t="s">
        <x:v>1005</x:v>
      </x:c>
      <x:c r="S85" s="6" t="s">
        <x:v>863</x:v>
      </x:c>
      <x:c r="T85" s="6" t="s">
        <x:v>1057</x:v>
      </x:c>
      <x:c r="U85" s="6" t="s">
        <x:v>56</x:v>
      </x:c>
      <x:c r="V85" s="6" t="s">
        <x:v>1038</x:v>
      </x:c>
      <x:c r="W85" s="6"/>
    </x:row>
    <x:row r="86" ht="72" customHeight="1">
      <x:c r="A86" s="8" t="s">
        <x:v>1058</x:v>
      </x:c>
      <x:c r="B86" s="8" t="s">
        <x:v>1059</x:v>
      </x:c>
      <x:c r="C86" s="8" t="s">
        <x:v>1060</x:v>
      </x:c>
      <x:c r="D86" s="8" t="s">
        <x:v>1061</x:v>
      </x:c>
      <x:c r="E86" s="8" t="s">
        <x:v>997</x:v>
      </x:c>
      <x:c r="F86" s="8" t="s">
        <x:v>1062</x:v>
      </x:c>
      <x:c r="G86" s="8"/>
      <x:c r="H86" s="8" t="s">
        <x:v>1063</x:v>
      </x:c>
      <x:c r="I86" s="8" t="s">
        <x:v>1064</x:v>
      </x:c>
      <x:c r="J86" s="8" t="s">
        <x:v>1065</x:v>
      </x:c>
      <x:c r="K86" s="8" t="s">
        <x:v>1066</x:v>
      </x:c>
      <x:c r="L86" s="8" t="s">
        <x:v>1067</x:v>
      </x:c>
      <x:c r="M86" s="8" t="s">
        <x:v>1068</x:v>
      </x:c>
      <x:c r="N86" s="8" t="s">
        <x:v>429</x:v>
      </x:c>
      <x:c r="O86" s="8" t="s">
        <x:v>1069</x:v>
      </x:c>
      <x:c r="P86" s="8" t="s">
        <x:v>1070</x:v>
      </x:c>
      <x:c r="Q86" s="8" t="s">
        <x:v>1071</x:v>
      </x:c>
      <x:c r="R86" s="8" t="s">
        <x:v>1072</x:v>
      </x:c>
      <x:c r="S86" s="8" t="s">
        <x:v>54</x:v>
      </x:c>
      <x:c r="T86" s="8" t="s">
        <x:v>1073</x:v>
      </x:c>
      <x:c r="U86" s="8" t="s">
        <x:v>56</x:v>
      </x:c>
      <x:c r="V86" s="8" t="s">
        <x:v>57</x:v>
      </x:c>
      <x:c r="W86" s="8"/>
    </x:row>
    <x:row r="87" ht="72" customHeight="1">
      <x:c r="A87" s="6" t="s">
        <x:v>1074</x:v>
      </x:c>
      <x:c r="B87" s="6" t="s">
        <x:v>1059</x:v>
      </x:c>
      <x:c r="C87" s="6" t="s">
        <x:v>1075</x:v>
      </x:c>
      <x:c r="D87" s="6" t="s">
        <x:v>1076</x:v>
      </x:c>
      <x:c r="E87" s="6" t="s">
        <x:v>1068</x:v>
      </x:c>
      <x:c r="F87" s="6" t="s">
        <x:v>1077</x:v>
      </x:c>
      <x:c r="G87" s="6"/>
      <x:c r="H87" s="6" t="s">
        <x:v>1078</x:v>
      </x:c>
      <x:c r="I87" s="6" t="s">
        <x:v>1079</x:v>
      </x:c>
      <x:c r="J87" s="6" t="s">
        <x:v>1080</x:v>
      </x:c>
      <x:c r="K87" s="6" t="s">
        <x:v>1066</x:v>
      </x:c>
      <x:c r="L87" s="6" t="s">
        <x:v>1081</x:v>
      </x:c>
      <x:c r="M87" s="6" t="s">
        <x:v>1082</x:v>
      </x:c>
      <x:c r="N87" s="6" t="s">
        <x:v>47</x:v>
      </x:c>
      <x:c r="O87" s="6" t="s">
        <x:v>47</x:v>
      </x:c>
      <x:c r="P87" s="6" t="s">
        <x:v>1083</x:v>
      </x:c>
      <x:c r="Q87" s="6" t="s">
        <x:v>1084</x:v>
      </x:c>
      <x:c r="R87" s="6" t="s">
        <x:v>1085</x:v>
      </x:c>
      <x:c r="S87" s="6" t="s">
        <x:v>1086</x:v>
      </x:c>
      <x:c r="T87" s="6" t="s">
        <x:v>1073</x:v>
      </x:c>
      <x:c r="U87" s="6" t="s">
        <x:v>56</x:v>
      </x:c>
      <x:c r="V87" s="6" t="s">
        <x:v>1087</x:v>
      </x:c>
      <x:c r="W87" s="6"/>
    </x:row>
    <x:row r="88" ht="72" customHeight="1">
      <x:c r="A88" s="8" t="s">
        <x:v>1088</x:v>
      </x:c>
      <x:c r="B88" s="8" t="s">
        <x:v>1059</x:v>
      </x:c>
      <x:c r="C88" s="8" t="s">
        <x:v>1089</x:v>
      </x:c>
      <x:c r="D88" s="8" t="s">
        <x:v>1090</x:v>
      </x:c>
      <x:c r="E88" s="8" t="s">
        <x:v>988</x:v>
      </x:c>
      <x:c r="F88" s="8" t="s">
        <x:v>1091</x:v>
      </x:c>
      <x:c r="G88" s="8"/>
      <x:c r="H88" s="8" t="s">
        <x:v>1092</x:v>
      </x:c>
      <x:c r="I88" s="8" t="s">
        <x:v>1093</x:v>
      </x:c>
      <x:c r="J88" s="8" t="s">
        <x:v>1094</x:v>
      </x:c>
      <x:c r="K88" s="8" t="s">
        <x:v>942</x:v>
      </x:c>
      <x:c r="L88" s="8" t="s">
        <x:v>988</x:v>
      </x:c>
      <x:c r="M88" s="8" t="s">
        <x:v>1095</x:v>
      </x:c>
      <x:c r="N88" s="8" t="s">
        <x:v>47</x:v>
      </x:c>
      <x:c r="O88" s="8" t="s">
        <x:v>47</x:v>
      </x:c>
      <x:c r="P88" s="8" t="s">
        <x:v>1096</x:v>
      </x:c>
      <x:c r="Q88" s="8" t="s">
        <x:v>1097</x:v>
      </x:c>
      <x:c r="R88" s="8" t="s">
        <x:v>54</x:v>
      </x:c>
      <x:c r="S88" s="8" t="s">
        <x:v>54</x:v>
      </x:c>
      <x:c r="T88" s="8" t="s">
        <x:v>1098</x:v>
      </x:c>
      <x:c r="U88" s="8" t="s">
        <x:v>56</x:v>
      </x:c>
      <x:c r="V88" s="8" t="s">
        <x:v>114</x:v>
      </x:c>
      <x:c r="W88" s="8"/>
    </x:row>
    <x:row r="89" ht="72" customHeight="1">
      <x:c r="A89" s="6" t="s">
        <x:v>1099</x:v>
      </x:c>
      <x:c r="B89" s="6" t="s">
        <x:v>1059</x:v>
      </x:c>
      <x:c r="C89" s="6" t="s">
        <x:v>1100</x:v>
      </x:c>
      <x:c r="D89" s="6" t="s">
        <x:v>1101</x:v>
      </x:c>
      <x:c r="E89" s="6" t="s">
        <x:v>988</x:v>
      </x:c>
      <x:c r="F89" s="6" t="s">
        <x:v>1102</x:v>
      </x:c>
      <x:c r="G89" s="6" t="s">
        <x:v>939</x:v>
      </x:c>
      <x:c r="H89" s="6" t="s">
        <x:v>1103</x:v>
      </x:c>
      <x:c r="I89" s="6" t="s">
        <x:v>1104</x:v>
      </x:c>
      <x:c r="J89" s="6" t="s">
        <x:v>1105</x:v>
      </x:c>
      <x:c r="K89" s="6" t="s">
        <x:v>1106</x:v>
      </x:c>
      <x:c r="L89" s="6" t="s">
        <x:v>1107</x:v>
      </x:c>
      <x:c r="M89" s="6" t="s">
        <x:v>1108</x:v>
      </x:c>
      <x:c r="N89" s="6" t="s">
        <x:v>1109</x:v>
      </x:c>
      <x:c r="O89" s="6" t="s">
        <x:v>47</x:v>
      </x:c>
      <x:c r="P89" s="6" t="s">
        <x:v>1110</x:v>
      </x:c>
      <x:c r="Q89" s="6" t="s">
        <x:v>1111</x:v>
      </x:c>
      <x:c r="R89" s="6" t="s">
        <x:v>293</x:v>
      </x:c>
      <x:c r="S89" s="6" t="s">
        <x:v>181</x:v>
      </x:c>
      <x:c r="T89" s="6" t="s">
        <x:v>1073</x:v>
      </x:c>
      <x:c r="U89" s="6" t="s">
        <x:v>56</x:v>
      </x:c>
      <x:c r="V89" s="6" t="s">
        <x:v>1112</x:v>
      </x:c>
      <x:c r="W89" s="6"/>
    </x:row>
    <x:row r="90" ht="72" customHeight="1">
      <x:c r="A90" s="8" t="s">
        <x:v>1113</x:v>
      </x:c>
      <x:c r="B90" s="8" t="s">
        <x:v>1059</x:v>
      </x:c>
      <x:c r="C90" s="8" t="s">
        <x:v>1114</x:v>
      </x:c>
      <x:c r="D90" s="8" t="s">
        <x:v>1115</x:v>
      </x:c>
      <x:c r="E90" s="8" t="s">
        <x:v>988</x:v>
      </x:c>
      <x:c r="F90" s="8" t="s">
        <x:v>1116</x:v>
      </x:c>
      <x:c r="G90" s="8"/>
      <x:c r="H90" s="8" t="s">
        <x:v>1079</x:v>
      </x:c>
      <x:c r="I90" s="8" t="s">
        <x:v>1079</x:v>
      </x:c>
      <x:c r="J90" s="8"/>
      <x:c r="K90" s="8" t="s">
        <x:v>1117</x:v>
      </x:c>
      <x:c r="L90" s="8" t="s">
        <x:v>1118</x:v>
      </x:c>
      <x:c r="M90" s="8" t="s">
        <x:v>1118</x:v>
      </x:c>
      <x:c r="N90" s="8" t="s">
        <x:v>47</x:v>
      </x:c>
      <x:c r="O90" s="8" t="s">
        <x:v>47</x:v>
      </x:c>
      <x:c r="P90" s="8" t="s">
        <x:v>1119</x:v>
      </x:c>
      <x:c r="Q90" s="8" t="s">
        <x:v>1120</x:v>
      </x:c>
      <x:c r="R90" s="8" t="s">
        <x:v>1121</x:v>
      </x:c>
      <x:c r="S90" s="8" t="s">
        <x:v>1086</x:v>
      </x:c>
      <x:c r="T90" s="8" t="s">
        <x:v>1122</x:v>
      </x:c>
      <x:c r="U90" s="8" t="s">
        <x:v>56</x:v>
      </x:c>
      <x:c r="V90" s="8" t="s">
        <x:v>1087</x:v>
      </x:c>
      <x:c r="W90" s="8"/>
    </x:row>
    <x:row r="91" ht="72" customHeight="1">
      <x:c r="A91" s="6" t="s">
        <x:v>1123</x:v>
      </x:c>
      <x:c r="B91" s="6" t="s">
        <x:v>1124</x:v>
      </x:c>
      <x:c r="C91" s="6" t="s">
        <x:v>1125</x:v>
      </x:c>
      <x:c r="D91" s="6" t="s">
        <x:v>1126</x:v>
      </x:c>
      <x:c r="E91" s="6" t="s">
        <x:v>1127</x:v>
      </x:c>
      <x:c r="F91" s="6" t="s">
        <x:v>1128</x:v>
      </x:c>
      <x:c r="G91" s="6" t="s">
        <x:v>1129</x:v>
      </x:c>
      <x:c r="H91" s="6" t="s">
        <x:v>1130</x:v>
      </x:c>
      <x:c r="I91" s="6" t="s">
        <x:v>1131</x:v>
      </x:c>
      <x:c r="J91" s="6" t="s">
        <x:v>1132</x:v>
      </x:c>
      <x:c r="K91" s="6" t="s">
        <x:v>1133</x:v>
      </x:c>
      <x:c r="L91" s="6" t="s">
        <x:v>570</x:v>
      </x:c>
      <x:c r="M91" s="6" t="s">
        <x:v>1134</x:v>
      </x:c>
      <x:c r="N91" s="6" t="s">
        <x:v>1135</x:v>
      </x:c>
      <x:c r="O91" s="6" t="s">
        <x:v>47</x:v>
      </x:c>
      <x:c r="P91" s="6" t="s">
        <x:v>1136</x:v>
      </x:c>
      <x:c r="Q91" s="6" t="s">
        <x:v>1137</x:v>
      </x:c>
      <x:c r="R91" s="6" t="s">
        <x:v>1138</x:v>
      </x:c>
      <x:c r="S91" s="6" t="s">
        <x:v>181</x:v>
      </x:c>
      <x:c r="T91" s="6" t="s">
        <x:v>1139</x:v>
      </x:c>
      <x:c r="U91" s="6" t="s">
        <x:v>56</x:v>
      </x:c>
      <x:c r="V91" s="6" t="s">
        <x:v>1140</x:v>
      </x:c>
      <x:c r="W91" s="6"/>
    </x:row>
    <x:row r="92" ht="72" customHeight="1">
      <x:c r="A92" s="8" t="s">
        <x:v>1141</x:v>
      </x:c>
      <x:c r="B92" s="8" t="s">
        <x:v>1124</x:v>
      </x:c>
      <x:c r="C92" s="8" t="s">
        <x:v>1142</x:v>
      </x:c>
      <x:c r="D92" s="8" t="s">
        <x:v>1126</x:v>
      </x:c>
      <x:c r="E92" s="8" t="s">
        <x:v>1127</x:v>
      </x:c>
      <x:c r="F92" s="8" t="s">
        <x:v>1143</x:v>
      </x:c>
      <x:c r="G92" s="8"/>
      <x:c r="H92" s="8" t="s">
        <x:v>1144</x:v>
      </x:c>
      <x:c r="I92" s="8" t="s">
        <x:v>1145</x:v>
      </x:c>
      <x:c r="J92" s="8" t="s">
        <x:v>1146</x:v>
      </x:c>
      <x:c r="K92" s="8" t="s">
        <x:v>77</x:v>
      </x:c>
      <x:c r="L92" s="8" t="s">
        <x:v>78</x:v>
      </x:c>
      <x:c r="M92" s="8" t="s">
        <x:v>78</x:v>
      </x:c>
      <x:c r="N92" s="8" t="s">
        <x:v>1135</x:v>
      </x:c>
      <x:c r="O92" s="8" t="s">
        <x:v>47</x:v>
      </x:c>
      <x:c r="P92" s="8" t="s">
        <x:v>1147</x:v>
      </x:c>
      <x:c r="Q92" s="8" t="s">
        <x:v>1137</x:v>
      </x:c>
      <x:c r="R92" s="8" t="s">
        <x:v>1138</x:v>
      </x:c>
      <x:c r="S92" s="8" t="s">
        <x:v>181</x:v>
      </x:c>
      <x:c r="T92" s="8" t="s">
        <x:v>1139</x:v>
      </x:c>
      <x:c r="U92" s="8" t="s">
        <x:v>56</x:v>
      </x:c>
      <x:c r="V92" s="8" t="s">
        <x:v>114</x:v>
      </x:c>
      <x:c r="W92" s="8"/>
    </x:row>
    <x:row r="93" ht="72" customHeight="1">
      <x:c r="A93" s="6" t="s">
        <x:v>1148</x:v>
      </x:c>
      <x:c r="B93" s="6" t="s">
        <x:v>241</x:v>
      </x:c>
      <x:c r="C93" s="6" t="s">
        <x:v>1149</x:v>
      </x:c>
      <x:c r="D93" s="6" t="s">
        <x:v>1150</x:v>
      </x:c>
      <x:c r="E93" s="6" t="s">
        <x:v>78</x:v>
      </x:c>
      <x:c r="F93" s="6" t="s">
        <x:v>1151</x:v>
      </x:c>
      <x:c r="G93" s="6"/>
      <x:c r="H93" s="6" t="s">
        <x:v>1152</x:v>
      </x:c>
      <x:c r="I93" s="6"/>
      <x:c r="J93" s="6" t="s">
        <x:v>1152</x:v>
      </x:c>
      <x:c r="K93" s="6" t="s">
        <x:v>1153</x:v>
      </x:c>
      <x:c r="L93" s="6" t="s">
        <x:v>78</x:v>
      </x:c>
      <x:c r="M93" s="6" t="s">
        <x:v>1154</x:v>
      </x:c>
      <x:c r="N93" s="6" t="s">
        <x:v>1135</x:v>
      </x:c>
      <x:c r="O93" s="6" t="s">
        <x:v>1155</x:v>
      </x:c>
      <x:c r="P93" s="6" t="s">
        <x:v>1156</x:v>
      </x:c>
      <x:c r="Q93" s="6" t="s">
        <x:v>1157</x:v>
      </x:c>
      <x:c r="R93" s="6" t="s">
        <x:v>1158</x:v>
      </x:c>
      <x:c r="S93" s="6" t="s">
        <x:v>863</x:v>
      </x:c>
      <x:c r="T93" s="6"/>
      <x:c r="U93" s="6" t="s">
        <x:v>56</x:v>
      </x:c>
      <x:c r="V93" s="6" t="s">
        <x:v>1159</x:v>
      </x:c>
      <x:c r="W93" s="6"/>
    </x:row>
    <x:row r="94" ht="72" customHeight="1">
      <x:c r="A94" s="8" t="s">
        <x:v>1160</x:v>
      </x:c>
      <x:c r="B94" s="8" t="s">
        <x:v>667</x:v>
      </x:c>
      <x:c r="C94" s="8" t="s">
        <x:v>1149</x:v>
      </x:c>
      <x:c r="D94" s="8" t="s">
        <x:v>1161</x:v>
      </x:c>
      <x:c r="E94" s="8" t="s">
        <x:v>570</x:v>
      </x:c>
      <x:c r="F94" s="8" t="s">
        <x:v>1162</x:v>
      </x:c>
      <x:c r="G94" s="8"/>
      <x:c r="H94" s="8" t="s">
        <x:v>1152</x:v>
      </x:c>
      <x:c r="I94" s="8"/>
      <x:c r="J94" s="8" t="s">
        <x:v>1152</x:v>
      </x:c>
      <x:c r="K94" s="8" t="s">
        <x:v>1153</x:v>
      </x:c>
      <x:c r="L94" s="8" t="s">
        <x:v>570</x:v>
      </x:c>
      <x:c r="M94" s="8" t="s">
        <x:v>1154</x:v>
      </x:c>
      <x:c r="N94" s="8" t="s">
        <x:v>1135</x:v>
      </x:c>
      <x:c r="O94" s="8" t="s">
        <x:v>1155</x:v>
      </x:c>
      <x:c r="P94" s="8" t="s">
        <x:v>1163</x:v>
      </x:c>
      <x:c r="Q94" s="8" t="s">
        <x:v>1157</x:v>
      </x:c>
      <x:c r="R94" s="8" t="s">
        <x:v>1158</x:v>
      </x:c>
      <x:c r="S94" s="8" t="s">
        <x:v>863</x:v>
      </x:c>
      <x:c r="T94" s="8"/>
      <x:c r="U94" s="8" t="s">
        <x:v>56</x:v>
      </x:c>
      <x:c r="V94" s="8" t="s">
        <x:v>1159</x:v>
      </x:c>
      <x:c r="W94" s="8"/>
    </x:row>
    <x:row r="95" ht="72" customHeight="1">
      <x:c r="A95" s="6" t="s">
        <x:v>1164</x:v>
      </x:c>
      <x:c r="B95" s="6" t="s">
        <x:v>793</x:v>
      </x:c>
      <x:c r="C95" s="6" t="s">
        <x:v>1149</x:v>
      </x:c>
      <x:c r="D95" s="6" t="s">
        <x:v>1165</x:v>
      </x:c>
      <x:c r="E95" s="6" t="s">
        <x:v>677</x:v>
      </x:c>
      <x:c r="F95" s="6" t="s">
        <x:v>1166</x:v>
      </x:c>
      <x:c r="G95" s="6"/>
      <x:c r="H95" s="6" t="s">
        <x:v>1152</x:v>
      </x:c>
      <x:c r="I95" s="6"/>
      <x:c r="J95" s="6" t="s">
        <x:v>1152</x:v>
      </x:c>
      <x:c r="K95" s="6" t="s">
        <x:v>1153</x:v>
      </x:c>
      <x:c r="L95" s="6" t="s">
        <x:v>677</x:v>
      </x:c>
      <x:c r="M95" s="6" t="s">
        <x:v>1154</x:v>
      </x:c>
      <x:c r="N95" s="6" t="s">
        <x:v>1135</x:v>
      </x:c>
      <x:c r="O95" s="6" t="s">
        <x:v>1155</x:v>
      </x:c>
      <x:c r="P95" s="6" t="s">
        <x:v>1167</x:v>
      </x:c>
      <x:c r="Q95" s="6" t="s">
        <x:v>1157</x:v>
      </x:c>
      <x:c r="R95" s="6" t="s">
        <x:v>1158</x:v>
      </x:c>
      <x:c r="S95" s="6" t="s">
        <x:v>863</x:v>
      </x:c>
      <x:c r="T95" s="6"/>
      <x:c r="U95" s="6" t="s">
        <x:v>56</x:v>
      </x:c>
      <x:c r="V95" s="6" t="s">
        <x:v>1159</x:v>
      </x:c>
      <x:c r="W95" s="6"/>
    </x:row>
    <x:row r="96" ht="72" customHeight="1">
      <x:c r="A96" s="8" t="s">
        <x:v>1168</x:v>
      </x:c>
      <x:c r="B96" s="8" t="s">
        <x:v>707</x:v>
      </x:c>
      <x:c r="C96" s="8" t="s">
        <x:v>1149</x:v>
      </x:c>
      <x:c r="D96" s="8" t="s">
        <x:v>1169</x:v>
      </x:c>
      <x:c r="E96" s="8" t="s">
        <x:v>509</x:v>
      </x:c>
      <x:c r="F96" s="8" t="s">
        <x:v>1170</x:v>
      </x:c>
      <x:c r="G96" s="8"/>
      <x:c r="H96" s="8" t="s">
        <x:v>1152</x:v>
      </x:c>
      <x:c r="I96" s="8"/>
      <x:c r="J96" s="8" t="s">
        <x:v>1152</x:v>
      </x:c>
      <x:c r="K96" s="8" t="s">
        <x:v>1153</x:v>
      </x:c>
      <x:c r="L96" s="8" t="s">
        <x:v>509</x:v>
      </x:c>
      <x:c r="M96" s="8" t="s">
        <x:v>1154</x:v>
      </x:c>
      <x:c r="N96" s="8" t="s">
        <x:v>1135</x:v>
      </x:c>
      <x:c r="O96" s="8" t="s">
        <x:v>1155</x:v>
      </x:c>
      <x:c r="P96" s="8" t="s">
        <x:v>1171</x:v>
      </x:c>
      <x:c r="Q96" s="8" t="s">
        <x:v>1157</x:v>
      </x:c>
      <x:c r="R96" s="8" t="s">
        <x:v>1158</x:v>
      </x:c>
      <x:c r="S96" s="8" t="s">
        <x:v>863</x:v>
      </x:c>
      <x:c r="T96" s="8"/>
      <x:c r="U96" s="8" t="s">
        <x:v>56</x:v>
      </x:c>
      <x:c r="V96" s="8" t="s">
        <x:v>1159</x:v>
      </x:c>
      <x:c r="W96" s="8"/>
    </x:row>
    <x:row r="97" ht="72" customHeight="1">
      <x:c r="A97" s="6" t="s">
        <x:v>1172</x:v>
      </x:c>
      <x:c r="B97" s="6" t="s">
        <x:v>40</x:v>
      </x:c>
      <x:c r="C97" s="6" t="s">
        <x:v>1149</x:v>
      </x:c>
      <x:c r="D97" s="6" t="s">
        <x:v>1173</x:v>
      </x:c>
      <x:c r="E97" s="6" t="s">
        <x:v>1174</x:v>
      </x:c>
      <x:c r="F97" s="6" t="s">
        <x:v>1175</x:v>
      </x:c>
      <x:c r="G97" s="6"/>
      <x:c r="H97" s="6" t="s">
        <x:v>1152</x:v>
      </x:c>
      <x:c r="I97" s="6"/>
      <x:c r="J97" s="6" t="s">
        <x:v>1152</x:v>
      </x:c>
      <x:c r="K97" s="6" t="s">
        <x:v>1153</x:v>
      </x:c>
      <x:c r="L97" s="6" t="s">
        <x:v>1174</x:v>
      </x:c>
      <x:c r="M97" s="6" t="s">
        <x:v>1154</x:v>
      </x:c>
      <x:c r="N97" s="6" t="s">
        <x:v>1135</x:v>
      </x:c>
      <x:c r="O97" s="6" t="s">
        <x:v>1155</x:v>
      </x:c>
      <x:c r="P97" s="6" t="s">
        <x:v>1176</x:v>
      </x:c>
      <x:c r="Q97" s="6" t="s">
        <x:v>1177</x:v>
      </x:c>
      <x:c r="R97" s="6" t="s">
        <x:v>1158</x:v>
      </x:c>
      <x:c r="S97" s="6" t="s">
        <x:v>863</x:v>
      </x:c>
      <x:c r="T97" s="6" t="s">
        <x:v>55</x:v>
      </x:c>
      <x:c r="U97" s="6" t="s">
        <x:v>56</x:v>
      </x:c>
      <x:c r="V97" s="6" t="s">
        <x:v>1159</x:v>
      </x:c>
      <x:c r="W97" s="6"/>
    </x:row>
  </x:sheetData>
  <x:mergeCells>
    <x:mergeCell ref="A2:V2"/>
    <x:mergeCell ref="A1:V1"/>
  </x:mergeCells>
  <x:conditionalFormatting sqref="T5:T73">
    <x:cfRule type="expression" dxfId="11" priority="1">
      <x:formula>$T5="Aprobado"</x:formula>
    </x:cfRule>
    <x:cfRule type="expression" dxfId="10" priority="2">
      <x:formula>$T5="Ajustar"</x:formula>
    </x:cfRule>
    <x:cfRule type="expression" dxfId="9" priority="3">
      <x:formula>$T5="Diferido"</x:formula>
    </x:cfRule>
    <x:cfRule type="expression" dxfId="8" priority="4">
      <x:formula>$T5="No aplica"</x:formula>
    </x:cfRule>
  </x:conditionalFormatting>
  <x:dataValidations count="1">
    <x:dataValidation type="list" errorTitle="Estado no válido" error="Seleccione un estado permitido." promptTitle="Validación Cliente" prompt="Seleccione el resultado de validación." sqref="U5:U97">
      <x:formula1>"Pendiente de validación,Aprobado,Ajustar,Diferido,No aplica"</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customWidth="1"/>
    <x:col min="2" max="2" width="28" customWidth="1"/>
    <x:col min="3" max="3" width="72" customWidth="1"/>
    <x:col min="4" max="4" width="44" customWidth="1"/>
    <x:col min="5" max="5" width="30" customWidth="1"/>
    <x:col min="6" max="6" width="36" customWidth="1"/>
    <x:col min="7" max="7" width="22" customWidth="1"/>
    <x:col min="8" max="8" width="40" customWidth="1"/>
    <x:col min="9" max="9" width="18" customWidth="1"/>
    <x:col min="10" max="10" width="54" customWidth="1"/>
    <x:col min="11" max="11" width="22" customWidth="1"/>
    <x:col min="12" max="12" width="32" customWidth="1"/>
  </x:cols>
  <x:sheetData>
    <x:row r="1" ht="24.950000762939453" customHeight="1">
      <x:c r="A1" s="12" t="s">
        <x:v>1178</x:v>
      </x:c>
      <x:c r="B1" s="17"/>
      <x:c r="C1" s="17"/>
      <x:c r="D1" s="17"/>
      <x:c r="E1" s="17"/>
      <x:c r="F1" s="17"/>
      <x:c r="G1" s="17"/>
      <x:c r="H1" s="17"/>
      <x:c r="I1" s="17"/>
      <x:c r="J1" s="17"/>
      <x:c r="K1" s="17"/>
      <x:c r="L1" s="18"/>
    </x:row>
    <x:row r="2" ht="32.099998474121094" customHeight="1">
      <x:c r="A2" s="11" t="s">
        <x:v>1179</x:v>
      </x:c>
      <x:c r="B2" s="17"/>
      <x:c r="C2" s="17"/>
      <x:c r="D2" s="17"/>
      <x:c r="E2" s="17"/>
      <x:c r="F2" s="17"/>
      <x:c r="G2" s="17"/>
      <x:c r="H2" s="17"/>
      <x:c r="I2" s="17"/>
      <x:c r="J2" s="17"/>
      <x:c r="K2" s="17"/>
      <x:c r="L2" s="18"/>
    </x:row>
    <x:row r="4" ht="33.95000076293945" customHeight="1">
      <x:c r="A4" s="1" t="s">
        <x:v>1180</x:v>
      </x:c>
      <x:c r="B4" s="1" t="s">
        <x:v>1181</x:v>
      </x:c>
      <x:c r="C4" s="1" t="s">
        <x:v>1182</x:v>
      </x:c>
      <x:c r="D4" s="1" t="s">
        <x:v>1183</x:v>
      </x:c>
      <x:c r="E4" s="1" t="s">
        <x:v>22</x:v>
      </x:c>
      <x:c r="F4" s="1" t="s">
        <x:v>1184</x:v>
      </x:c>
      <x:c r="G4" s="1" t="s">
        <x:v>1185</x:v>
      </x:c>
      <x:c r="H4" s="1" t="s">
        <x:v>1186</x:v>
      </x:c>
      <x:c r="I4" s="1" t="s">
        <x:v>1187</x:v>
      </x:c>
      <x:c r="J4" s="1" t="s">
        <x:v>1188</x:v>
      </x:c>
      <x:c r="K4" s="1" t="s">
        <x:v>36</x:v>
      </x:c>
      <x:c r="L4" s="1" t="s">
        <x:v>38</x:v>
      </x:c>
    </x:row>
    <x:row r="5" ht="66" customHeight="1">
      <x:c r="A5" s="6" t="s">
        <x:v>1189</x:v>
      </x:c>
      <x:c r="B5" s="6" t="s">
        <x:v>1190</x:v>
      </x:c>
      <x:c r="C5" s="6" t="s">
        <x:v>1191</x:v>
      </x:c>
      <x:c r="D5" s="6"/>
      <x:c r="E5" s="6"/>
      <x:c r="F5" s="6" t="s">
        <x:v>1192</x:v>
      </x:c>
      <x:c r="G5" s="6" t="s">
        <x:v>1193</x:v>
      </x:c>
      <x:c r="H5" s="6"/>
      <x:c r="I5" s="6" t="s">
        <x:v>1194</x:v>
      </x:c>
      <x:c r="J5" s="6" t="s">
        <x:v>1195</x:v>
      </x:c>
      <x:c r="K5" s="6" t="s">
        <x:v>56</x:v>
      </x:c>
      <x:c r="L5" s="6"/>
    </x:row>
    <x:row r="6" ht="66" customHeight="1">
      <x:c r="A6" s="8" t="s">
        <x:v>1196</x:v>
      </x:c>
      <x:c r="B6" s="8" t="s">
        <x:v>1197</x:v>
      </x:c>
      <x:c r="C6" s="8" t="s">
        <x:v>1198</x:v>
      </x:c>
      <x:c r="D6" s="8" t="s">
        <x:v>1199</x:v>
      </x:c>
      <x:c r="E6" s="8"/>
      <x:c r="F6" s="8" t="s">
        <x:v>1200</x:v>
      </x:c>
      <x:c r="G6" s="8" t="s">
        <x:v>1193</x:v>
      </x:c>
      <x:c r="H6" s="8" t="s">
        <x:v>1201</x:v>
      </x:c>
      <x:c r="I6" s="8" t="s">
        <x:v>1202</x:v>
      </x:c>
      <x:c r="J6" s="8" t="s">
        <x:v>1203</x:v>
      </x:c>
      <x:c r="K6" s="8" t="s">
        <x:v>56</x:v>
      </x:c>
      <x:c r="L6" s="8"/>
    </x:row>
    <x:row r="7" ht="66" customHeight="1">
      <x:c r="A7" s="6" t="s">
        <x:v>1204</x:v>
      </x:c>
      <x:c r="B7" s="6" t="s">
        <x:v>1205</x:v>
      </x:c>
      <x:c r="C7" s="6" t="s">
        <x:v>1206</x:v>
      </x:c>
      <x:c r="D7" s="6" t="s">
        <x:v>1207</x:v>
      </x:c>
      <x:c r="E7" s="6"/>
      <x:c r="F7" s="6" t="s">
        <x:v>1208</x:v>
      </x:c>
      <x:c r="G7" s="6" t="s">
        <x:v>1193</x:v>
      </x:c>
      <x:c r="H7" s="6"/>
      <x:c r="I7" s="6" t="s">
        <x:v>1209</x:v>
      </x:c>
      <x:c r="J7" s="6" t="s">
        <x:v>1195</x:v>
      </x:c>
      <x:c r="K7" s="6" t="s">
        <x:v>56</x:v>
      </x:c>
      <x:c r="L7" s="6"/>
    </x:row>
    <x:row r="8" ht="66" customHeight="1">
      <x:c r="A8" s="8" t="s">
        <x:v>1210</x:v>
      </x:c>
      <x:c r="B8" s="8" t="s">
        <x:v>1211</x:v>
      </x:c>
      <x:c r="C8" s="8" t="s">
        <x:v>1212</x:v>
      </x:c>
      <x:c r="D8" s="8" t="s">
        <x:v>115</x:v>
      </x:c>
      <x:c r="E8" s="8"/>
      <x:c r="F8" s="8" t="s">
        <x:v>1213</x:v>
      </x:c>
      <x:c r="G8" s="8" t="s">
        <x:v>1193</x:v>
      </x:c>
      <x:c r="H8" s="8"/>
      <x:c r="I8" s="8" t="s">
        <x:v>1214</x:v>
      </x:c>
      <x:c r="J8" s="8" t="s">
        <x:v>1195</x:v>
      </x:c>
      <x:c r="K8" s="8" t="s">
        <x:v>56</x:v>
      </x:c>
      <x:c r="L8" s="8"/>
    </x:row>
    <x:row r="9" ht="66" customHeight="1">
      <x:c r="A9" s="6" t="s">
        <x:v>1215</x:v>
      </x:c>
      <x:c r="B9" s="6" t="s">
        <x:v>1216</x:v>
      </x:c>
      <x:c r="C9" s="6" t="s">
        <x:v>1217</x:v>
      </x:c>
      <x:c r="D9" s="6" t="s">
        <x:v>1218</x:v>
      </x:c>
      <x:c r="E9" s="6"/>
      <x:c r="F9" s="6" t="s">
        <x:v>1219</x:v>
      </x:c>
      <x:c r="G9" s="6" t="s">
        <x:v>1193</x:v>
      </x:c>
      <x:c r="H9" s="6"/>
      <x:c r="I9" s="6" t="s">
        <x:v>1214</x:v>
      </x:c>
      <x:c r="J9" s="6" t="s">
        <x:v>1195</x:v>
      </x:c>
      <x:c r="K9" s="6" t="s">
        <x:v>56</x:v>
      </x:c>
      <x:c r="L9" s="6"/>
    </x:row>
    <x:row r="10" ht="66" customHeight="1">
      <x:c r="A10" s="8" t="s">
        <x:v>1220</x:v>
      </x:c>
      <x:c r="B10" s="8" t="s">
        <x:v>1221</x:v>
      </x:c>
      <x:c r="C10" s="8" t="s">
        <x:v>1222</x:v>
      </x:c>
      <x:c r="D10" s="8" t="s">
        <x:v>1223</x:v>
      </x:c>
      <x:c r="E10" s="8"/>
      <x:c r="F10" s="8" t="s">
        <x:v>1224</x:v>
      </x:c>
      <x:c r="G10" s="8" t="s">
        <x:v>1193</x:v>
      </x:c>
      <x:c r="H10" s="8"/>
      <x:c r="I10" s="8" t="s">
        <x:v>1214</x:v>
      </x:c>
      <x:c r="J10" s="8" t="s">
        <x:v>1195</x:v>
      </x:c>
      <x:c r="K10" s="8" t="s">
        <x:v>56</x:v>
      </x:c>
      <x:c r="L10" s="8"/>
    </x:row>
    <x:row r="11" ht="66" customHeight="1">
      <x:c r="A11" s="6" t="s">
        <x:v>325</x:v>
      </x:c>
      <x:c r="B11" s="6" t="s">
        <x:v>327</x:v>
      </x:c>
      <x:c r="C11" s="6" t="s">
        <x:v>1225</x:v>
      </x:c>
      <x:c r="D11" s="6" t="s">
        <x:v>318</x:v>
      </x:c>
      <x:c r="E11" s="6"/>
      <x:c r="F11" s="6" t="s">
        <x:v>1226</x:v>
      </x:c>
      <x:c r="G11" s="6" t="s">
        <x:v>1193</x:v>
      </x:c>
      <x:c r="H11" s="6"/>
      <x:c r="I11" s="6" t="s">
        <x:v>1214</x:v>
      </x:c>
      <x:c r="J11" s="6" t="s">
        <x:v>1195</x:v>
      </x:c>
      <x:c r="K11" s="6" t="s">
        <x:v>56</x:v>
      </x:c>
      <x:c r="L11" s="6"/>
    </x:row>
    <x:row r="12" ht="66" customHeight="1">
      <x:c r="A12" s="8" t="s">
        <x:v>340</x:v>
      </x:c>
      <x:c r="B12" s="8" t="s">
        <x:v>1227</x:v>
      </x:c>
      <x:c r="C12" s="8" t="s">
        <x:v>1228</x:v>
      </x:c>
      <x:c r="D12" s="8" t="s">
        <x:v>333</x:v>
      </x:c>
      <x:c r="E12" s="8"/>
      <x:c r="F12" s="8" t="s">
        <x:v>1229</x:v>
      </x:c>
      <x:c r="G12" s="8" t="s">
        <x:v>1193</x:v>
      </x:c>
      <x:c r="H12" s="8"/>
      <x:c r="I12" s="8" t="s">
        <x:v>1214</x:v>
      </x:c>
      <x:c r="J12" s="8" t="s">
        <x:v>1195</x:v>
      </x:c>
      <x:c r="K12" s="8" t="s">
        <x:v>56</x:v>
      </x:c>
      <x:c r="L12" s="8"/>
    </x:row>
    <x:row r="13" ht="66" customHeight="1">
      <x:c r="A13" s="6" t="s">
        <x:v>172</x:v>
      </x:c>
      <x:c r="B13" s="6" t="s">
        <x:v>1230</x:v>
      </x:c>
      <x:c r="C13" s="6" t="s">
        <x:v>1231</x:v>
      </x:c>
      <x:c r="D13" s="6" t="s">
        <x:v>1232</x:v>
      </x:c>
      <x:c r="E13" s="6"/>
      <x:c r="F13" s="6" t="s">
        <x:v>1233</x:v>
      </x:c>
      <x:c r="G13" s="6" t="s">
        <x:v>1234</x:v>
      </x:c>
      <x:c r="H13" s="6"/>
      <x:c r="I13" s="6" t="s">
        <x:v>1214</x:v>
      </x:c>
      <x:c r="J13" s="6" t="s">
        <x:v>1235</x:v>
      </x:c>
      <x:c r="K13" s="6" t="s">
        <x:v>56</x:v>
      </x:c>
      <x:c r="L13" s="6"/>
    </x:row>
    <x:row r="14" ht="66" customHeight="1">
      <x:c r="A14" s="8" t="s">
        <x:v>1236</x:v>
      </x:c>
      <x:c r="B14" s="8" t="s">
        <x:v>1237</x:v>
      </x:c>
      <x:c r="C14" s="8" t="s">
        <x:v>1238</x:v>
      </x:c>
      <x:c r="D14" s="8" t="s">
        <x:v>212</x:v>
      </x:c>
      <x:c r="E14" s="8"/>
      <x:c r="F14" s="8" t="s">
        <x:v>1239</x:v>
      </x:c>
      <x:c r="G14" s="8" t="s">
        <x:v>1193</x:v>
      </x:c>
      <x:c r="H14" s="8"/>
      <x:c r="I14" s="8" t="s">
        <x:v>1214</x:v>
      </x:c>
      <x:c r="J14" s="8" t="s">
        <x:v>1195</x:v>
      </x:c>
      <x:c r="K14" s="8" t="s">
        <x:v>56</x:v>
      </x:c>
      <x:c r="L14" s="8"/>
    </x:row>
    <x:row r="15" ht="66" customHeight="1">
      <x:c r="A15" s="6" t="s">
        <x:v>1240</x:v>
      </x:c>
      <x:c r="B15" s="6" t="s">
        <x:v>1241</x:v>
      </x:c>
      <x:c r="C15" s="6" t="s">
        <x:v>1242</x:v>
      </x:c>
      <x:c r="D15" s="6" t="s">
        <x:v>1243</x:v>
      </x:c>
      <x:c r="E15" s="6"/>
      <x:c r="F15" s="6" t="s">
        <x:v>1244</x:v>
      </x:c>
      <x:c r="G15" s="6" t="s">
        <x:v>1193</x:v>
      </x:c>
      <x:c r="H15" s="6"/>
      <x:c r="I15" s="6" t="s">
        <x:v>1214</x:v>
      </x:c>
      <x:c r="J15" s="6" t="s">
        <x:v>1195</x:v>
      </x:c>
      <x:c r="K15" s="6" t="s">
        <x:v>56</x:v>
      </x:c>
      <x:c r="L15" s="6"/>
    </x:row>
    <x:row r="16" ht="66" customHeight="1">
      <x:c r="A16" s="8" t="s">
        <x:v>1245</x:v>
      </x:c>
      <x:c r="B16" s="8" t="s">
        <x:v>1246</x:v>
      </x:c>
      <x:c r="C16" s="8" t="s">
        <x:v>1247</x:v>
      </x:c>
      <x:c r="D16" s="8" t="s">
        <x:v>1248</x:v>
      </x:c>
      <x:c r="E16" s="8"/>
      <x:c r="F16" s="8" t="s">
        <x:v>1249</x:v>
      </x:c>
      <x:c r="G16" s="8" t="s">
        <x:v>1193</x:v>
      </x:c>
      <x:c r="H16" s="8"/>
      <x:c r="I16" s="8" t="s">
        <x:v>1214</x:v>
      </x:c>
      <x:c r="J16" s="8" t="s">
        <x:v>1195</x:v>
      </x:c>
      <x:c r="K16" s="8" t="s">
        <x:v>56</x:v>
      </x:c>
      <x:c r="L16" s="8"/>
    </x:row>
    <x:row r="17" ht="66" customHeight="1">
      <x:c r="A17" s="6" t="s">
        <x:v>1250</x:v>
      </x:c>
      <x:c r="B17" s="6" t="s">
        <x:v>1251</x:v>
      </x:c>
      <x:c r="C17" s="6" t="s">
        <x:v>1252</x:v>
      </x:c>
      <x:c r="D17" s="6" t="s">
        <x:v>1253</x:v>
      </x:c>
      <x:c r="E17" s="6"/>
      <x:c r="F17" s="6" t="s">
        <x:v>1254</x:v>
      </x:c>
      <x:c r="G17" s="6" t="s">
        <x:v>1193</x:v>
      </x:c>
      <x:c r="H17" s="6"/>
      <x:c r="I17" s="6" t="s">
        <x:v>1214</x:v>
      </x:c>
      <x:c r="J17" s="6" t="s">
        <x:v>1195</x:v>
      </x:c>
      <x:c r="K17" s="6" t="s">
        <x:v>56</x:v>
      </x:c>
      <x:c r="L17" s="6"/>
    </x:row>
    <x:row r="18" ht="66" customHeight="1">
      <x:c r="A18" s="8" t="s">
        <x:v>1255</x:v>
      </x:c>
      <x:c r="B18" s="8" t="s">
        <x:v>1256</x:v>
      </x:c>
      <x:c r="C18" s="8" t="s">
        <x:v>1257</x:v>
      </x:c>
      <x:c r="D18" s="8" t="s">
        <x:v>1258</x:v>
      </x:c>
      <x:c r="E18" s="8" t="s">
        <x:v>672</x:v>
      </x:c>
      <x:c r="F18" s="8" t="s">
        <x:v>1259</x:v>
      </x:c>
      <x:c r="G18" s="8" t="s">
        <x:v>1260</x:v>
      </x:c>
      <x:c r="H18" s="8" t="s">
        <x:v>1261</x:v>
      </x:c>
      <x:c r="I18" s="8" t="s">
        <x:v>1262</x:v>
      </x:c>
      <x:c r="J18" s="8" t="s">
        <x:v>1263</x:v>
      </x:c>
      <x:c r="K18" s="8" t="s">
        <x:v>56</x:v>
      </x:c>
      <x:c r="L18" s="8"/>
    </x:row>
    <x:row r="19" ht="66" customHeight="1">
      <x:c r="A19" s="6" t="s">
        <x:v>1264</x:v>
      </x:c>
      <x:c r="B19" s="6" t="s">
        <x:v>1265</x:v>
      </x:c>
      <x:c r="C19" s="6" t="s">
        <x:v>1266</x:v>
      </x:c>
      <x:c r="D19" s="6" t="s">
        <x:v>1267</x:v>
      </x:c>
      <x:c r="E19" s="6" t="s">
        <x:v>1268</x:v>
      </x:c>
      <x:c r="F19" s="6" t="s">
        <x:v>1269</x:v>
      </x:c>
      <x:c r="G19" s="6" t="s">
        <x:v>1270</x:v>
      </x:c>
      <x:c r="H19" s="6" t="s">
        <x:v>1271</x:v>
      </x:c>
      <x:c r="I19" s="6" t="s">
        <x:v>1272</x:v>
      </x:c>
      <x:c r="J19" s="6" t="s">
        <x:v>1273</x:v>
      </x:c>
      <x:c r="K19" s="6" t="s">
        <x:v>56</x:v>
      </x:c>
      <x:c r="L19" s="6"/>
    </x:row>
    <x:row r="20" ht="66" customHeight="1">
      <x:c r="A20" s="8" t="s">
        <x:v>1274</x:v>
      </x:c>
      <x:c r="B20" s="8" t="s">
        <x:v>1275</x:v>
      </x:c>
      <x:c r="C20" s="8" t="s">
        <x:v>1276</x:v>
      </x:c>
      <x:c r="D20" s="8" t="s">
        <x:v>1277</x:v>
      </x:c>
      <x:c r="E20" s="8"/>
      <x:c r="F20" s="8" t="s">
        <x:v>1278</x:v>
      </x:c>
      <x:c r="G20" s="8" t="s">
        <x:v>1193</x:v>
      </x:c>
      <x:c r="H20" s="8" t="s">
        <x:v>1201</x:v>
      </x:c>
      <x:c r="I20" s="8" t="s">
        <x:v>1279</x:v>
      </x:c>
      <x:c r="J20" s="8" t="s">
        <x:v>1280</x:v>
      </x:c>
      <x:c r="K20" s="8" t="s">
        <x:v>56</x:v>
      </x:c>
      <x:c r="L20" s="8"/>
    </x:row>
    <x:row r="21" ht="66" customHeight="1">
      <x:c r="A21" s="6" t="s">
        <x:v>1281</x:v>
      </x:c>
      <x:c r="B21" s="6" t="s">
        <x:v>1282</x:v>
      </x:c>
      <x:c r="C21" s="6" t="s">
        <x:v>1283</x:v>
      </x:c>
      <x:c r="D21" s="6" t="s">
        <x:v>1284</x:v>
      </x:c>
      <x:c r="E21" s="6"/>
      <x:c r="F21" s="6" t="s">
        <x:v>1224</x:v>
      </x:c>
      <x:c r="G21" s="6" t="s">
        <x:v>1193</x:v>
      </x:c>
      <x:c r="H21" s="6" t="s">
        <x:v>1201</x:v>
      </x:c>
      <x:c r="I21" s="6" t="s">
        <x:v>1285</x:v>
      </x:c>
      <x:c r="J21" s="6" t="s">
        <x:v>1286</x:v>
      </x:c>
      <x:c r="K21" s="6" t="s">
        <x:v>56</x:v>
      </x:c>
      <x:c r="L21" s="6"/>
    </x:row>
    <x:row r="22" ht="66" customHeight="1">
      <x:c r="A22" s="8" t="s">
        <x:v>1287</x:v>
      </x:c>
      <x:c r="B22" s="8" t="s">
        <x:v>1288</x:v>
      </x:c>
      <x:c r="C22" s="8" t="s">
        <x:v>1289</x:v>
      </x:c>
      <x:c r="D22" s="8" t="s">
        <x:v>1290</x:v>
      </x:c>
      <x:c r="E22" s="8"/>
      <x:c r="F22" s="8" t="s">
        <x:v>1229</x:v>
      </x:c>
      <x:c r="G22" s="8" t="s">
        <x:v>1193</x:v>
      </x:c>
      <x:c r="H22" s="8" t="s">
        <x:v>1201</x:v>
      </x:c>
      <x:c r="I22" s="8" t="s">
        <x:v>1291</x:v>
      </x:c>
      <x:c r="J22" s="8" t="s">
        <x:v>1292</x:v>
      </x:c>
      <x:c r="K22" s="8" t="s">
        <x:v>56</x:v>
      </x:c>
      <x:c r="L22" s="8"/>
    </x:row>
    <x:row r="23" ht="66" customHeight="1">
      <x:c r="A23" s="6" t="s">
        <x:v>1293</x:v>
      </x:c>
      <x:c r="B23" s="6" t="s">
        <x:v>1294</x:v>
      </x:c>
      <x:c r="C23" s="6" t="s">
        <x:v>1295</x:v>
      </x:c>
      <x:c r="D23" s="6" t="s">
        <x:v>1296</x:v>
      </x:c>
      <x:c r="E23" s="6"/>
      <x:c r="F23" s="6" t="s">
        <x:v>1229</x:v>
      </x:c>
      <x:c r="G23" s="6" t="s">
        <x:v>1193</x:v>
      </x:c>
      <x:c r="H23" s="6" t="s">
        <x:v>1201</x:v>
      </x:c>
      <x:c r="I23" s="6" t="s">
        <x:v>1291</x:v>
      </x:c>
      <x:c r="J23" s="6" t="s">
        <x:v>1297</x:v>
      </x:c>
      <x:c r="K23" s="6" t="s">
        <x:v>56</x:v>
      </x:c>
      <x:c r="L23" s="6"/>
    </x:row>
    <x:row r="24" ht="66" customHeight="1">
      <x:c r="A24" s="8" t="s">
        <x:v>1298</x:v>
      </x:c>
      <x:c r="B24" s="8" t="s">
        <x:v>1299</x:v>
      </x:c>
      <x:c r="C24" s="8" t="s">
        <x:v>1300</x:v>
      </x:c>
      <x:c r="D24" s="8" t="s">
        <x:v>1301</x:v>
      </x:c>
      <x:c r="E24" s="8" t="s">
        <x:v>581</x:v>
      </x:c>
      <x:c r="F24" s="8" t="s">
        <x:v>1302</x:v>
      </x:c>
      <x:c r="G24" s="8" t="s">
        <x:v>1303</x:v>
      </x:c>
      <x:c r="H24" s="8" t="s">
        <x:v>1271</x:v>
      </x:c>
      <x:c r="I24" s="8" t="s">
        <x:v>1304</x:v>
      </x:c>
      <x:c r="J24" s="8" t="s">
        <x:v>1305</x:v>
      </x:c>
      <x:c r="K24" s="8" t="s">
        <x:v>56</x:v>
      </x:c>
      <x:c r="L24" s="8"/>
    </x:row>
    <x:row r="25" ht="66" customHeight="1">
      <x:c r="A25" s="6" t="s">
        <x:v>1306</x:v>
      </x:c>
      <x:c r="B25" s="6" t="s">
        <x:v>1307</x:v>
      </x:c>
      <x:c r="C25" s="6" t="s">
        <x:v>1308</x:v>
      </x:c>
      <x:c r="D25" s="6" t="s">
        <x:v>1309</x:v>
      </x:c>
      <x:c r="E25" s="6" t="s">
        <x:v>505</x:v>
      </x:c>
      <x:c r="F25" s="6" t="s">
        <x:v>1302</x:v>
      </x:c>
      <x:c r="G25" s="6" t="s">
        <x:v>1310</x:v>
      </x:c>
      <x:c r="H25" s="6" t="s">
        <x:v>1271</x:v>
      </x:c>
      <x:c r="I25" s="6" t="s">
        <x:v>1304</x:v>
      </x:c>
      <x:c r="J25" s="6" t="s">
        <x:v>1311</x:v>
      </x:c>
      <x:c r="K25" s="6" t="s">
        <x:v>56</x:v>
      </x:c>
      <x:c r="L25" s="6"/>
    </x:row>
    <x:row r="26" ht="66" customHeight="1">
      <x:c r="A26" s="8" t="s">
        <x:v>1312</x:v>
      </x:c>
      <x:c r="B26" s="8" t="s">
        <x:v>1313</x:v>
      </x:c>
      <x:c r="C26" s="8" t="s">
        <x:v>1314</x:v>
      </x:c>
      <x:c r="D26" s="8" t="s">
        <x:v>1315</x:v>
      </x:c>
      <x:c r="E26" s="8" t="s">
        <x:v>491</x:v>
      </x:c>
      <x:c r="F26" s="8" t="s">
        <x:v>1269</x:v>
      </x:c>
      <x:c r="G26" s="8" t="s">
        <x:v>1316</x:v>
      </x:c>
      <x:c r="H26" s="8" t="s">
        <x:v>1271</x:v>
      </x:c>
      <x:c r="I26" s="8" t="s">
        <x:v>1304</x:v>
      </x:c>
      <x:c r="J26" s="8" t="s">
        <x:v>1317</x:v>
      </x:c>
      <x:c r="K26" s="8" t="s">
        <x:v>56</x:v>
      </x:c>
      <x:c r="L26" s="8"/>
    </x:row>
    <x:row r="27" ht="66" customHeight="1">
      <x:c r="A27" s="6" t="s">
        <x:v>1318</x:v>
      </x:c>
      <x:c r="B27" s="6" t="s">
        <x:v>1319</x:v>
      </x:c>
      <x:c r="C27" s="6" t="s">
        <x:v>1320</x:v>
      </x:c>
      <x:c r="D27" s="6" t="s">
        <x:v>470</x:v>
      </x:c>
      <x:c r="E27" s="6" t="s">
        <x:v>475</x:v>
      </x:c>
      <x:c r="F27" s="6" t="s">
        <x:v>1321</x:v>
      </x:c>
      <x:c r="G27" s="6" t="s">
        <x:v>1322</x:v>
      </x:c>
      <x:c r="H27" s="6" t="s">
        <x:v>1271</x:v>
      </x:c>
      <x:c r="I27" s="6" t="s">
        <x:v>1323</x:v>
      </x:c>
      <x:c r="J27" s="6" t="s">
        <x:v>1324</x:v>
      </x:c>
      <x:c r="K27" s="6" t="s">
        <x:v>56</x:v>
      </x:c>
      <x:c r="L27" s="6"/>
    </x:row>
    <x:row r="28" ht="66" customHeight="1">
      <x:c r="A28" s="8" t="s">
        <x:v>872</x:v>
      </x:c>
      <x:c r="B28" s="8" t="s">
        <x:v>1325</x:v>
      </x:c>
      <x:c r="C28" s="8" t="s">
        <x:v>1326</x:v>
      </x:c>
      <x:c r="D28" s="8" t="s">
        <x:v>864</x:v>
      </x:c>
      <x:c r="E28" s="8" t="s">
        <x:v>870</x:v>
      </x:c>
      <x:c r="F28" s="8" t="s">
        <x:v>1321</x:v>
      </x:c>
      <x:c r="G28" s="8" t="s">
        <x:v>1327</x:v>
      </x:c>
      <x:c r="H28" s="8" t="s">
        <x:v>1328</x:v>
      </x:c>
      <x:c r="I28" s="8" t="s">
        <x:v>1329</x:v>
      </x:c>
      <x:c r="J28" s="8" t="s">
        <x:v>1330</x:v>
      </x:c>
      <x:c r="K28" s="8" t="s">
        <x:v>56</x:v>
      </x:c>
      <x:c r="L28" s="8"/>
    </x:row>
    <x:row r="29" ht="66" customHeight="1">
      <x:c r="A29" s="6" t="s">
        <x:v>886</x:v>
      </x:c>
      <x:c r="B29" s="6" t="s">
        <x:v>1331</x:v>
      </x:c>
      <x:c r="C29" s="6" t="s">
        <x:v>1332</x:v>
      </x:c>
      <x:c r="D29" s="6" t="s">
        <x:v>881</x:v>
      </x:c>
      <x:c r="E29" s="6" t="s">
        <x:v>884</x:v>
      </x:c>
      <x:c r="F29" s="6" t="s">
        <x:v>1321</x:v>
      </x:c>
      <x:c r="G29" s="6" t="s">
        <x:v>1333</x:v>
      </x:c>
      <x:c r="H29" s="6" t="s">
        <x:v>1334</x:v>
      </x:c>
      <x:c r="I29" s="6" t="s">
        <x:v>1304</x:v>
      </x:c>
      <x:c r="J29" s="6" t="s">
        <x:v>1335</x:v>
      </x:c>
      <x:c r="K29" s="6" t="s">
        <x:v>56</x:v>
      </x:c>
      <x:c r="L29" s="6"/>
    </x:row>
    <x:row r="30" ht="66" customHeight="1">
      <x:c r="A30" s="8" t="s">
        <x:v>899</x:v>
      </x:c>
      <x:c r="B30" s="8" t="s">
        <x:v>1336</x:v>
      </x:c>
      <x:c r="C30" s="8" t="s">
        <x:v>1337</x:v>
      </x:c>
      <x:c r="D30" s="8" t="s">
        <x:v>1338</x:v>
      </x:c>
      <x:c r="E30" s="8" t="s">
        <x:v>1339</x:v>
      </x:c>
      <x:c r="F30" s="8" t="s">
        <x:v>1321</x:v>
      </x:c>
      <x:c r="G30" s="8" t="s">
        <x:v>1340</x:v>
      </x:c>
      <x:c r="H30" s="8" t="s">
        <x:v>1341</x:v>
      </x:c>
      <x:c r="I30" s="8" t="s">
        <x:v>1342</x:v>
      </x:c>
      <x:c r="J30" s="8" t="s">
        <x:v>1343</x:v>
      </x:c>
      <x:c r="K30" s="8" t="s">
        <x:v>56</x:v>
      </x:c>
      <x:c r="L30" s="8"/>
    </x:row>
    <x:row r="31" ht="66" customHeight="1">
      <x:c r="A31" s="6" t="s">
        <x:v>810</x:v>
      </x:c>
      <x:c r="B31" s="6" t="s">
        <x:v>1344</x:v>
      </x:c>
      <x:c r="C31" s="6" t="s">
        <x:v>1345</x:v>
      </x:c>
      <x:c r="D31" s="6" t="s">
        <x:v>1346</x:v>
      </x:c>
      <x:c r="E31" s="6"/>
      <x:c r="F31" s="6" t="s">
        <x:v>1347</x:v>
      </x:c>
      <x:c r="G31" s="6" t="s">
        <x:v>1193</x:v>
      </x:c>
      <x:c r="H31" s="6"/>
      <x:c r="I31" s="6" t="s">
        <x:v>1342</x:v>
      </x:c>
      <x:c r="J31" s="6" t="s">
        <x:v>1195</x:v>
      </x:c>
      <x:c r="K31" s="6" t="s">
        <x:v>56</x:v>
      </x:c>
      <x:c r="L31" s="6"/>
    </x:row>
    <x:row r="32" ht="66" customHeight="1">
      <x:c r="A32" s="8" t="s">
        <x:v>688</x:v>
      </x:c>
      <x:c r="B32" s="8" t="s">
        <x:v>1348</x:v>
      </x:c>
      <x:c r="C32" s="8" t="s">
        <x:v>1349</x:v>
      </x:c>
      <x:c r="D32" s="8" t="s">
        <x:v>1350</x:v>
      </x:c>
      <x:c r="E32" s="8"/>
      <x:c r="F32" s="8" t="s">
        <x:v>1351</x:v>
      </x:c>
      <x:c r="G32" s="8" t="s">
        <x:v>1193</x:v>
      </x:c>
      <x:c r="H32" s="8"/>
      <x:c r="I32" s="8" t="s">
        <x:v>1342</x:v>
      </x:c>
      <x:c r="J32" s="8" t="s">
        <x:v>1195</x:v>
      </x:c>
      <x:c r="K32" s="8" t="s">
        <x:v>56</x:v>
      </x:c>
      <x:c r="L32" s="8"/>
    </x:row>
    <x:row r="33" ht="66" customHeight="1">
      <x:c r="A33" s="6" t="s">
        <x:v>1352</x:v>
      </x:c>
      <x:c r="B33" s="6" t="s">
        <x:v>1353</x:v>
      </x:c>
      <x:c r="C33" s="6" t="s">
        <x:v>1354</x:v>
      </x:c>
      <x:c r="D33" s="6" t="s">
        <x:v>1088</x:v>
      </x:c>
      <x:c r="E33" s="6"/>
      <x:c r="F33" s="6" t="s">
        <x:v>1355</x:v>
      </x:c>
      <x:c r="G33" s="6" t="s">
        <x:v>1193</x:v>
      </x:c>
      <x:c r="H33" s="6"/>
      <x:c r="I33" s="6" t="s">
        <x:v>1356</x:v>
      </x:c>
      <x:c r="J33" s="6" t="s">
        <x:v>1195</x:v>
      </x:c>
      <x:c r="K33" s="6" t="s">
        <x:v>56</x:v>
      </x:c>
      <x:c r="L33" s="6"/>
    </x:row>
    <x:row r="34" ht="66" customHeight="1">
      <x:c r="A34" s="8" t="s">
        <x:v>1357</x:v>
      </x:c>
      <x:c r="B34" s="8" t="s">
        <x:v>1358</x:v>
      </x:c>
      <x:c r="C34" s="8" t="s">
        <x:v>1359</x:v>
      </x:c>
      <x:c r="D34" s="8" t="s">
        <x:v>1360</x:v>
      </x:c>
      <x:c r="E34" s="8"/>
      <x:c r="F34" s="8" t="s">
        <x:v>1361</x:v>
      </x:c>
      <x:c r="G34" s="8" t="s">
        <x:v>1260</x:v>
      </x:c>
      <x:c r="H34" s="8" t="s">
        <x:v>1362</x:v>
      </x:c>
      <x:c r="I34" s="8" t="s">
        <x:v>1363</x:v>
      </x:c>
      <x:c r="J34" s="8" t="s">
        <x:v>1364</x:v>
      </x:c>
      <x:c r="K34" s="8" t="s">
        <x:v>56</x:v>
      </x:c>
      <x:c r="L34" s="8"/>
    </x:row>
    <x:row r="35" ht="66" customHeight="1">
      <x:c r="A35" s="6" t="s">
        <x:v>823</x:v>
      </x:c>
      <x:c r="B35" s="6" t="s">
        <x:v>1365</x:v>
      </x:c>
      <x:c r="C35" s="6" t="s">
        <x:v>1366</x:v>
      </x:c>
      <x:c r="D35" s="6" t="s">
        <x:v>1367</x:v>
      </x:c>
      <x:c r="E35" s="6" t="s">
        <x:v>939</x:v>
      </x:c>
      <x:c r="F35" s="6" t="s">
        <x:v>1368</x:v>
      </x:c>
      <x:c r="G35" s="6" t="s">
        <x:v>1193</x:v>
      </x:c>
      <x:c r="H35" s="6"/>
      <x:c r="I35" s="6" t="s">
        <x:v>1342</x:v>
      </x:c>
      <x:c r="J35" s="6" t="s">
        <x:v>1369</x:v>
      </x:c>
      <x:c r="K35" s="6" t="s">
        <x:v>56</x:v>
      </x:c>
      <x:c r="L35" s="6"/>
    </x:row>
    <x:row r="36" ht="66" customHeight="1">
      <x:c r="A36" s="8" t="s">
        <x:v>1370</x:v>
      </x:c>
      <x:c r="B36" s="8" t="s">
        <x:v>1371</x:v>
      </x:c>
      <x:c r="C36" s="8" t="s">
        <x:v>1372</x:v>
      </x:c>
      <x:c r="D36" s="8" t="s">
        <x:v>1373</x:v>
      </x:c>
      <x:c r="E36" s="8" t="s">
        <x:v>1374</x:v>
      </x:c>
      <x:c r="F36" s="8" t="s">
        <x:v>1375</x:v>
      </x:c>
      <x:c r="G36" s="8" t="s">
        <x:v>1193</x:v>
      </x:c>
      <x:c r="H36" s="8"/>
      <x:c r="I36" s="8" t="s">
        <x:v>1342</x:v>
      </x:c>
      <x:c r="J36" s="8" t="s">
        <x:v>1376</x:v>
      </x:c>
      <x:c r="K36" s="8" t="s">
        <x:v>56</x:v>
      </x:c>
      <x:c r="L36" s="8"/>
    </x:row>
    <x:row r="37" ht="66" customHeight="1">
      <x:c r="A37" s="6" t="s">
        <x:v>1000</x:v>
      </x:c>
      <x:c r="B37" s="6" t="s">
        <x:v>1377</x:v>
      </x:c>
      <x:c r="C37" s="6" t="s">
        <x:v>1378</x:v>
      </x:c>
      <x:c r="D37" s="6" t="s">
        <x:v>1379</x:v>
      </x:c>
      <x:c r="E37" s="6"/>
      <x:c r="F37" s="6" t="s">
        <x:v>1380</x:v>
      </x:c>
      <x:c r="G37" s="6" t="s">
        <x:v>1260</x:v>
      </x:c>
      <x:c r="H37" s="6" t="s">
        <x:v>1201</x:v>
      </x:c>
      <x:c r="I37" s="6" t="s">
        <x:v>1285</x:v>
      </x:c>
      <x:c r="J37" s="6" t="s">
        <x:v>1381</x:v>
      </x:c>
      <x:c r="K37" s="6" t="s">
        <x:v>56</x:v>
      </x:c>
      <x:c r="L37" s="6"/>
    </x:row>
    <x:row r="38" ht="66" customHeight="1">
      <x:c r="A38" s="8" t="s">
        <x:v>1079</x:v>
      </x:c>
      <x:c r="B38" s="8" t="s">
        <x:v>1382</x:v>
      </x:c>
      <x:c r="C38" s="8" t="s">
        <x:v>1383</x:v>
      </x:c>
      <x:c r="D38" s="8" t="s">
        <x:v>1384</x:v>
      </x:c>
      <x:c r="E38" s="8"/>
      <x:c r="F38" s="8" t="s">
        <x:v>1244</x:v>
      </x:c>
      <x:c r="G38" s="8" t="s">
        <x:v>1193</x:v>
      </x:c>
      <x:c r="H38" s="8" t="s">
        <x:v>1201</x:v>
      </x:c>
      <x:c r="I38" s="8" t="s">
        <x:v>1385</x:v>
      </x:c>
      <x:c r="J38" s="8" t="s">
        <x:v>1386</x:v>
      </x:c>
      <x:c r="K38" s="8" t="s">
        <x:v>56</x:v>
      </x:c>
      <x:c r="L38" s="8"/>
    </x:row>
    <x:row r="39" ht="66" customHeight="1">
      <x:c r="A39" s="6" t="s">
        <x:v>1052</x:v>
      </x:c>
      <x:c r="B39" s="6" t="s">
        <x:v>1387</x:v>
      </x:c>
      <x:c r="C39" s="6" t="s">
        <x:v>1388</x:v>
      </x:c>
      <x:c r="D39" s="6" t="s">
        <x:v>1389</x:v>
      </x:c>
      <x:c r="E39" s="6"/>
      <x:c r="F39" s="6" t="s">
        <x:v>1390</x:v>
      </x:c>
      <x:c r="G39" s="6" t="s">
        <x:v>1193</x:v>
      </x:c>
      <x:c r="H39" s="6" t="s">
        <x:v>1201</x:v>
      </x:c>
      <x:c r="I39" s="6" t="s">
        <x:v>1391</x:v>
      </x:c>
      <x:c r="J39" s="6" t="s">
        <x:v>1392</x:v>
      </x:c>
      <x:c r="K39" s="6" t="s">
        <x:v>56</x:v>
      </x:c>
      <x:c r="L39" s="6"/>
    </x:row>
    <x:row r="40" ht="66" customHeight="1">
      <x:c r="A40" s="8" t="s">
        <x:v>1393</x:v>
      </x:c>
      <x:c r="B40" s="8" t="s">
        <x:v>1394</x:v>
      </x:c>
      <x:c r="C40" s="8" t="s">
        <x:v>1395</x:v>
      </x:c>
      <x:c r="D40" s="8" t="s">
        <x:v>1396</x:v>
      </x:c>
      <x:c r="E40" s="8"/>
      <x:c r="F40" s="8" t="s">
        <x:v>1397</x:v>
      </x:c>
      <x:c r="G40" s="8" t="s">
        <x:v>1193</x:v>
      </x:c>
      <x:c r="H40" s="8"/>
      <x:c r="I40" s="8" t="s">
        <x:v>1279</x:v>
      </x:c>
      <x:c r="J40" s="8" t="s">
        <x:v>1195</x:v>
      </x:c>
      <x:c r="K40" s="8" t="s">
        <x:v>56</x:v>
      </x:c>
      <x:c r="L40" s="8"/>
    </x:row>
    <x:row r="41" ht="66" customHeight="1">
      <x:c r="A41" s="6" t="s">
        <x:v>1398</x:v>
      </x:c>
      <x:c r="B41" s="6" t="s">
        <x:v>1399</x:v>
      </x:c>
      <x:c r="C41" s="6" t="s">
        <x:v>1400</x:v>
      </x:c>
      <x:c r="D41" s="6" t="s">
        <x:v>1401</x:v>
      </x:c>
      <x:c r="E41" s="6" t="s">
        <x:v>1402</x:v>
      </x:c>
      <x:c r="F41" s="6" t="s">
        <x:v>1403</x:v>
      </x:c>
      <x:c r="G41" s="6" t="s">
        <x:v>1404</x:v>
      </x:c>
      <x:c r="H41" s="6" t="s">
        <x:v>1271</x:v>
      </x:c>
      <x:c r="I41" s="6" t="s">
        <x:v>1262</x:v>
      </x:c>
      <x:c r="J41" s="6" t="s">
        <x:v>1405</x:v>
      </x:c>
      <x:c r="K41" s="6" t="s">
        <x:v>56</x:v>
      </x:c>
      <x:c r="L41" s="6"/>
    </x:row>
    <x:row r="42" ht="66" customHeight="1">
      <x:c r="A42" s="8" t="s">
        <x:v>1406</x:v>
      </x:c>
      <x:c r="B42" s="8" t="s">
        <x:v>1407</x:v>
      </x:c>
      <x:c r="C42" s="8" t="s">
        <x:v>1408</x:v>
      </x:c>
      <x:c r="D42" s="8"/>
      <x:c r="E42" s="8" t="s">
        <x:v>1409</x:v>
      </x:c>
      <x:c r="F42" s="8" t="s">
        <x:v>1410</x:v>
      </x:c>
      <x:c r="G42" s="8" t="s">
        <x:v>1411</x:v>
      </x:c>
      <x:c r="H42" s="8" t="s">
        <x:v>1271</x:v>
      </x:c>
      <x:c r="I42" s="8" t="s">
        <x:v>1412</x:v>
      </x:c>
      <x:c r="J42" s="8" t="s">
        <x:v>1413</x:v>
      </x:c>
      <x:c r="K42" s="8" t="s">
        <x:v>56</x:v>
      </x:c>
      <x:c r="L42" s="8"/>
    </x:row>
    <x:row r="43" ht="66" customHeight="1">
      <x:c r="A43" s="6" t="s">
        <x:v>1414</x:v>
      </x:c>
      <x:c r="B43" s="6" t="s">
        <x:v>1415</x:v>
      </x:c>
      <x:c r="C43" s="6" t="s">
        <x:v>1416</x:v>
      </x:c>
      <x:c r="D43" s="6" t="s">
        <x:v>1417</x:v>
      </x:c>
      <x:c r="E43" s="6"/>
      <x:c r="F43" s="6" t="s">
        <x:v>1418</x:v>
      </x:c>
      <x:c r="G43" s="6" t="s">
        <x:v>1419</x:v>
      </x:c>
      <x:c r="H43" s="6" t="s">
        <x:v>1420</x:v>
      </x:c>
      <x:c r="I43" s="6" t="s">
        <x:v>1421</x:v>
      </x:c>
      <x:c r="J43" s="6" t="s">
        <x:v>1422</x:v>
      </x:c>
      <x:c r="K43" s="6" t="s">
        <x:v>56</x:v>
      </x:c>
      <x:c r="L43" s="6"/>
    </x:row>
    <x:row r="44" ht="66" customHeight="1">
      <x:c r="A44" s="8" t="s">
        <x:v>1423</x:v>
      </x:c>
      <x:c r="B44" s="8" t="s">
        <x:v>1424</x:v>
      </x:c>
      <x:c r="C44" s="8" t="s">
        <x:v>1425</x:v>
      </x:c>
      <x:c r="D44" s="8" t="s">
        <x:v>1426</x:v>
      </x:c>
      <x:c r="E44" s="8"/>
      <x:c r="F44" s="8" t="s">
        <x:v>1427</x:v>
      </x:c>
      <x:c r="G44" s="8" t="s">
        <x:v>1428</x:v>
      </x:c>
      <x:c r="H44" s="8"/>
      <x:c r="I44" s="8" t="s">
        <x:v>1429</x:v>
      </x:c>
      <x:c r="J44" s="8" t="s">
        <x:v>1430</x:v>
      </x:c>
      <x:c r="K44" s="8" t="s">
        <x:v>56</x:v>
      </x:c>
      <x:c r="L44" s="8"/>
    </x:row>
    <x:row r="45" ht="66" customHeight="1">
      <x:c r="A45" s="6" t="s">
        <x:v>1431</x:v>
      </x:c>
      <x:c r="B45" s="6" t="s">
        <x:v>1432</x:v>
      </x:c>
      <x:c r="C45" s="6" t="s">
        <x:v>1433</x:v>
      </x:c>
      <x:c r="D45" s="6" t="s">
        <x:v>1434</x:v>
      </x:c>
      <x:c r="E45" s="6" t="s">
        <x:v>611</x:v>
      </x:c>
      <x:c r="F45" s="6" t="s">
        <x:v>1435</x:v>
      </x:c>
      <x:c r="G45" s="6" t="s">
        <x:v>1316</x:v>
      </x:c>
      <x:c r="H45" s="6" t="s">
        <x:v>1271</x:v>
      </x:c>
      <x:c r="I45" s="6" t="s">
        <x:v>1304</x:v>
      </x:c>
      <x:c r="J45" s="6" t="str">
        <x:v>Aplicar P4-CNT-015/P4-CNT-006; aging/mora y C se mantienen separados. Para precedencia y mapeos documentales TC/CMF usar M04-RGL-044; no duplicar lógica documental dentro del motor de ciclo.</x:v>
      </x:c>
      <x:c r="K45" s="6" t="s">
        <x:v>56</x:v>
      </x:c>
      <x:c r="L45" s="6"/>
    </x:row>
    <x:row r="46" ht="66" customHeight="1">
      <x:c r="A46" s="8" t="s">
        <x:v>748</x:v>
      </x:c>
      <x:c r="B46" s="8" t="s">
        <x:v>1436</x:v>
      </x:c>
      <x:c r="C46" s="8" t="s">
        <x:v>1437</x:v>
      </x:c>
      <x:c r="D46" s="8" t="s">
        <x:v>1438</x:v>
      </x:c>
      <x:c r="E46" s="8"/>
      <x:c r="F46" s="8" t="s">
        <x:v>1439</x:v>
      </x:c>
      <x:c r="G46" s="8" t="s">
        <x:v>1193</x:v>
      </x:c>
      <x:c r="H46" s="8"/>
      <x:c r="I46" s="8" t="s">
        <x:v>1279</x:v>
      </x:c>
      <x:c r="J46" s="8" t="s">
        <x:v>1195</x:v>
      </x:c>
      <x:c r="K46" s="8" t="s">
        <x:v>56</x:v>
      </x:c>
      <x:c r="L46" s="8"/>
    </x:row>
    <x:row r="47" ht="66" customHeight="1">
      <x:c r="A47" s="6" t="s">
        <x:v>1440</x:v>
      </x:c>
      <x:c r="B47" s="6" t="s">
        <x:v>1441</x:v>
      </x:c>
      <x:c r="C47" s="6" t="s">
        <x:v>1442</x:v>
      </x:c>
      <x:c r="D47" s="6" t="s">
        <x:v>1443</x:v>
      </x:c>
      <x:c r="E47" s="6"/>
      <x:c r="F47" s="6" t="s">
        <x:v>1239</x:v>
      </x:c>
      <x:c r="G47" s="6" t="s">
        <x:v>1193</x:v>
      </x:c>
      <x:c r="H47" s="6"/>
      <x:c r="I47" s="6" t="s">
        <x:v>1214</x:v>
      </x:c>
      <x:c r="J47" s="6" t="s">
        <x:v>1195</x:v>
      </x:c>
      <x:c r="K47" s="6" t="s">
        <x:v>56</x:v>
      </x:c>
      <x:c r="L47" s="6"/>
    </x:row>
    <x:row r="48" ht="54" customHeight="1">
      <x:c r="A48" s="67" t="str">
        <x:v>M04-RGL-044</x:v>
      </x:c>
      <x:c r="B48" s="67" t="str">
        <x:v>Precedencia y mapeo TC/CMF</x:v>
      </x:c>
      <x:c r="C48" s="67" t="str">
        <x:v>Precedencia documental vigente: para Tarjeta de Crédito con estado de cuenta disponible, el estado de cuenta tiene prioridad por mayor granularidad; CMF actúa como complemento/fallback. Para deudas no-TC, el Informe CMF es fuente documental principal salvo una fuente específica más precisa. Mapeos vigentes: TC saldo actual = monto total facturado a pagar; saldo inicial = deuda total/cupo utilizado/campo equivalente con label contextual; último pago = monto pagado del período anterior y fecha exacta solo con evidencia coincidente. Para no-TC CMF: monto actual→saldo actual, monto original→saldo inicial y carga financiera→cuota referencial.</x:v>
      </x:c>
      <x:c r="D48" s="67" t="str">
        <x:v>TR-M04-049, TR-M04-075, TR-M04-076, TR-M04-080, TR-M04-082, TR-M04-088</x:v>
      </x:c>
      <x:c r="E48" s="67" t="str">
        <x:v>P4-CNT-015; P4-CNT-024</x:v>
      </x:c>
      <x:c r="F48" s="67" t="str">
        <x:v>M04-TC-CMF</x:v>
      </x:c>
      <x:c r="G48" s="67" t="str">
        <x:v>Cerrada / Producto aprobada vigente</x:v>
      </x:c>
      <x:c r="H48" s="67" t="str">
        <x:v>FP-09</x:v>
      </x:c>
      <x:c r="I48" s="67" t="str">
        <x:v>§5/§6</x:v>
      </x:c>
      <x:c r="J48" s="67" t="str">
        <x:v>Aplicar mapeos sin duplicar el mismo hecho económico ni presentar CMF/SFA como integración activa.</x:v>
      </x:c>
      <x:c r="K48" s="67" t="str">
        <x:v>Pendiente de validación</x:v>
      </x:c>
      <x:c r="L48" s="69"/>
    </x:row>
    <x:row r="49" ht="54" customHeight="1">
      <x:c r="A49" s="69" t="str">
        <x:v>M04-RGL-045</x:v>
      </x:c>
      <x:c r="B49" s="69" t="str">
        <x:v>Mora CMF bajo P4/Salud</x:v>
      </x:c>
      <x:c r="C49" s="69" t="str">
        <x:v>La mora informada por CMF alimenta aging, Deterioro y Salud bajo el contrato vigente. No activa Ruta Despeje automáticamente ni conserva escalamiento S0–S4. Su efecto en Presión se resuelve mediante P4/C×K×D y su efecto en Salud mediante P4-CNT-016/017, preservando provenance y evitando doble conteo.</x:v>
      </x:c>
      <x:c r="D49" s="69" t="str">
        <x:v>TR-M04-049</x:v>
      </x:c>
      <x:c r="E49" s="69" t="str">
        <x:v>P4-CNT-006; P4-CNT-016; P4-CNT-017; P4-CNT-024</x:v>
      </x:c>
      <x:c r="F49" s="69" t="str">
        <x:v>M04-TC-CMF</x:v>
      </x:c>
      <x:c r="G49" s="69" t="str">
        <x:v>Cerrada / Producto aprobada vigente</x:v>
      </x:c>
      <x:c r="H49" s="69" t="str">
        <x:v>FP-01; FP-02; FP-09</x:v>
      </x:c>
      <x:c r="I49" s="69" t="str">
        <x:v>§6/§7</x:v>
      </x:c>
      <x:c r="J49" s="69" t="str">
        <x:v>M06 conserva ownership operacional de aging/pagos cuando corresponda; M04 consume la evidencia para lectura financiera.</x:v>
      </x:c>
      <x:c r="K49" s="69" t="str">
        <x:v>Pendiente de validación</x:v>
      </x:c>
      <x:c r="L49" s="69"/>
    </x:row>
  </x:sheetData>
  <x:mergeCells>
    <x:mergeCell ref="A2:K2"/>
    <x:mergeCell ref="A1:K1"/>
  </x:mergeCells>
  <x:dataValidations count="1">
    <x:dataValidation type="list" sqref="K5:K47">
      <x:formula1>"Pendiente de validación,Aprobado,Ajustar,Diferido,No aplica"</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customWidth="1"/>
    <x:col min="2" max="2" width="24" customWidth="1"/>
    <x:col min="3" max="3" width="48" customWidth="1"/>
    <x:col min="4" max="4" width="42" customWidth="1"/>
    <x:col min="5" max="5" width="24" customWidth="1"/>
    <x:col min="6" max="6" width="64" customWidth="1"/>
    <x:col min="7" max="7" width="34" customWidth="1"/>
    <x:col min="8" max="8" width="32" customWidth="1"/>
    <x:col min="9" max="9" width="34" customWidth="1"/>
    <x:col min="10" max="10" width="44" customWidth="1"/>
    <x:col min="11" max="11" width="34" customWidth="1"/>
    <x:col min="12" max="12" width="28" customWidth="1"/>
    <x:col min="13" max="13" width="24" customWidth="1"/>
    <x:col min="14" max="14" width="22" customWidth="1"/>
    <x:col min="15" max="15" width="32" customWidth="1"/>
  </x:cols>
  <x:sheetData>
    <x:row r="1" ht="24.950000762939453" customHeight="1">
      <x:c r="A1" s="12" t="s">
        <x:v>1444</x:v>
      </x:c>
      <x:c r="B1" s="17"/>
      <x:c r="C1" s="17"/>
      <x:c r="D1" s="17"/>
      <x:c r="E1" s="17"/>
      <x:c r="F1" s="17"/>
      <x:c r="G1" s="17"/>
      <x:c r="H1" s="17"/>
      <x:c r="I1" s="17"/>
      <x:c r="J1" s="17"/>
      <x:c r="K1" s="17"/>
      <x:c r="L1" s="17"/>
      <x:c r="M1" s="17"/>
      <x:c r="N1" s="17"/>
      <x:c r="O1" s="18"/>
    </x:row>
    <x:row r="2" ht="32.099998474121094" customHeight="1">
      <x:c r="A2" s="11" t="s">
        <x:v>1445</x:v>
      </x:c>
      <x:c r="B2" s="17"/>
      <x:c r="C2" s="17"/>
      <x:c r="D2" s="17"/>
      <x:c r="E2" s="17"/>
      <x:c r="F2" s="17"/>
      <x:c r="G2" s="17"/>
      <x:c r="H2" s="17"/>
      <x:c r="I2" s="17"/>
      <x:c r="J2" s="17"/>
      <x:c r="K2" s="17"/>
      <x:c r="L2" s="17"/>
      <x:c r="M2" s="17"/>
      <x:c r="N2" s="17"/>
      <x:c r="O2" s="18"/>
    </x:row>
    <x:row r="4" ht="33.95000076293945" customHeight="1">
      <x:c r="A4" s="1" t="s">
        <x:v>1446</x:v>
      </x:c>
      <x:c r="B4" s="1" t="s">
        <x:v>1447</x:v>
      </x:c>
      <x:c r="C4" s="1" t="s">
        <x:v>1182</x:v>
      </x:c>
      <x:c r="D4" s="1" t="s">
        <x:v>1448</x:v>
      </x:c>
      <x:c r="E4" s="1" t="s">
        <x:v>1449</x:v>
      </x:c>
      <x:c r="F4" s="1" t="s">
        <x:v>1450</x:v>
      </x:c>
      <x:c r="G4" s="1" t="s">
        <x:v>1451</x:v>
      </x:c>
      <x:c r="H4" s="1" t="s">
        <x:v>1452</x:v>
      </x:c>
      <x:c r="I4" s="1" t="s">
        <x:v>1453</x:v>
      </x:c>
      <x:c r="J4" s="1" t="s">
        <x:v>1454</x:v>
      </x:c>
      <x:c r="K4" s="1" t="s">
        <x:v>1455</x:v>
      </x:c>
      <x:c r="L4" s="1" t="s">
        <x:v>1456</x:v>
      </x:c>
      <x:c r="M4" s="1" t="s">
        <x:v>1457</x:v>
      </x:c>
      <x:c r="N4" s="1" t="s">
        <x:v>36</x:v>
      </x:c>
      <x:c r="O4" s="1" t="s">
        <x:v>38</x:v>
      </x:c>
    </x:row>
    <x:row r="5" ht="87.94999694824219" customHeight="1">
      <x:c r="A5" s="6" t="s">
        <x:v>392</x:v>
      </x:c>
      <x:c r="B5" s="6" t="s">
        <x:v>1458</x:v>
      </x:c>
      <x:c r="C5" s="6" t="s">
        <x:v>1459</x:v>
      </x:c>
      <x:c r="D5" s="6" t="s">
        <x:v>1460</x:v>
      </x:c>
      <x:c r="E5" s="6" t="s">
        <x:v>1461</x:v>
      </x:c>
      <x:c r="F5" s="6" t="s">
        <x:v>1462</x:v>
      </x:c>
      <x:c r="G5" s="6" t="s">
        <x:v>1463</x:v>
      </x:c>
      <x:c r="H5" s="6" t="s">
        <x:v>1464</x:v>
      </x:c>
      <x:c r="I5" s="6" t="s">
        <x:v>1465</x:v>
      </x:c>
      <x:c r="J5" s="6" t="s">
        <x:v>1466</x:v>
      </x:c>
      <x:c r="K5" s="6" t="s">
        <x:v>1467</x:v>
      </x:c>
      <x:c r="L5" s="6" t="s">
        <x:v>1468</x:v>
      </x:c>
      <x:c r="M5" s="6" t="s">
        <x:v>114</x:v>
      </x:c>
      <x:c r="N5" s="6" t="s">
        <x:v>56</x:v>
      </x:c>
      <x:c r="O5" s="6"/>
    </x:row>
    <x:row r="6" ht="87.94999694824219" customHeight="1">
      <x:c r="A6" s="8" t="s">
        <x:v>1469</x:v>
      </x:c>
      <x:c r="B6" s="8" t="s">
        <x:v>1470</x:v>
      </x:c>
      <x:c r="C6" s="8" t="s">
        <x:v>1471</x:v>
      </x:c>
      <x:c r="D6" s="8" t="s">
        <x:v>1472</x:v>
      </x:c>
      <x:c r="E6" s="8" t="s">
        <x:v>1473</x:v>
      </x:c>
      <x:c r="F6" s="8" t="s">
        <x:v>1474</x:v>
      </x:c>
      <x:c r="G6" s="8" t="s">
        <x:v>1475</x:v>
      </x:c>
      <x:c r="H6" s="8" t="s">
        <x:v>1476</x:v>
      </x:c>
      <x:c r="I6" s="8" t="s">
        <x:v>1477</x:v>
      </x:c>
      <x:c r="J6" s="8" t="s">
        <x:v>1478</x:v>
      </x:c>
      <x:c r="K6" s="8" t="s">
        <x:v>1479</x:v>
      </x:c>
      <x:c r="L6" s="8" t="s">
        <x:v>1480</x:v>
      </x:c>
      <x:c r="M6" s="8" t="s">
        <x:v>114</x:v>
      </x:c>
      <x:c r="N6" s="8" t="s">
        <x:v>56</x:v>
      </x:c>
      <x:c r="O6" s="8"/>
    </x:row>
    <x:row r="7" ht="87.94999694824219" customHeight="1">
      <x:c r="A7" s="6" t="s">
        <x:v>1481</x:v>
      </x:c>
      <x:c r="B7" s="6" t="s">
        <x:v>1482</x:v>
      </x:c>
      <x:c r="C7" s="6" t="s">
        <x:v>1483</x:v>
      </x:c>
      <x:c r="D7" s="6" t="s">
        <x:v>1484</x:v>
      </x:c>
      <x:c r="E7" s="6" t="s">
        <x:v>47</x:v>
      </x:c>
      <x:c r="F7" s="6" t="s">
        <x:v>1485</x:v>
      </x:c>
      <x:c r="G7" s="6" t="s">
        <x:v>1486</x:v>
      </x:c>
      <x:c r="H7" s="6" t="s">
        <x:v>1487</x:v>
      </x:c>
      <x:c r="I7" s="6" t="s">
        <x:v>1488</x:v>
      </x:c>
      <x:c r="J7" s="6" t="s">
        <x:v>1489</x:v>
      </x:c>
      <x:c r="K7" s="6" t="s">
        <x:v>1469</x:v>
      </x:c>
      <x:c r="L7" s="6" t="s">
        <x:v>1490</x:v>
      </x:c>
      <x:c r="M7" s="6" t="s">
        <x:v>114</x:v>
      </x:c>
      <x:c r="N7" s="6" t="s">
        <x:v>56</x:v>
      </x:c>
      <x:c r="O7" s="6"/>
    </x:row>
    <x:row r="8" ht="87.94999694824219" customHeight="1">
      <x:c r="A8" s="8" t="s">
        <x:v>884</x:v>
      </x:c>
      <x:c r="B8" s="8" t="s">
        <x:v>1491</x:v>
      </x:c>
      <x:c r="C8" s="8" t="s">
        <x:v>1492</x:v>
      </x:c>
      <x:c r="D8" s="8" t="s">
        <x:v>1493</x:v>
      </x:c>
      <x:c r="E8" s="8" t="s">
        <x:v>1494</x:v>
      </x:c>
      <x:c r="F8" s="8" t="s">
        <x:v>1495</x:v>
      </x:c>
      <x:c r="G8" s="8" t="s">
        <x:v>1496</x:v>
      </x:c>
      <x:c r="H8" s="8" t="s">
        <x:v>1497</x:v>
      </x:c>
      <x:c r="I8" s="8" t="s">
        <x:v>1498</x:v>
      </x:c>
      <x:c r="J8" s="8" t="s">
        <x:v>1499</x:v>
      </x:c>
      <x:c r="K8" s="8" t="s">
        <x:v>1500</x:v>
      </x:c>
      <x:c r="L8" s="8" t="s">
        <x:v>1501</x:v>
      </x:c>
      <x:c r="M8" s="8" t="s">
        <x:v>1502</x:v>
      </x:c>
      <x:c r="N8" s="8" t="s">
        <x:v>56</x:v>
      </x:c>
      <x:c r="O8" s="8"/>
    </x:row>
    <x:row r="9" ht="87.94999694824219" customHeight="1">
      <x:c r="A9" s="6" t="s">
        <x:v>1503</x:v>
      </x:c>
      <x:c r="B9" s="6" t="s">
        <x:v>1504</x:v>
      </x:c>
      <x:c r="C9" s="6" t="s">
        <x:v>1505</x:v>
      </x:c>
      <x:c r="D9" s="6" t="s">
        <x:v>1506</x:v>
      </x:c>
      <x:c r="E9" s="6" t="s">
        <x:v>1507</x:v>
      </x:c>
      <x:c r="F9" s="6" t="s">
        <x:v>1508</x:v>
      </x:c>
      <x:c r="G9" s="6" t="s">
        <x:v>1509</x:v>
      </x:c>
      <x:c r="H9" s="6" t="s">
        <x:v>1510</x:v>
      </x:c>
      <x:c r="I9" s="6" t="s">
        <x:v>1511</x:v>
      </x:c>
      <x:c r="J9" s="6" t="s">
        <x:v>1512</x:v>
      </x:c>
      <x:c r="K9" s="6" t="s">
        <x:v>884</x:v>
      </x:c>
      <x:c r="L9" s="6" t="s">
        <x:v>1513</x:v>
      </x:c>
      <x:c r="M9" s="6" t="s">
        <x:v>114</x:v>
      </x:c>
      <x:c r="N9" s="6" t="s">
        <x:v>56</x:v>
      </x:c>
      <x:c r="O9" s="6"/>
    </x:row>
    <x:row r="10" ht="87.94999694824219" customHeight="1">
      <x:c r="A10" s="8" t="s">
        <x:v>1514</x:v>
      </x:c>
      <x:c r="B10" s="8" t="s">
        <x:v>1515</x:v>
      </x:c>
      <x:c r="C10" s="8" t="s">
        <x:v>1516</x:v>
      </x:c>
      <x:c r="D10" s="8" t="s">
        <x:v>1517</x:v>
      </x:c>
      <x:c r="E10" s="8" t="s">
        <x:v>1518</x:v>
      </x:c>
      <x:c r="F10" s="8" t="s">
        <x:v>1519</x:v>
      </x:c>
      <x:c r="G10" s="8" t="s">
        <x:v>1520</x:v>
      </x:c>
      <x:c r="H10" s="8" t="s">
        <x:v>1521</x:v>
      </x:c>
      <x:c r="I10" s="8" t="s">
        <x:v>1522</x:v>
      </x:c>
      <x:c r="J10" s="8" t="s">
        <x:v>1523</x:v>
      </x:c>
      <x:c r="K10" s="8" t="s">
        <x:v>1524</x:v>
      </x:c>
      <x:c r="L10" s="8" t="s">
        <x:v>1525</x:v>
      </x:c>
      <x:c r="M10" s="8" t="s">
        <x:v>114</x:v>
      </x:c>
      <x:c r="N10" s="8" t="s">
        <x:v>56</x:v>
      </x:c>
      <x:c r="O10" s="8"/>
    </x:row>
    <x:row r="11" ht="87.94999694824219" customHeight="1">
      <x:c r="A11" s="6" t="s">
        <x:v>422</x:v>
      </x:c>
      <x:c r="B11" s="6" t="s">
        <x:v>1526</x:v>
      </x:c>
      <x:c r="C11" s="6" t="s">
        <x:v>1527</x:v>
      </x:c>
      <x:c r="D11" s="6" t="s">
        <x:v>1528</x:v>
      </x:c>
      <x:c r="E11" s="6" t="s">
        <x:v>47</x:v>
      </x:c>
      <x:c r="F11" s="6" t="s">
        <x:v>1529</x:v>
      </x:c>
      <x:c r="G11" s="6" t="s">
        <x:v>1530</x:v>
      </x:c>
      <x:c r="H11" s="6" t="s">
        <x:v>1531</x:v>
      </x:c>
      <x:c r="I11" s="6" t="s">
        <x:v>653</x:v>
      </x:c>
      <x:c r="J11" s="6" t="s">
        <x:v>1532</x:v>
      </x:c>
      <x:c r="K11" s="6" t="s">
        <x:v>1533</x:v>
      </x:c>
      <x:c r="L11" s="6" t="s">
        <x:v>1480</x:v>
      </x:c>
      <x:c r="M11" s="6" t="s">
        <x:v>1534</x:v>
      </x:c>
      <x:c r="N11" s="6" t="s">
        <x:v>56</x:v>
      </x:c>
      <x:c r="O11" s="6"/>
    </x:row>
    <x:row r="12" ht="87.94999694824219" customHeight="1">
      <x:c r="A12" s="8" t="s">
        <x:v>1535</x:v>
      </x:c>
      <x:c r="B12" s="8" t="s">
        <x:v>1536</x:v>
      </x:c>
      <x:c r="C12" s="8" t="s">
        <x:v>1537</x:v>
      </x:c>
      <x:c r="D12" s="8" t="s">
        <x:v>1538</x:v>
      </x:c>
      <x:c r="E12" s="8" t="s">
        <x:v>47</x:v>
      </x:c>
      <x:c r="F12" s="8" t="s">
        <x:v>1539</x:v>
      </x:c>
      <x:c r="G12" s="8" t="s">
        <x:v>1540</x:v>
      </x:c>
      <x:c r="H12" s="8" t="s">
        <x:v>1541</x:v>
      </x:c>
      <x:c r="I12" s="8" t="s">
        <x:v>1542</x:v>
      </x:c>
      <x:c r="J12" s="8" t="s">
        <x:v>1543</x:v>
      </x:c>
      <x:c r="K12" s="8" t="s">
        <x:v>1544</x:v>
      </x:c>
      <x:c r="L12" s="8" t="s">
        <x:v>1545</x:v>
      </x:c>
      <x:c r="M12" s="8" t="s">
        <x:v>1534</x:v>
      </x:c>
      <x:c r="N12" s="8" t="s">
        <x:v>56</x:v>
      </x:c>
      <x:c r="O12" s="8"/>
    </x:row>
    <x:row r="13" ht="87.94999694824219" customHeight="1">
      <x:c r="A13" s="6" t="s">
        <x:v>565</x:v>
      </x:c>
      <x:c r="B13" s="6" t="s">
        <x:v>1546</x:v>
      </x:c>
      <x:c r="C13" s="6" t="s">
        <x:v>1547</x:v>
      </x:c>
      <x:c r="D13" s="6" t="s">
        <x:v>1548</x:v>
      </x:c>
      <x:c r="E13" s="6" t="s">
        <x:v>1549</x:v>
      </x:c>
      <x:c r="F13" s="6" t="s">
        <x:v>1550</x:v>
      </x:c>
      <x:c r="G13" s="6" t="s">
        <x:v>1551</x:v>
      </x:c>
      <x:c r="H13" s="6" t="s">
        <x:v>1552</x:v>
      </x:c>
      <x:c r="I13" s="6" t="s">
        <x:v>1553</x:v>
      </x:c>
      <x:c r="J13" s="6" t="s">
        <x:v>1554</x:v>
      </x:c>
      <x:c r="K13" s="6" t="s">
        <x:v>1555</x:v>
      </x:c>
      <x:c r="L13" s="6" t="s">
        <x:v>1556</x:v>
      </x:c>
      <x:c r="M13" s="6" t="s">
        <x:v>114</x:v>
      </x:c>
      <x:c r="N13" s="6" t="s">
        <x:v>56</x:v>
      </x:c>
      <x:c r="O13" s="6"/>
    </x:row>
    <x:row r="14" ht="87.94999694824219" customHeight="1">
      <x:c r="A14" s="8" t="s">
        <x:v>1557</x:v>
      </x:c>
      <x:c r="B14" s="8" t="s">
        <x:v>1558</x:v>
      </x:c>
      <x:c r="C14" s="8" t="s">
        <x:v>1559</x:v>
      </x:c>
      <x:c r="D14" s="8" t="s">
        <x:v>1560</x:v>
      </x:c>
      <x:c r="E14" s="8" t="s">
        <x:v>1561</x:v>
      </x:c>
      <x:c r="F14" s="8" t="s">
        <x:v>1562</x:v>
      </x:c>
      <x:c r="G14" s="8" t="s">
        <x:v>1563</x:v>
      </x:c>
      <x:c r="H14" s="8" t="s">
        <x:v>1564</x:v>
      </x:c>
      <x:c r="I14" s="8" t="s">
        <x:v>1565</x:v>
      </x:c>
      <x:c r="J14" s="8" t="s">
        <x:v>1566</x:v>
      </x:c>
      <x:c r="K14" s="8" t="s">
        <x:v>1567</x:v>
      </x:c>
      <x:c r="L14" s="8" t="s">
        <x:v>1568</x:v>
      </x:c>
      <x:c r="M14" s="8" t="s">
        <x:v>114</x:v>
      </x:c>
      <x:c r="N14" s="8" t="s">
        <x:v>56</x:v>
      </x:c>
      <x:c r="O14" s="8"/>
    </x:row>
    <x:row r="15" ht="87.94999694824219" customHeight="1">
      <x:c r="A15" s="6" t="s">
        <x:v>590</x:v>
      </x:c>
      <x:c r="B15" s="6" t="s">
        <x:v>1569</x:v>
      </x:c>
      <x:c r="C15" s="6" t="s">
        <x:v>1570</x:v>
      </x:c>
      <x:c r="D15" s="6" t="s">
        <x:v>1571</x:v>
      </x:c>
      <x:c r="E15" s="6" t="s">
        <x:v>1572</x:v>
      </x:c>
      <x:c r="F15" s="6" t="s">
        <x:v>1573</x:v>
      </x:c>
      <x:c r="G15" s="6" t="s">
        <x:v>1574</x:v>
      </x:c>
      <x:c r="H15" s="6" t="s">
        <x:v>1575</x:v>
      </x:c>
      <x:c r="I15" s="6" t="s">
        <x:v>1576</x:v>
      </x:c>
      <x:c r="J15" s="6" t="s">
        <x:v>1577</x:v>
      </x:c>
      <x:c r="K15" s="6" t="s">
        <x:v>1578</x:v>
      </x:c>
      <x:c r="L15" s="6" t="s">
        <x:v>1579</x:v>
      </x:c>
      <x:c r="M15" s="6" t="s">
        <x:v>114</x:v>
      </x:c>
      <x:c r="N15" s="6" t="s">
        <x:v>56</x:v>
      </x:c>
      <x:c r="O15" s="6"/>
    </x:row>
    <x:row r="16" ht="87.94999694824219" customHeight="1">
      <x:c r="A16" s="8" t="s">
        <x:v>602</x:v>
      </x:c>
      <x:c r="B16" s="8" t="s">
        <x:v>1580</x:v>
      </x:c>
      <x:c r="C16" s="8" t="s">
        <x:v>1581</x:v>
      </x:c>
      <x:c r="D16" s="8" t="s">
        <x:v>1582</x:v>
      </x:c>
      <x:c r="E16" s="8" t="s">
        <x:v>47</x:v>
      </x:c>
      <x:c r="F16" s="8" t="s">
        <x:v>1583</x:v>
      </x:c>
      <x:c r="G16" s="8" t="s">
        <x:v>1584</x:v>
      </x:c>
      <x:c r="H16" s="8" t="s">
        <x:v>1585</x:v>
      </x:c>
      <x:c r="I16" s="8" t="s">
        <x:v>1565</x:v>
      </x:c>
      <x:c r="J16" s="8" t="s">
        <x:v>1586</x:v>
      </x:c>
      <x:c r="K16" s="8" t="s">
        <x:v>1587</x:v>
      </x:c>
      <x:c r="L16" s="8" t="s">
        <x:v>1588</x:v>
      </x:c>
      <x:c r="M16" s="8" t="s">
        <x:v>114</x:v>
      </x:c>
      <x:c r="N16" s="8" t="s">
        <x:v>56</x:v>
      </x:c>
      <x:c r="O16" s="8"/>
    </x:row>
    <x:row r="17" ht="87.94999694824219" customHeight="1">
      <x:c r="A17" s="6" t="s">
        <x:v>1589</x:v>
      </x:c>
      <x:c r="B17" s="6" t="s">
        <x:v>1590</x:v>
      </x:c>
      <x:c r="C17" s="6" t="s">
        <x:v>1591</x:v>
      </x:c>
      <x:c r="D17" s="6" t="s">
        <x:v>1592</x:v>
      </x:c>
      <x:c r="E17" s="6" t="s">
        <x:v>47</x:v>
      </x:c>
      <x:c r="F17" s="6" t="s">
        <x:v>1593</x:v>
      </x:c>
      <x:c r="G17" s="6" t="s">
        <x:v>1594</x:v>
      </x:c>
      <x:c r="H17" s="6" t="s">
        <x:v>1595</x:v>
      </x:c>
      <x:c r="I17" s="6" t="s">
        <x:v>1596</x:v>
      </x:c>
      <x:c r="J17" s="6" t="s">
        <x:v>1597</x:v>
      </x:c>
      <x:c r="K17" s="6" t="s">
        <x:v>602</x:v>
      </x:c>
      <x:c r="L17" s="6" t="s">
        <x:v>1598</x:v>
      </x:c>
      <x:c r="M17" s="6" t="s">
        <x:v>114</x:v>
      </x:c>
      <x:c r="N17" s="6" t="s">
        <x:v>56</x:v>
      </x:c>
      <x:c r="O17" s="6"/>
    </x:row>
    <x:row r="18" ht="87.94999694824219" customHeight="1">
      <x:c r="A18" s="8" t="s">
        <x:v>491</x:v>
      </x:c>
      <x:c r="B18" s="8" t="s">
        <x:v>1599</x:v>
      </x:c>
      <x:c r="C18" s="8" t="s">
        <x:v>1600</x:v>
      </x:c>
      <x:c r="D18" s="8" t="s">
        <x:v>1601</x:v>
      </x:c>
      <x:c r="E18" s="8" t="s">
        <x:v>47</x:v>
      </x:c>
      <x:c r="F18" s="8" t="s">
        <x:v>1602</x:v>
      </x:c>
      <x:c r="G18" s="8" t="s">
        <x:v>1603</x:v>
      </x:c>
      <x:c r="H18" s="8" t="s">
        <x:v>1604</x:v>
      </x:c>
      <x:c r="I18" s="8" t="s">
        <x:v>1605</x:v>
      </x:c>
      <x:c r="J18" s="8" t="s">
        <x:v>1606</x:v>
      </x:c>
      <x:c r="K18" s="8" t="s">
        <x:v>1607</x:v>
      </x:c>
      <x:c r="L18" s="8" t="s">
        <x:v>1608</x:v>
      </x:c>
      <x:c r="M18" s="8" t="s">
        <x:v>114</x:v>
      </x:c>
      <x:c r="N18" s="8" t="s">
        <x:v>56</x:v>
      </x:c>
      <x:c r="O18" s="8"/>
    </x:row>
    <x:row r="19" ht="87.94999694824219" customHeight="1">
      <x:c r="A19" s="6" t="s">
        <x:v>452</x:v>
      </x:c>
      <x:c r="B19" s="6" t="s">
        <x:v>1609</x:v>
      </x:c>
      <x:c r="C19" s="6" t="s">
        <x:v>1610</x:v>
      </x:c>
      <x:c r="D19" s="6" t="s">
        <x:v>1611</x:v>
      </x:c>
      <x:c r="E19" s="6" t="s">
        <x:v>1612</x:v>
      </x:c>
      <x:c r="F19" s="6" t="s">
        <x:v>1613</x:v>
      </x:c>
      <x:c r="G19" s="6" t="s">
        <x:v>1614</x:v>
      </x:c>
      <x:c r="H19" s="6" t="s">
        <x:v>1615</x:v>
      </x:c>
      <x:c r="I19" s="6" t="s">
        <x:v>1522</x:v>
      </x:c>
      <x:c r="J19" s="6" t="s">
        <x:v>1616</x:v>
      </x:c>
      <x:c r="K19" s="6" t="s">
        <x:v>1514</x:v>
      </x:c>
      <x:c r="L19" s="6" t="s">
        <x:v>1525</x:v>
      </x:c>
      <x:c r="M19" s="6" t="s">
        <x:v>114</x:v>
      </x:c>
      <x:c r="N19" s="6" t="s">
        <x:v>56</x:v>
      </x:c>
      <x:c r="O19" s="6"/>
    </x:row>
    <x:row r="20" ht="87.94999694824219" customHeight="1">
      <x:c r="A20" s="8" t="s">
        <x:v>1617</x:v>
      </x:c>
      <x:c r="B20" s="8" t="s">
        <x:v>1618</x:v>
      </x:c>
      <x:c r="C20" s="8" t="s">
        <x:v>1619</x:v>
      </x:c>
      <x:c r="D20" s="8" t="s">
        <x:v>1620</x:v>
      </x:c>
      <x:c r="E20" s="8" t="s">
        <x:v>1621</x:v>
      </x:c>
      <x:c r="F20" s="8" t="s">
        <x:v>1622</x:v>
      </x:c>
      <x:c r="G20" s="8" t="s">
        <x:v>1623</x:v>
      </x:c>
      <x:c r="H20" s="8" t="s">
        <x:v>1624</x:v>
      </x:c>
      <x:c r="I20" s="8" t="s">
        <x:v>1625</x:v>
      </x:c>
      <x:c r="J20" s="8" t="s">
        <x:v>1626</x:v>
      </x:c>
      <x:c r="K20" s="8" t="s">
        <x:v>1627</x:v>
      </x:c>
      <x:c r="L20" s="8" t="s">
        <x:v>1628</x:v>
      </x:c>
      <x:c r="M20" s="8" t="s">
        <x:v>114</x:v>
      </x:c>
      <x:c r="N20" s="8" t="s">
        <x:v>56</x:v>
      </x:c>
      <x:c r="O20" s="8"/>
    </x:row>
    <x:row r="21" ht="87.94999694824219" customHeight="1">
      <x:c r="A21" s="6" t="s">
        <x:v>1627</x:v>
      </x:c>
      <x:c r="B21" s="6" t="s">
        <x:v>1629</x:v>
      </x:c>
      <x:c r="C21" s="6" t="s">
        <x:v>1630</x:v>
      </x:c>
      <x:c r="D21" s="6" t="s">
        <x:v>1631</x:v>
      </x:c>
      <x:c r="E21" s="6" t="s">
        <x:v>1632</x:v>
      </x:c>
      <x:c r="F21" s="6" t="s">
        <x:v>1633</x:v>
      </x:c>
      <x:c r="G21" s="6" t="s">
        <x:v>1634</x:v>
      </x:c>
      <x:c r="H21" s="6" t="s">
        <x:v>1635</x:v>
      </x:c>
      <x:c r="I21" s="6" t="s">
        <x:v>1636</x:v>
      </x:c>
      <x:c r="J21" s="6" t="s">
        <x:v>1637</x:v>
      </x:c>
      <x:c r="K21" s="6" t="s">
        <x:v>65</x:v>
      </x:c>
      <x:c r="L21" s="6" t="s">
        <x:v>1545</x:v>
      </x:c>
      <x:c r="M21" s="6" t="s">
        <x:v>114</x:v>
      </x:c>
      <x:c r="N21" s="6" t="s">
        <x:v>56</x:v>
      </x:c>
      <x:c r="O21" s="6"/>
    </x:row>
    <x:row r="22" ht="87.94999694824219" customHeight="1">
      <x:c r="A22" s="8" t="s">
        <x:v>1638</x:v>
      </x:c>
      <x:c r="B22" s="8" t="s">
        <x:v>1639</x:v>
      </x:c>
      <x:c r="C22" s="8" t="s">
        <x:v>1640</x:v>
      </x:c>
      <x:c r="D22" s="8" t="s">
        <x:v>1641</x:v>
      </x:c>
      <x:c r="E22" s="8" t="s">
        <x:v>47</x:v>
      </x:c>
      <x:c r="F22" s="8" t="s">
        <x:v>1642</x:v>
      </x:c>
      <x:c r="G22" s="8" t="s">
        <x:v>1643</x:v>
      </x:c>
      <x:c r="H22" s="8" t="s">
        <x:v>1644</x:v>
      </x:c>
      <x:c r="I22" s="8" t="s">
        <x:v>1645</x:v>
      </x:c>
      <x:c r="J22" s="8" t="s">
        <x:v>1646</x:v>
      </x:c>
      <x:c r="K22" s="8" t="s">
        <x:v>1647</x:v>
      </x:c>
      <x:c r="L22" s="8" t="s">
        <x:v>1648</x:v>
      </x:c>
      <x:c r="M22" s="8" t="s">
        <x:v>114</x:v>
      </x:c>
      <x:c r="N22" s="8" t="s">
        <x:v>56</x:v>
      </x:c>
      <x:c r="O22" s="8"/>
    </x:row>
    <x:row r="23" ht="87.94999694824219" customHeight="1">
      <x:c r="A23" s="6" t="s">
        <x:v>1649</x:v>
      </x:c>
      <x:c r="B23" s="6" t="s">
        <x:v>1650</x:v>
      </x:c>
      <x:c r="C23" s="6" t="s">
        <x:v>1651</x:v>
      </x:c>
      <x:c r="D23" s="6" t="s">
        <x:v>1652</x:v>
      </x:c>
      <x:c r="E23" s="6" t="s">
        <x:v>47</x:v>
      </x:c>
      <x:c r="F23" s="6" t="s">
        <x:v>1653</x:v>
      </x:c>
      <x:c r="G23" s="6" t="s">
        <x:v>1654</x:v>
      </x:c>
      <x:c r="H23" s="6" t="s">
        <x:v>1655</x:v>
      </x:c>
      <x:c r="I23" s="6" t="s">
        <x:v>1656</x:v>
      </x:c>
      <x:c r="J23" s="6" t="s">
        <x:v>1657</x:v>
      </x:c>
      <x:c r="K23" s="6" t="s">
        <x:v>1638</x:v>
      </x:c>
      <x:c r="L23" s="6" t="s">
        <x:v>1658</x:v>
      </x:c>
      <x:c r="M23" s="6" t="s">
        <x:v>114</x:v>
      </x:c>
      <x:c r="N23" s="6" t="s">
        <x:v>56</x:v>
      </x:c>
      <x:c r="O23" s="6"/>
    </x:row>
    <x:row r="24" ht="87.94999694824219" customHeight="1">
      <x:c r="A24" s="8" t="s">
        <x:v>1659</x:v>
      </x:c>
      <x:c r="B24" s="8" t="s">
        <x:v>1660</x:v>
      </x:c>
      <x:c r="C24" s="8" t="s">
        <x:v>1661</x:v>
      </x:c>
      <x:c r="D24" s="8" t="s">
        <x:v>1662</x:v>
      </x:c>
      <x:c r="E24" s="8" t="s">
        <x:v>47</x:v>
      </x:c>
      <x:c r="F24" s="8" t="s">
        <x:v>1663</x:v>
      </x:c>
      <x:c r="G24" s="8" t="s">
        <x:v>1664</x:v>
      </x:c>
      <x:c r="H24" s="8" t="s">
        <x:v>1665</x:v>
      </x:c>
      <x:c r="I24" s="8" t="s">
        <x:v>1666</x:v>
      </x:c>
      <x:c r="J24" s="8" t="s">
        <x:v>1667</x:v>
      </x:c>
      <x:c r="K24" s="8" t="s">
        <x:v>1649</x:v>
      </x:c>
      <x:c r="L24" s="8" t="s">
        <x:v>1668</x:v>
      </x:c>
      <x:c r="M24" s="8" t="s">
        <x:v>114</x:v>
      </x:c>
      <x:c r="N24" s="8" t="s">
        <x:v>56</x:v>
      </x:c>
      <x:c r="O24" s="8"/>
    </x:row>
    <x:row r="25" ht="87.94999694824219" customHeight="1">
      <x:c r="A25" s="6" t="s">
        <x:v>909</x:v>
      </x:c>
      <x:c r="B25" s="6" t="s">
        <x:v>1669</x:v>
      </x:c>
      <x:c r="C25" s="6" t="s">
        <x:v>1670</x:v>
      </x:c>
      <x:c r="D25" s="6" t="s">
        <x:v>1671</x:v>
      </x:c>
      <x:c r="E25" s="6" t="s">
        <x:v>47</x:v>
      </x:c>
      <x:c r="F25" s="6" t="s">
        <x:v>1672</x:v>
      </x:c>
      <x:c r="G25" s="6" t="s">
        <x:v>1673</x:v>
      </x:c>
      <x:c r="H25" s="6" t="s">
        <x:v>1674</x:v>
      </x:c>
      <x:c r="I25" s="6" t="s">
        <x:v>1675</x:v>
      </x:c>
      <x:c r="J25" s="6" t="s">
        <x:v>1676</x:v>
      </x:c>
      <x:c r="K25" s="6" t="s">
        <x:v>1677</x:v>
      </x:c>
      <x:c r="L25" s="6" t="s">
        <x:v>1678</x:v>
      </x:c>
      <x:c r="M25" s="6" t="s">
        <x:v>114</x:v>
      </x:c>
      <x:c r="N25" s="6" t="s">
        <x:v>56</x:v>
      </x:c>
      <x:c r="O25" s="6"/>
    </x:row>
    <x:row r="26" ht="87.94999694824219" customHeight="1">
      <x:c r="A26" s="8" t="s">
        <x:v>870</x:v>
      </x:c>
      <x:c r="B26" s="8" t="s">
        <x:v>1679</x:v>
      </x:c>
      <x:c r="C26" s="8" t="s">
        <x:v>1680</x:v>
      </x:c>
      <x:c r="D26" s="8" t="s">
        <x:v>1681</x:v>
      </x:c>
      <x:c r="E26" s="8" t="s">
        <x:v>1682</x:v>
      </x:c>
      <x:c r="F26" s="8" t="s">
        <x:v>1683</x:v>
      </x:c>
      <x:c r="G26" s="8" t="s">
        <x:v>1684</x:v>
      </x:c>
      <x:c r="H26" s="8" t="s">
        <x:v>1685</x:v>
      </x:c>
      <x:c r="I26" s="8" t="s">
        <x:v>1686</x:v>
      </x:c>
      <x:c r="J26" s="8" t="s">
        <x:v>1687</x:v>
      </x:c>
      <x:c r="K26" s="8" t="s">
        <x:v>1688</x:v>
      </x:c>
      <x:c r="L26" s="8" t="s">
        <x:v>1689</x:v>
      </x:c>
      <x:c r="M26" s="8" t="s">
        <x:v>1690</x:v>
      </x:c>
      <x:c r="N26" s="8" t="s">
        <x:v>56</x:v>
      </x:c>
      <x:c r="O26" s="8"/>
    </x:row>
    <x:row r="27" ht="87.94999694824219" customHeight="1">
      <x:c r="A27" s="6" t="s">
        <x:v>939</x:v>
      </x:c>
      <x:c r="B27" s="6" t="s">
        <x:v>1691</x:v>
      </x:c>
      <x:c r="C27" s="6" t="s">
        <x:v>1692</x:v>
      </x:c>
      <x:c r="D27" s="6" t="s">
        <x:v>1693</x:v>
      </x:c>
      <x:c r="E27" s="6" t="s">
        <x:v>1694</x:v>
      </x:c>
      <x:c r="F27" s="6" t="s">
        <x:v>1695</x:v>
      </x:c>
      <x:c r="G27" s="6" t="s">
        <x:v>1696</x:v>
      </x:c>
      <x:c r="H27" s="6" t="s">
        <x:v>1697</x:v>
      </x:c>
      <x:c r="I27" s="6" t="s">
        <x:v>1698</x:v>
      </x:c>
      <x:c r="J27" s="6" t="s">
        <x:v>1699</x:v>
      </x:c>
      <x:c r="K27" s="6" t="s">
        <x:v>1700</x:v>
      </x:c>
      <x:c r="L27" s="6" t="s">
        <x:v>1701</x:v>
      </x:c>
      <x:c r="M27" s="6" t="s">
        <x:v>114</x:v>
      </x:c>
      <x:c r="N27" s="6" t="s">
        <x:v>56</x:v>
      </x:c>
      <x:c r="O27" s="6"/>
    </x:row>
    <x:row r="28" ht="87.94999694824219" customHeight="1">
      <x:c r="A28" s="8" t="s">
        <x:v>1702</x:v>
      </x:c>
      <x:c r="B28" s="8" t="s">
        <x:v>1703</x:v>
      </x:c>
      <x:c r="C28" s="8" t="s">
        <x:v>1704</x:v>
      </x:c>
      <x:c r="D28" s="8" t="s">
        <x:v>1705</x:v>
      </x:c>
      <x:c r="E28" s="8" t="s">
        <x:v>1706</x:v>
      </x:c>
      <x:c r="F28" s="8" t="s">
        <x:v>1707</x:v>
      </x:c>
      <x:c r="G28" s="8" t="s">
        <x:v>1643</x:v>
      </x:c>
      <x:c r="H28" s="8" t="s">
        <x:v>1708</x:v>
      </x:c>
      <x:c r="I28" s="8" t="s">
        <x:v>1709</x:v>
      </x:c>
      <x:c r="J28" s="8" t="s">
        <x:v>1710</x:v>
      </x:c>
      <x:c r="K28" s="8" t="s">
        <x:v>1711</x:v>
      </x:c>
      <x:c r="L28" s="8" t="s">
        <x:v>1712</x:v>
      </x:c>
      <x:c r="M28" s="8" t="s">
        <x:v>114</x:v>
      </x:c>
      <x:c r="N28" s="8" t="s">
        <x:v>56</x:v>
      </x:c>
      <x:c r="O28" s="8"/>
    </x:row>
    <x:row r="29" ht="87.94999694824219" customHeight="1">
      <x:c r="A29" s="6" t="s">
        <x:v>1713</x:v>
      </x:c>
      <x:c r="B29" s="6" t="s">
        <x:v>1714</x:v>
      </x:c>
      <x:c r="C29" s="6" t="s">
        <x:v>1715</x:v>
      </x:c>
      <x:c r="D29" s="6" t="s">
        <x:v>1716</x:v>
      </x:c>
      <x:c r="E29" s="6" t="s">
        <x:v>1717</x:v>
      </x:c>
      <x:c r="F29" s="6" t="s">
        <x:v>1718</x:v>
      </x:c>
      <x:c r="G29" s="6" t="s">
        <x:v>1719</x:v>
      </x:c>
      <x:c r="H29" s="6" t="s">
        <x:v>1720</x:v>
      </x:c>
      <x:c r="I29" s="6" t="s">
        <x:v>1721</x:v>
      </x:c>
      <x:c r="J29" s="6" t="s">
        <x:v>1722</x:v>
      </x:c>
      <x:c r="K29" s="6" t="s">
        <x:v>1723</x:v>
      </x:c>
      <x:c r="L29" s="6" t="s">
        <x:v>1724</x:v>
      </x:c>
      <x:c r="M29" s="6" t="s">
        <x:v>1725</x:v>
      </x:c>
      <x:c r="N29" s="6" t="s">
        <x:v>56</x:v>
      </x:c>
      <x:c r="O29" s="6"/>
    </x:row>
    <x:row r="30" ht="50.099998474121094" customHeight="1">
      <x:c r="A30" s="3"/>
      <x:c r="B30" s="3"/>
      <x:c r="C30" s="3"/>
      <x:c r="D30" s="3"/>
      <x:c r="E30" s="3"/>
      <x:c r="F30" s="3"/>
      <x:c r="G30" s="3"/>
      <x:c r="H30" s="3"/>
      <x:c r="I30" s="3"/>
      <x:c r="J30" s="3"/>
      <x:c r="K30" s="3"/>
      <x:c r="L30" s="18"/>
      <x:c r="M30" s="18"/>
      <x:c r="N30" s="18"/>
      <x:c r="O30" s="18"/>
    </x:row>
    <x:row r="31" ht="50.099998474121094" customHeight="1">
      <x:c r="A31" s="2"/>
      <x:c r="B31" s="2"/>
      <x:c r="C31" s="2"/>
      <x:c r="D31" s="2"/>
      <x:c r="E31" s="2"/>
      <x:c r="F31" s="2"/>
      <x:c r="G31" s="2"/>
      <x:c r="H31" s="2"/>
      <x:c r="I31" s="2"/>
      <x:c r="J31" s="4"/>
      <x:c r="K31" s="4"/>
      <x:c r="L31" s="18"/>
      <x:c r="M31" s="18"/>
      <x:c r="N31" s="18"/>
      <x:c r="O31" s="18"/>
    </x:row>
    <x:row r="32" ht="50.099998474121094" customHeight="1">
      <x:c r="A32" s="3"/>
      <x:c r="B32" s="3"/>
      <x:c r="C32" s="3"/>
      <x:c r="D32" s="3"/>
      <x:c r="E32" s="3"/>
      <x:c r="F32" s="3"/>
      <x:c r="G32" s="3"/>
      <x:c r="H32" s="3"/>
      <x:c r="I32" s="3"/>
      <x:c r="J32" s="3"/>
      <x:c r="K32" s="3"/>
      <x:c r="L32" s="18"/>
      <x:c r="M32" s="18"/>
      <x:c r="N32" s="18"/>
      <x:c r="O32" s="18"/>
    </x:row>
    <x:row r="33" ht="50.099998474121094" customHeight="1">
      <x:c r="A33" s="2"/>
      <x:c r="B33" s="2"/>
      <x:c r="C33" s="2"/>
      <x:c r="D33" s="2"/>
      <x:c r="E33" s="2"/>
      <x:c r="F33" s="2"/>
      <x:c r="G33" s="2"/>
      <x:c r="H33" s="2"/>
      <x:c r="I33" s="2"/>
      <x:c r="J33" s="2"/>
      <x:c r="K33" s="2"/>
    </x:row>
    <x:row r="34" ht="50.099998474121094" customHeight="1">
      <x:c r="A34" s="3"/>
      <x:c r="B34" s="3"/>
      <x:c r="C34" s="3"/>
      <x:c r="D34" s="3"/>
      <x:c r="E34" s="3"/>
      <x:c r="F34" s="3"/>
      <x:c r="G34" s="3"/>
      <x:c r="H34" s="3"/>
      <x:c r="I34" s="3"/>
      <x:c r="J34" s="3"/>
      <x:c r="K34" s="3"/>
    </x:row>
    <x:row r="35" ht="50.099998474121094" customHeight="1">
      <x:c r="A35" s="2"/>
      <x:c r="B35" s="2"/>
      <x:c r="C35" s="2"/>
      <x:c r="D35" s="2"/>
      <x:c r="E35" s="2"/>
      <x:c r="F35" s="2"/>
      <x:c r="G35" s="2"/>
      <x:c r="H35" s="2"/>
      <x:c r="I35" s="2"/>
      <x:c r="J35" s="4"/>
      <x:c r="K35" s="4"/>
    </x:row>
    <x:row r="36" ht="50.099998474121094" customHeight="1">
      <x:c r="A36" s="3"/>
      <x:c r="B36" s="3"/>
      <x:c r="C36" s="3"/>
      <x:c r="D36" s="3"/>
      <x:c r="E36" s="3"/>
      <x:c r="F36" s="3"/>
      <x:c r="G36" s="3"/>
      <x:c r="H36" s="3"/>
      <x:c r="I36" s="3"/>
      <x:c r="J36" s="4"/>
      <x:c r="K36" s="4"/>
    </x:row>
    <x:row r="37" ht="50.099998474121094" customHeight="1">
      <x:c r="A37" s="2"/>
      <x:c r="B37" s="2"/>
      <x:c r="C37" s="2"/>
      <x:c r="D37" s="2"/>
      <x:c r="E37" s="2"/>
      <x:c r="F37" s="2"/>
      <x:c r="G37" s="2"/>
      <x:c r="H37" s="2"/>
      <x:c r="I37" s="2"/>
      <x:c r="J37" s="4"/>
      <x:c r="K37" s="4"/>
    </x:row>
    <x:row r="38" ht="50.099998474121094" customHeight="1">
      <x:c r="A38" s="3"/>
      <x:c r="B38" s="3"/>
      <x:c r="C38" s="3"/>
      <x:c r="D38" s="3"/>
      <x:c r="E38" s="3"/>
      <x:c r="F38" s="3"/>
      <x:c r="G38" s="3"/>
      <x:c r="H38" s="3"/>
      <x:c r="I38" s="3"/>
      <x:c r="J38" s="4"/>
      <x:c r="K38" s="4"/>
    </x:row>
    <x:row r="39" ht="50.099998474121094" customHeight="1">
      <x:c r="A39" s="2"/>
      <x:c r="B39" s="2"/>
      <x:c r="C39" s="2"/>
      <x:c r="D39" s="2"/>
      <x:c r="E39" s="2"/>
      <x:c r="F39" s="2"/>
      <x:c r="G39" s="2"/>
      <x:c r="H39" s="2"/>
      <x:c r="I39" s="2"/>
      <x:c r="J39" s="2"/>
      <x:c r="K39" s="2"/>
    </x:row>
    <x:row r="40" ht="50.099998474121094" customHeight="1">
      <x:c r="A40" s="3"/>
      <x:c r="B40" s="3"/>
      <x:c r="C40" s="3"/>
      <x:c r="D40" s="3"/>
      <x:c r="E40" s="3"/>
      <x:c r="F40" s="3"/>
      <x:c r="G40" s="3"/>
      <x:c r="H40" s="3"/>
      <x:c r="I40" s="3"/>
      <x:c r="J40" s="3"/>
      <x:c r="K40" s="3"/>
    </x:row>
    <x:row r="41" ht="50.099998474121094" customHeight="1">
      <x:c r="A41" s="2"/>
      <x:c r="B41" s="2"/>
      <x:c r="C41" s="2"/>
      <x:c r="D41" s="2"/>
      <x:c r="E41" s="2"/>
      <x:c r="F41" s="2"/>
      <x:c r="G41" s="2"/>
      <x:c r="H41" s="2"/>
      <x:c r="I41" s="2"/>
      <x:c r="J41" s="2"/>
      <x:c r="K41" s="2"/>
    </x:row>
    <x:row r="42" ht="50.099998474121094" customHeight="1">
      <x:c r="A42" s="3"/>
      <x:c r="B42" s="3"/>
      <x:c r="C42" s="3"/>
      <x:c r="D42" s="3"/>
      <x:c r="E42" s="3"/>
      <x:c r="F42" s="3"/>
      <x:c r="G42" s="3"/>
      <x:c r="H42" s="3"/>
      <x:c r="I42" s="3"/>
      <x:c r="J42" s="3"/>
      <x:c r="K42" s="3"/>
    </x:row>
    <x:row r="43" ht="50.099998474121094" customHeight="1">
      <x:c r="A43" s="2"/>
      <x:c r="B43" s="2"/>
      <x:c r="C43" s="2"/>
      <x:c r="D43" s="2"/>
      <x:c r="E43" s="2"/>
      <x:c r="F43" s="2"/>
      <x:c r="G43" s="2"/>
      <x:c r="H43" s="2"/>
      <x:c r="I43" s="2"/>
      <x:c r="J43" s="2"/>
      <x:c r="K43" s="2"/>
    </x:row>
    <x:row r="44" ht="50.099998474121094" customHeight="1">
      <x:c r="A44" s="3"/>
      <x:c r="B44" s="3"/>
      <x:c r="C44" s="3"/>
      <x:c r="D44" s="3"/>
      <x:c r="E44" s="3"/>
      <x:c r="F44" s="3"/>
      <x:c r="G44" s="3"/>
      <x:c r="H44" s="3"/>
      <x:c r="I44" s="3"/>
      <x:c r="J44" s="4"/>
      <x:c r="K44" s="4"/>
    </x:row>
    <x:row r="45" ht="50.099998474121094" customHeight="1">
      <x:c r="A45" s="2"/>
      <x:c r="B45" s="2"/>
      <x:c r="C45" s="2"/>
      <x:c r="D45" s="2"/>
      <x:c r="E45" s="2"/>
      <x:c r="F45" s="2"/>
      <x:c r="G45" s="2"/>
      <x:c r="H45" s="2"/>
      <x:c r="I45" s="2"/>
      <x:c r="J45" s="2"/>
      <x:c r="K45" s="2"/>
    </x:row>
    <x:row r="46" ht="50.099998474121094" customHeight="1">
      <x:c r="A46" s="3"/>
      <x:c r="B46" s="3"/>
      <x:c r="C46" s="3"/>
      <x:c r="D46" s="3"/>
      <x:c r="E46" s="3"/>
      <x:c r="F46" s="3"/>
      <x:c r="G46" s="3"/>
      <x:c r="H46" s="3"/>
      <x:c r="I46" s="3"/>
      <x:c r="J46" s="3"/>
      <x:c r="K46" s="3"/>
    </x:row>
    <x:row r="47" ht="50.099998474121094" customHeight="1">
      <x:c r="A47" s="2"/>
      <x:c r="B47" s="2"/>
      <x:c r="C47" s="2"/>
      <x:c r="D47" s="2"/>
      <x:c r="E47" s="2"/>
      <x:c r="F47" s="2"/>
      <x:c r="G47" s="2"/>
      <x:c r="H47" s="2"/>
      <x:c r="I47" s="2"/>
      <x:c r="J47" s="2"/>
      <x:c r="K47" s="2"/>
    </x:row>
    <x:row r="48" ht="50.099998474121094" customHeight="1">
      <x:c r="A48" s="3"/>
      <x:c r="B48" s="3"/>
      <x:c r="C48" s="3"/>
      <x:c r="D48" s="3"/>
      <x:c r="E48" s="3"/>
      <x:c r="F48" s="3"/>
      <x:c r="G48" s="3"/>
      <x:c r="H48" s="3"/>
      <x:c r="I48" s="3"/>
      <x:c r="J48" s="3"/>
      <x:c r="K48" s="3"/>
    </x:row>
  </x:sheetData>
  <x:mergeCells>
    <x:mergeCell ref="A2:N2"/>
    <x:mergeCell ref="A1:N1"/>
  </x:mergeCells>
  <x:dataValidations count="1">
    <x:dataValidation type="list" sqref="N5:N29">
      <x:formula1>"Pendiente de validación,Aprobado,Ajustar,Diferido,No aplica"</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customWidth="1"/>
    <x:col min="2" max="2" width="58" customWidth="1"/>
    <x:col min="3" max="3" width="24" customWidth="1"/>
    <x:col min="4" max="4" width="30" customWidth="1"/>
    <x:col min="5" max="5" width="52" customWidth="1"/>
    <x:col min="6" max="6" width="34" customWidth="1"/>
    <x:col min="7" max="7" width="68" customWidth="1"/>
  </x:cols>
  <x:sheetData>
    <x:row r="1" ht="24.950000762939453" customHeight="1">
      <x:c r="A1" s="12" t="s">
        <x:v>1726</x:v>
      </x:c>
      <x:c r="B1" s="17"/>
      <x:c r="C1" s="17"/>
      <x:c r="D1" s="17"/>
      <x:c r="E1" s="17"/>
      <x:c r="F1" s="17"/>
      <x:c r="G1" s="17"/>
    </x:row>
    <x:row r="2" ht="32.099998474121094" customHeight="1">
      <x:c r="A2" s="11" t="s">
        <x:v>1727</x:v>
      </x:c>
      <x:c r="B2" s="17"/>
      <x:c r="C2" s="17"/>
      <x:c r="D2" s="17"/>
      <x:c r="E2" s="17"/>
      <x:c r="F2" s="17"/>
      <x:c r="G2" s="17"/>
    </x:row>
    <x:row r="3">
      <x:c r="A3" s="18" t="s">
        <x:v>1728</x:v>
      </x:c>
      <x:c r="B3" s="18" t="s">
        <x:v>1729</x:v>
      </x:c>
      <x:c r="C3" s="18" t="s">
        <x:v>1730</x:v>
      </x:c>
      <x:c r="D3" s="18" t="s">
        <x:v>1731</x:v>
      </x:c>
      <x:c r="E3" s="18" t="s">
        <x:v>1732</x:v>
      </x:c>
      <x:c r="F3" s="18" t="s">
        <x:v>1733</x:v>
      </x:c>
      <x:c r="G3" s="18" t="s">
        <x:v>1734</x:v>
      </x:c>
    </x:row>
    <x:row r="4" ht="33.95000076293945" customHeight="1">
      <x:c r="A4" s="1" t="s">
        <x:v>1735</x:v>
      </x:c>
      <x:c r="B4" s="1" t="s">
        <x:v>1736</x:v>
      </x:c>
      <x:c r="C4" s="1" t="s">
        <x:v>1737</x:v>
      </x:c>
      <x:c r="D4" s="1" t="s">
        <x:v>1738</x:v>
      </x:c>
      <x:c r="E4" s="1" t="s">
        <x:v>1739</x:v>
      </x:c>
      <x:c r="F4" s="1" t="s">
        <x:v>114</x:v>
      </x:c>
      <x:c r="G4" s="1"/>
    </x:row>
    <x:row r="5" ht="54" customHeight="1">
      <x:c r="A5" s="6" t="s">
        <x:v>1740</x:v>
      </x:c>
      <x:c r="B5" s="6" t="s">
        <x:v>1741</x:v>
      </x:c>
      <x:c r="C5" s="6" t="s">
        <x:v>1742</x:v>
      </x:c>
      <x:c r="D5" s="6" t="s">
        <x:v>1743</x:v>
      </x:c>
      <x:c r="E5" s="6" t="s">
        <x:v>1744</x:v>
      </x:c>
      <x:c r="F5" s="6" t="s">
        <x:v>114</x:v>
      </x:c>
      <x:c r="G5" s="6"/>
    </x:row>
    <x:row r="6" ht="54" customHeight="1">
      <x:c r="A6" s="8" t="s">
        <x:v>1745</x:v>
      </x:c>
      <x:c r="B6" s="8" t="s">
        <x:v>1746</x:v>
      </x:c>
      <x:c r="C6" s="8" t="s">
        <x:v>1187</x:v>
      </x:c>
      <x:c r="D6" s="8" t="s">
        <x:v>1747</x:v>
      </x:c>
      <x:c r="E6" s="8" t="s">
        <x:v>1748</x:v>
      </x:c>
      <x:c r="F6" s="8" t="s">
        <x:v>114</x:v>
      </x:c>
      <x:c r="G6" s="8"/>
    </x:row>
    <x:row r="7" ht="54" customHeight="1">
      <x:c r="A7" s="6" t="s">
        <x:v>1749</x:v>
      </x:c>
      <x:c r="B7" s="6" t="s">
        <x:v>1750</x:v>
      </x:c>
      <x:c r="C7" s="6" t="s">
        <x:v>1751</x:v>
      </x:c>
      <x:c r="D7" s="6" t="s">
        <x:v>1752</x:v>
      </x:c>
      <x:c r="E7" s="6" t="s">
        <x:v>1753</x:v>
      </x:c>
      <x:c r="F7" s="6" t="s">
        <x:v>114</x:v>
      </x:c>
      <x:c r="G7" s="6"/>
    </x:row>
    <x:row r="8" ht="45" customHeight="1">
      <x:c r="A8" s="70" t="str">
        <x:v>M04-TC-CMF</x:v>
      </x:c>
      <x:c r="B8" s="70" t="str">
        <x:v>Walvy_Anexo_Transversal_TC_M04_M05_M06_v1_0 + confirmación Producto en reconciliación M04</x:v>
      </x:c>
      <x:c r="C8" s="70" t="str">
        <x:v>Anexo transversal / decisión Producto</x:v>
      </x:c>
      <x:c r="D8" s="70" t="str">
        <x:v>Regla documental complementaria aprobada</x:v>
      </x:c>
      <x:c r="E8" s="70" t="str">
        <x:v>Precedencia estado de cuenta TC vs CMF, mapeos TC/no-TC y tratamiento de mora CMF</x:v>
      </x:c>
      <x:c r="F8" s="70" t="str">
        <x:v>Vigente · Producto aprobado</x:v>
      </x:c>
      <x:c r="G8" s="70" t="str">
        <x:v>07_Reconciliacion_Producto filas 74–82 / 09_Fundamento_Producto FP-09</x:v>
      </x:c>
    </x:row>
    <x:row r="9" ht="54" customHeight="1">
      <x:c r="A9" s="6"/>
      <x:c r="B9" s="6"/>
      <x:c r="C9" s="6"/>
      <x:c r="D9" s="6"/>
      <x:c r="E9" s="6"/>
      <x:c r="F9" s="6"/>
      <x:c r="G9" s="6"/>
    </x:row>
    <x:row r="10" ht="39.95000076293945" customHeight="1">
      <x:c r="A10" s="3"/>
      <x:c r="B10" s="3"/>
      <x:c r="C10" s="3"/>
      <x:c r="D10" s="3"/>
      <x:c r="E10" s="3"/>
      <x:c r="F10" s="3"/>
      <x:c r="G10" s="3"/>
    </x:row>
    <x:row r="11" ht="39.95000076293945" customHeight="1">
      <x:c r="A11" s="2"/>
      <x:c r="B11" s="2"/>
      <x:c r="C11" s="2"/>
      <x:c r="D11" s="2"/>
      <x:c r="E11" s="2"/>
      <x:c r="F11" s="2"/>
      <x:c r="G11" s="2"/>
    </x:row>
    <x:row r="12" ht="39.95000076293945" customHeight="1">
      <x:c r="A12" s="3"/>
      <x:c r="B12" s="3"/>
      <x:c r="C12" s="3"/>
      <x:c r="D12" s="3"/>
      <x:c r="E12" s="3"/>
      <x:c r="F12" s="3"/>
      <x:c r="G12" s="3"/>
    </x:row>
    <x:row r="13" ht="39.95000076293945" customHeight="1">
      <x:c r="A13" s="2"/>
      <x:c r="B13" s="2"/>
      <x:c r="C13" s="2"/>
      <x:c r="D13" s="2"/>
      <x:c r="E13" s="2"/>
      <x:c r="F13" s="2"/>
      <x:c r="G13" s="2"/>
    </x:row>
    <x:row r="14" ht="39.95000076293945" customHeight="1">
      <x:c r="A14" s="3"/>
      <x:c r="B14" s="3"/>
      <x:c r="C14" s="3"/>
      <x:c r="D14" s="3"/>
      <x:c r="E14" s="3"/>
      <x:c r="F14" s="3"/>
      <x:c r="G14" s="3"/>
    </x:row>
    <x:row r="15" ht="39.95000076293945" customHeight="1">
      <x:c r="A15" s="2"/>
      <x:c r="B15" s="2"/>
      <x:c r="C15" s="2"/>
      <x:c r="D15" s="2"/>
      <x:c r="E15" s="2"/>
      <x:c r="F15" s="2"/>
      <x:c r="G15" s="2"/>
    </x:row>
    <x:row r="16" ht="39.95000076293945" customHeight="1">
      <x:c r="A16" s="3"/>
      <x:c r="B16" s="3"/>
      <x:c r="C16" s="3"/>
      <x:c r="D16" s="3"/>
      <x:c r="E16" s="3"/>
      <x:c r="F16" s="3"/>
      <x:c r="G16" s="3"/>
    </x:row>
    <x:row r="17" ht="39.95000076293945" customHeight="1">
      <x:c r="A17" s="2"/>
      <x:c r="B17" s="2"/>
      <x:c r="C17" s="2"/>
      <x:c r="D17" s="2"/>
      <x:c r="E17" s="2"/>
      <x:c r="F17" s="2"/>
      <x:c r="G17" s="2"/>
    </x:row>
    <x:row r="18" ht="39.95000076293945" customHeight="1">
      <x:c r="A18" s="3"/>
      <x:c r="B18" s="3"/>
      <x:c r="C18" s="3"/>
      <x:c r="D18" s="3"/>
      <x:c r="E18" s="3"/>
      <x:c r="F18" s="3"/>
      <x:c r="G18" s="3"/>
    </x:row>
    <x:row r="19" ht="39.95000076293945" customHeight="1">
      <x:c r="A19" s="2"/>
      <x:c r="B19" s="2"/>
      <x:c r="C19" s="2"/>
      <x:c r="D19" s="2"/>
      <x:c r="E19" s="2"/>
      <x:c r="F19" s="2"/>
      <x:c r="G19" s="2"/>
    </x:row>
    <x:row r="20" ht="39.95000076293945" customHeight="1">
      <x:c r="A20" s="3"/>
      <x:c r="B20" s="3"/>
      <x:c r="C20" s="3"/>
      <x:c r="D20" s="3"/>
      <x:c r="E20" s="3"/>
      <x:c r="F20" s="3"/>
      <x:c r="G20" s="3"/>
    </x:row>
    <x:row r="21" ht="39.95000076293945" customHeight="1">
      <x:c r="A21" s="2"/>
      <x:c r="B21" s="2"/>
      <x:c r="C21" s="2"/>
      <x:c r="D21" s="2"/>
      <x:c r="E21" s="2"/>
      <x:c r="F21" s="2"/>
      <x:c r="G21" s="2"/>
    </x:row>
    <x:row r="22" ht="39.95000076293945" customHeight="1">
      <x:c r="A22" s="3"/>
      <x:c r="B22" s="3"/>
      <x:c r="C22" s="3"/>
      <x:c r="D22" s="3"/>
      <x:c r="E22" s="3"/>
      <x:c r="F22" s="3"/>
      <x:c r="G22" s="3"/>
    </x:row>
    <x:row r="23" ht="39.95000076293945" customHeight="1">
      <x:c r="A23" s="2"/>
      <x:c r="B23" s="2"/>
      <x:c r="C23" s="2"/>
      <x:c r="D23" s="2"/>
      <x:c r="E23" s="2"/>
      <x:c r="F23" s="2"/>
      <x:c r="G23" s="2"/>
    </x:row>
  </x:sheetData>
  <x:mergeCells>
    <x:mergeCell ref="A2:G2"/>
    <x:mergeCell ref="A1:G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2" width="24" customWidth="1"/>
    <x:col min="3" max="3" width="56" customWidth="1"/>
    <x:col min="4" max="4" width="26" customWidth="1"/>
    <x:col min="5" max="5" width="24" customWidth="1"/>
    <x:col min="6" max="6" width="38" customWidth="1"/>
    <x:col min="7" max="8" width="58" customWidth="1"/>
    <x:col min="9" max="9" width="18" customWidth="1"/>
  </x:cols>
  <x:sheetData>
    <x:row r="1" ht="24.950000762939453" customHeight="1">
      <x:c r="A1" s="12" t="s">
        <x:v>1754</x:v>
      </x:c>
      <x:c r="B1" s="17"/>
      <x:c r="C1" s="17"/>
      <x:c r="D1" s="17"/>
      <x:c r="E1" s="17"/>
      <x:c r="F1" s="17"/>
      <x:c r="G1" s="17"/>
      <x:c r="H1" s="17"/>
      <x:c r="I1" s="17"/>
    </x:row>
    <x:row r="2" ht="32.099998474121094" customHeight="1">
      <x:c r="A2" s="11" t="s">
        <x:v>1755</x:v>
      </x:c>
      <x:c r="B2" s="17"/>
      <x:c r="C2" s="17"/>
      <x:c r="D2" s="17"/>
      <x:c r="E2" s="17"/>
      <x:c r="F2" s="17"/>
      <x:c r="G2" s="17"/>
      <x:c r="H2" s="17"/>
      <x:c r="I2" s="17"/>
    </x:row>
    <x:row r="4" ht="33.95000076293945" customHeight="1">
      <x:c r="A4" s="1" t="s">
        <x:v>1756</x:v>
      </x:c>
      <x:c r="B4" s="1" t="s">
        <x:v>1757</x:v>
      </x:c>
      <x:c r="C4" s="1" t="s">
        <x:v>1758</x:v>
      </x:c>
      <x:c r="D4" s="1" t="s">
        <x:v>1759</x:v>
      </x:c>
      <x:c r="E4" s="1" t="s">
        <x:v>1760</x:v>
      </x:c>
      <x:c r="F4" s="1" t="s">
        <x:v>1761</x:v>
      </x:c>
      <x:c r="G4" s="1" t="s">
        <x:v>1762</x:v>
      </x:c>
      <x:c r="H4" s="1"/>
      <x:c r="I4" s="1"/>
    </x:row>
    <x:row r="5" ht="69.94999694824219" customHeight="1">
      <x:c r="A5" s="6" t="s">
        <x:v>1763</x:v>
      </x:c>
      <x:c r="B5" s="6" t="s">
        <x:v>1764</x:v>
      </x:c>
      <x:c r="C5" s="6" t="s">
        <x:v>1765</x:v>
      </x:c>
      <x:c r="D5" s="6" t="s">
        <x:v>1766</x:v>
      </x:c>
      <x:c r="E5" s="6" t="s">
        <x:v>1767</x:v>
      </x:c>
      <x:c r="F5" s="6" t="s">
        <x:v>1768</x:v>
      </x:c>
      <x:c r="G5" s="6" t="s">
        <x:v>1769</x:v>
      </x:c>
      <x:c r="H5" s="6"/>
      <x:c r="I5" s="6"/>
    </x:row>
    <x:row r="6" ht="69.94999694824219" customHeight="1">
      <x:c r="A6" s="8" t="s">
        <x:v>1770</x:v>
      </x:c>
      <x:c r="B6" s="8" t="s">
        <x:v>1771</x:v>
      </x:c>
      <x:c r="C6" s="8" t="s">
        <x:v>1772</x:v>
      </x:c>
      <x:c r="D6" s="8" t="s">
        <x:v>1773</x:v>
      </x:c>
      <x:c r="E6" s="8" t="s">
        <x:v>1774</x:v>
      </x:c>
      <x:c r="F6" s="8" t="s">
        <x:v>1775</x:v>
      </x:c>
      <x:c r="G6" s="8" t="s">
        <x:v>1769</x:v>
      </x:c>
      <x:c r="H6" s="8"/>
      <x:c r="I6" s="8"/>
    </x:row>
    <x:row r="7" ht="69.94999694824219" customHeight="1">
      <x:c r="A7" s="6" t="s">
        <x:v>1776</x:v>
      </x:c>
      <x:c r="B7" s="6" t="s">
        <x:v>1777</x:v>
      </x:c>
      <x:c r="C7" s="6" t="s">
        <x:v>1772</x:v>
      </x:c>
      <x:c r="D7" s="6" t="s">
        <x:v>1778</x:v>
      </x:c>
      <x:c r="E7" s="6" t="s">
        <x:v>1779</x:v>
      </x:c>
      <x:c r="F7" s="6" t="s">
        <x:v>1780</x:v>
      </x:c>
      <x:c r="G7" s="6" t="s">
        <x:v>1769</x:v>
      </x:c>
      <x:c r="H7" s="6"/>
      <x:c r="I7" s="6"/>
    </x:row>
    <x:row r="8" ht="69.94999694824219" customHeight="1">
      <x:c r="A8" s="8" t="s">
        <x:v>1781</x:v>
      </x:c>
      <x:c r="B8" s="8" t="s">
        <x:v>1782</x:v>
      </x:c>
      <x:c r="C8" s="8" t="s">
        <x:v>1783</x:v>
      </x:c>
      <x:c r="D8" s="8" t="s">
        <x:v>1784</x:v>
      </x:c>
      <x:c r="E8" s="8" t="s">
        <x:v>1785</x:v>
      </x:c>
      <x:c r="F8" s="8" t="s">
        <x:v>1786</x:v>
      </x:c>
      <x:c r="G8" s="8" t="s">
        <x:v>1769</x:v>
      </x:c>
      <x:c r="H8" s="8"/>
      <x:c r="I8" s="8"/>
    </x:row>
    <x:row r="9" ht="69.94999694824219" customHeight="1">
      <x:c r="A9" s="6" t="s">
        <x:v>1787</x:v>
      </x:c>
      <x:c r="B9" s="6" t="s">
        <x:v>1788</x:v>
      </x:c>
      <x:c r="C9" s="6" t="s">
        <x:v>1789</x:v>
      </x:c>
      <x:c r="D9" s="6" t="s">
        <x:v>1790</x:v>
      </x:c>
      <x:c r="E9" s="6" t="s">
        <x:v>1791</x:v>
      </x:c>
      <x:c r="F9" s="6" t="s">
        <x:v>1792</x:v>
      </x:c>
      <x:c r="G9" s="6" t="s">
        <x:v>1769</x:v>
      </x:c>
      <x:c r="H9" s="6"/>
      <x:c r="I9" s="6"/>
    </x:row>
    <x:row r="10" ht="69.94999694824219" customHeight="1">
      <x:c r="A10" s="8" t="s">
        <x:v>1793</x:v>
      </x:c>
      <x:c r="B10" s="8" t="s">
        <x:v>1794</x:v>
      </x:c>
      <x:c r="C10" s="8" t="s">
        <x:v>1795</x:v>
      </x:c>
      <x:c r="D10" s="8" t="s">
        <x:v>1796</x:v>
      </x:c>
      <x:c r="E10" s="8" t="s">
        <x:v>1797</x:v>
      </x:c>
      <x:c r="F10" s="8" t="s">
        <x:v>1494</x:v>
      </x:c>
      <x:c r="G10" s="8" t="s">
        <x:v>1769</x:v>
      </x:c>
      <x:c r="H10" s="8"/>
      <x:c r="I10" s="8"/>
    </x:row>
    <x:row r="11" ht="69.94999694824219" customHeight="1">
      <x:c r="A11" s="6"/>
      <x:c r="B11" s="6"/>
      <x:c r="C11" s="6"/>
      <x:c r="D11" s="6"/>
      <x:c r="E11" s="6"/>
      <x:c r="F11" s="6"/>
      <x:c r="G11" s="6"/>
      <x:c r="H11" s="6"/>
      <x:c r="I11" s="6"/>
    </x:row>
  </x:sheetData>
  <x:mergeCells>
    <x:mergeCell ref="A1:I1"/>
    <x:mergeCell ref="A2:I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6" customWidth="1"/>
    <x:col min="2" max="2" width="24" customWidth="1"/>
    <x:col min="3" max="3" width="32" customWidth="1"/>
    <x:col min="4" max="4" width="44" customWidth="1"/>
    <x:col min="5" max="5" width="24" customWidth="1"/>
    <x:col min="6" max="6" width="60" customWidth="1"/>
    <x:col min="7" max="8" width="58" customWidth="1"/>
    <x:col min="9" max="9" width="18" customWidth="1"/>
  </x:cols>
  <x:sheetData>
    <x:row r="1" ht="24.950000762939453" customHeight="1">
      <x:c r="A1" s="12" t="s">
        <x:v>1798</x:v>
      </x:c>
      <x:c r="B1" s="17"/>
      <x:c r="C1" s="17"/>
      <x:c r="D1" s="17"/>
      <x:c r="E1" s="17"/>
      <x:c r="F1" s="17"/>
      <x:c r="G1" s="17"/>
      <x:c r="H1" s="17"/>
      <x:c r="I1" s="17"/>
    </x:row>
    <x:row r="2" ht="32.099998474121094" customHeight="1">
      <x:c r="A2" s="11" t="s">
        <x:v>1799</x:v>
      </x:c>
      <x:c r="B2" s="17"/>
      <x:c r="C2" s="17"/>
      <x:c r="D2" s="17"/>
      <x:c r="E2" s="17"/>
      <x:c r="F2" s="17"/>
      <x:c r="G2" s="17"/>
      <x:c r="H2" s="17"/>
      <x:c r="I2" s="17"/>
    </x:row>
    <x:row r="4" ht="33.95000076293945" customHeight="1">
      <x:c r="A4" s="1" t="s">
        <x:v>1800</x:v>
      </x:c>
      <x:c r="B4" s="1" t="s">
        <x:v>1801</x:v>
      </x:c>
      <x:c r="C4" s="1" t="s">
        <x:v>1802</x:v>
      </x:c>
      <x:c r="D4" s="1" t="s">
        <x:v>1759</x:v>
      </x:c>
      <x:c r="E4" s="1" t="s">
        <x:v>1803</x:v>
      </x:c>
      <x:c r="F4" s="1" t="s">
        <x:v>1804</x:v>
      </x:c>
      <x:c r="G4" s="1" t="s">
        <x:v>1762</x:v>
      </x:c>
      <x:c r="H4" s="1"/>
      <x:c r="I4" s="1"/>
    </x:row>
    <x:row r="5" ht="74.0999984741211" customHeight="1">
      <x:c r="A5" s="6" t="s">
        <x:v>1805</x:v>
      </x:c>
      <x:c r="B5" s="6" t="s">
        <x:v>1806</x:v>
      </x:c>
      <x:c r="C5" s="6" t="s">
        <x:v>1807</x:v>
      </x:c>
      <x:c r="D5" s="6" t="s">
        <x:v>1808</x:v>
      </x:c>
      <x:c r="E5" s="6" t="s">
        <x:v>1809</x:v>
      </x:c>
      <x:c r="F5" s="6" t="s">
        <x:v>1810</x:v>
      </x:c>
      <x:c r="G5" s="6" t="s">
        <x:v>1769</x:v>
      </x:c>
      <x:c r="H5" s="6"/>
      <x:c r="I5" s="6"/>
    </x:row>
    <x:row r="6" ht="74.0999984741211" customHeight="1">
      <x:c r="A6" s="8" t="s">
        <x:v>1811</x:v>
      </x:c>
      <x:c r="B6" s="8" t="s">
        <x:v>1812</x:v>
      </x:c>
      <x:c r="C6" s="8" t="s">
        <x:v>1813</x:v>
      </x:c>
      <x:c r="D6" s="8" t="s">
        <x:v>1814</x:v>
      </x:c>
      <x:c r="E6" s="8" t="s">
        <x:v>1815</x:v>
      </x:c>
      <x:c r="F6" s="8" t="s">
        <x:v>1816</x:v>
      </x:c>
      <x:c r="G6" s="8" t="s">
        <x:v>1769</x:v>
      </x:c>
      <x:c r="H6" s="8"/>
      <x:c r="I6" s="8"/>
    </x:row>
    <x:row r="7" ht="74.0999984741211" customHeight="1">
      <x:c r="A7" s="6" t="s">
        <x:v>1817</x:v>
      </x:c>
      <x:c r="B7" s="6" t="s">
        <x:v>1818</x:v>
      </x:c>
      <x:c r="C7" s="6" t="s">
        <x:v>1819</x:v>
      </x:c>
      <x:c r="D7" s="6" t="s">
        <x:v>1820</x:v>
      </x:c>
      <x:c r="E7" s="6" t="s">
        <x:v>1821</x:v>
      </x:c>
      <x:c r="F7" s="6" t="s">
        <x:v>1822</x:v>
      </x:c>
      <x:c r="G7" s="6" t="s">
        <x:v>1769</x:v>
      </x:c>
      <x:c r="H7" s="6"/>
      <x:c r="I7" s="6"/>
    </x:row>
    <x:row r="8" ht="57.95000076293945" customHeight="1">
      <x:c r="A8" s="3" t="s">
        <x:v>1823</x:v>
      </x:c>
      <x:c r="B8" s="3" t="s">
        <x:v>1824</x:v>
      </x:c>
      <x:c r="C8" s="3" t="s">
        <x:v>1825</x:v>
      </x:c>
      <x:c r="D8" s="3" t="s">
        <x:v>1826</x:v>
      </x:c>
      <x:c r="E8" s="3" t="s">
        <x:v>1827</x:v>
      </x:c>
      <x:c r="F8" s="3" t="s">
        <x:v>870</x:v>
      </x:c>
      <x:c r="G8" s="3" t="s">
        <x:v>1769</x:v>
      </x:c>
      <x:c r="H8" s="3"/>
      <x:c r="I8" s="3"/>
    </x:row>
    <x:row r="9" ht="57.95000076293945" customHeight="1">
      <x:c r="A9" s="2"/>
      <x:c r="B9" s="2"/>
      <x:c r="C9" s="2"/>
      <x:c r="D9" s="2"/>
      <x:c r="E9" s="2"/>
      <x:c r="F9" s="2"/>
      <x:c r="G9" s="2"/>
      <x:c r="H9" s="2"/>
      <x:c r="I9" s="2"/>
    </x:row>
  </x:sheetData>
  <x:mergeCells>
    <x:mergeCell ref="A1:I1"/>
    <x:mergeCell ref="A2:I2"/>
  </x:mergeCells>
  <x:pageMargins left="0.7" right="0.7" top="0.75" bottom="0.75" header="0.3" footer="0.3"/>
</x:worksheet>
</file>

<file path=xl/worksheets/sheet8.xml><?xml version="1.0" encoding="utf-8"?>
<x:worksheet xmlns:x="http://schemas.openxmlformats.org/spreadsheetml/2006/main">
  <x:sheetFormatPr defaultRowHeight="15"/>
  <x:cols>
    <x:col min="1" max="1" width="19" customWidth="1"/>
    <x:col min="2" max="2" width="31" customWidth="1"/>
    <x:col min="3" max="3" width="28" customWidth="1"/>
    <x:col min="4" max="4" width="35" customWidth="1"/>
    <x:col min="5" max="5" width="38" customWidth="1"/>
    <x:col min="6" max="6" width="31" customWidth="1"/>
    <x:col min="7" max="7" width="52" customWidth="1"/>
    <x:col min="8" max="8" width="42" customWidth="1"/>
    <x:col min="9" max="9" width="20" customWidth="1"/>
    <x:col min="10" max="10" width="52" customWidth="1"/>
    <x:col min="11" max="11" width="36" customWidth="1"/>
  </x:cols>
  <x:sheetData>
    <x:row r="1" ht="27.950000762939453" customHeight="1">
      <x:c r="A1" s="15" t="s">
        <x:v>1828</x:v>
      </x:c>
      <x:c r="B1" s="17"/>
      <x:c r="C1" s="17"/>
      <x:c r="D1" s="17"/>
      <x:c r="E1" s="17"/>
      <x:c r="F1" s="17"/>
      <x:c r="G1" s="17"/>
      <x:c r="H1" s="17"/>
      <x:c r="I1" s="17"/>
      <x:c r="J1" s="17"/>
      <x:c r="K1" s="17"/>
    </x:row>
    <x:row r="2" ht="44.099998474121094" customHeight="1">
      <x:c r="A2" s="14" t="str">
        <x:v>CERRADA: Producto aprobó las decisiones rectoras y las 58 reglas reconciliadas. Esta hoja se conserva como respaldo histórico de la consolidación definitiva; no es una segunda línea base.</x:v>
      </x:c>
      <x:c r="B2" s="17"/>
      <x:c r="C2" s="17"/>
      <x:c r="D2" s="17"/>
      <x:c r="E2" s="17"/>
      <x:c r="F2" s="17"/>
      <x:c r="G2" s="17"/>
      <x:c r="H2" s="17"/>
      <x:c r="I2" s="17"/>
      <x:c r="J2" s="17"/>
      <x:c r="K2" s="17"/>
    </x:row>
    <x:row r="3">
      <x:c r="A3" s="29"/>
      <x:c r="B3" s="29"/>
      <x:c r="C3" s="29"/>
      <x:c r="D3" s="29"/>
      <x:c r="E3" s="29"/>
      <x:c r="F3" s="29"/>
      <x:c r="G3" s="29"/>
      <x:c r="H3" s="29"/>
      <x:c r="I3" s="29"/>
      <x:c r="J3" s="29"/>
      <x:c r="K3" s="29"/>
    </x:row>
    <x:row r="4">
      <x:c r="A4" s="30" t="s">
        <x:v>0</x:v>
      </x:c>
      <x:c r="B4" s="30" t="s">
        <x:v>1</x:v>
      </x:c>
      <x:c r="C4" s="29"/>
      <x:c r="D4" s="30" t="s">
        <x:v>1734</x:v>
      </x:c>
      <x:c r="E4" s="30" t="s">
        <x:v>1829</x:v>
      </x:c>
      <x:c r="F4" s="29"/>
      <x:c r="G4" s="29"/>
      <x:c r="H4" s="29"/>
      <x:c r="I4" s="29"/>
      <x:c r="J4" s="29"/>
      <x:c r="K4" s="29"/>
    </x:row>
    <x:row r="5">
      <x:c r="A5" s="31" t="s">
        <x:v>1830</x:v>
      </x:c>
      <x:c r="B5" s="31" t="n">
        <x:f>COUNTA(A27:A84)</x:f>
        <x:v>58</x:v>
      </x:c>
      <x:c r="C5" s="29"/>
      <x:c r="D5" s="31" t="s">
        <x:v>1831</x:v>
      </x:c>
      <x:c r="E5" s="31" t="s">
        <x:v>1832</x:v>
      </x:c>
      <x:c r="F5" s="29"/>
      <x:c r="G5" s="29"/>
      <x:c r="H5" s="29"/>
      <x:c r="I5" s="29"/>
      <x:c r="J5" s="29"/>
      <x:c r="K5" s="29"/>
    </x:row>
    <x:row r="6">
      <x:c r="A6" s="31" t="s">
        <x:v>1833</x:v>
      </x:c>
      <x:c r="B6" s="31" t="n">
        <x:f>COUNTIF(F27:F84,"Cubierta por contrato cliente")+COUNTIF(F27:F84,"Cubierta con precisión adicional del cliente")</x:f>
        <x:v>36</x:v>
      </x:c>
      <x:c r="C6" s="29"/>
      <x:c r="D6" s="31" t="s">
        <x:v>1834</x:v>
      </x:c>
      <x:c r="E6" s="31" t="s">
        <x:v>1835</x:v>
      </x:c>
      <x:c r="F6" s="29"/>
      <x:c r="G6" s="29"/>
      <x:c r="H6" s="29"/>
      <x:c r="I6" s="29"/>
      <x:c r="J6" s="29"/>
      <x:c r="K6" s="29"/>
    </x:row>
    <x:row r="7">
      <x:c r="A7" s="31" t="s">
        <x:v>1836</x:v>
      </x:c>
      <x:c r="B7" s="31" t="n">
        <x:f>COUNTIF(F27:F84,"Reemplazada por definición cliente")</x:f>
        <x:v>13</x:v>
      </x:c>
      <x:c r="C7" s="29"/>
      <x:c r="D7" s="31" t="s">
        <x:v>1837</x:v>
      </x:c>
      <x:c r="E7" s="31" t="s">
        <x:v>1838</x:v>
      </x:c>
      <x:c r="F7" s="29"/>
      <x:c r="G7" s="29"/>
      <x:c r="H7" s="29"/>
      <x:c r="I7" s="29"/>
      <x:c r="J7" s="29"/>
      <x:c r="K7" s="29"/>
    </x:row>
    <x:row r="8">
      <x:c r="A8" s="31" t="s">
        <x:v>1839</x:v>
      </x:c>
      <x:c r="B8" s="31" t="n">
        <x:f>COUNTIF(F27:F84,"Complemento a confirmar")</x:f>
        <x:v>7</x:v>
      </x:c>
      <x:c r="C8" s="29"/>
      <x:c r="D8" s="31" t="s">
        <x:v>1840</x:v>
      </x:c>
      <x:c r="E8" s="31" t="s">
        <x:v>1841</x:v>
      </x:c>
      <x:c r="F8" s="29"/>
      <x:c r="G8" s="29"/>
      <x:c r="H8" s="29"/>
      <x:c r="I8" s="29"/>
      <x:c r="J8" s="29"/>
      <x:c r="K8" s="29"/>
    </x:row>
    <x:row r="9">
      <x:c r="A9" s="31" t="s">
        <x:v>1842</x:v>
      </x:c>
      <x:c r="B9" s="31" t="n">
        <x:f>COUNTIF(F27:F84,"Referencia técnica ya cubierta")</x:f>
        <x:v>2</x:v>
      </x:c>
      <x:c r="C9" s="29"/>
      <x:c r="D9" s="31" t="s">
        <x:v>1843</x:v>
      </x:c>
      <x:c r="E9" s="31" t="s">
        <x:v>1844</x:v>
      </x:c>
      <x:c r="F9" s="29"/>
      <x:c r="G9" s="29"/>
      <x:c r="H9" s="29"/>
      <x:c r="I9" s="29"/>
      <x:c r="J9" s="29"/>
      <x:c r="K9" s="29"/>
    </x:row>
    <x:row r="10">
      <x:c r="A10" s="29"/>
      <x:c r="B10" s="29"/>
      <x:c r="C10" s="29"/>
      <x:c r="D10" s="29"/>
      <x:c r="E10" s="29"/>
      <x:c r="F10" s="29"/>
      <x:c r="G10" s="29"/>
      <x:c r="H10" s="29"/>
      <x:c r="I10" s="29"/>
      <x:c r="J10" s="29"/>
      <x:c r="K10" s="29"/>
    </x:row>
    <x:row r="11">
      <x:c r="A11" s="29"/>
      <x:c r="B11" s="29"/>
      <x:c r="C11" s="29"/>
      <x:c r="D11" s="29"/>
      <x:c r="E11" s="29"/>
      <x:c r="F11" s="29"/>
      <x:c r="G11" s="29"/>
      <x:c r="H11" s="29"/>
      <x:c r="I11" s="29"/>
      <x:c r="J11" s="29"/>
      <x:c r="K11" s="29"/>
    </x:row>
    <x:row r="12">
      <x:c r="A12" s="16" t="s">
        <x:v>1845</x:v>
      </x:c>
      <x:c r="B12" s="17"/>
      <x:c r="C12" s="17"/>
      <x:c r="D12" s="17"/>
      <x:c r="E12" s="17"/>
      <x:c r="F12" s="17"/>
      <x:c r="G12" s="17"/>
      <x:c r="H12" s="29"/>
      <x:c r="I12" s="29"/>
      <x:c r="J12" s="29"/>
      <x:c r="K12" s="29"/>
    </x:row>
    <x:row r="13">
      <x:c r="A13" s="32" t="s">
        <x:v>1756</x:v>
      </x:c>
      <x:c r="B13" s="32" t="s">
        <x:v>1846</x:v>
      </x:c>
      <x:c r="C13" s="32" t="s">
        <x:v>1847</x:v>
      </x:c>
      <x:c r="D13" s="32" t="s">
        <x:v>1848</x:v>
      </x:c>
      <x:c r="E13" s="32" t="s">
        <x:v>1849</x:v>
      </x:c>
      <x:c r="F13" s="32" t="s">
        <x:v>1850</x:v>
      </x:c>
      <x:c r="G13" s="32" t="s">
        <x:v>1851</x:v>
      </x:c>
      <x:c r="H13" s="29"/>
      <x:c r="I13" s="29"/>
      <x:c r="J13" s="29"/>
      <x:c r="K13" s="29"/>
    </x:row>
    <x:row r="14" ht="180" customHeight="1">
      <x:c r="A14" s="31" t="s">
        <x:v>1852</x:v>
      </x:c>
      <x:c r="B14" s="31" t="s">
        <x:v>1853</x:v>
      </x:c>
      <x:c r="C14" s="31" t="s">
        <x:v>1854</x:v>
      </x:c>
      <x:c r="D14" s="31" t="s">
        <x:v>1855</x:v>
      </x:c>
      <x:c r="E14" s="31" t="s">
        <x:v>1856</x:v>
      </x:c>
      <x:c r="F14" s="31" t="s">
        <x:v>1857</x:v>
      </x:c>
      <x:c r="G14" s="31" t="s">
        <x:v>1858</x:v>
      </x:c>
      <x:c r="H14" s="29"/>
      <x:c r="I14" s="29"/>
      <x:c r="J14" s="29"/>
      <x:c r="K14" s="29"/>
    </x:row>
    <x:row r="15" ht="180" customHeight="1">
      <x:c r="A15" s="31" t="s">
        <x:v>1399</x:v>
      </x:c>
      <x:c r="B15" s="31" t="s">
        <x:v>1859</x:v>
      </x:c>
      <x:c r="C15" s="31" t="s">
        <x:v>1860</x:v>
      </x:c>
      <x:c r="D15" s="31" t="s">
        <x:v>1861</x:v>
      </x:c>
      <x:c r="E15" s="31" t="s">
        <x:v>1862</x:v>
      </x:c>
      <x:c r="F15" s="31" t="s">
        <x:v>1857</x:v>
      </x:c>
      <x:c r="G15" s="31" t="s">
        <x:v>1863</x:v>
      </x:c>
      <x:c r="H15" s="29"/>
      <x:c r="I15" s="29"/>
      <x:c r="J15" s="29"/>
      <x:c r="K15" s="29"/>
    </x:row>
    <x:row r="16" ht="170.10000610351562" customHeight="1">
      <x:c r="A16" s="31" t="s">
        <x:v>1864</x:v>
      </x:c>
      <x:c r="B16" s="31" t="s">
        <x:v>1865</x:v>
      </x:c>
      <x:c r="C16" s="31" t="s">
        <x:v>1866</x:v>
      </x:c>
      <x:c r="D16" s="31" t="s">
        <x:v>1867</x:v>
      </x:c>
      <x:c r="E16" s="31" t="s">
        <x:v>1868</x:v>
      </x:c>
      <x:c r="F16" s="31" t="s">
        <x:v>1857</x:v>
      </x:c>
      <x:c r="G16" s="31" t="s">
        <x:v>1869</x:v>
      </x:c>
      <x:c r="H16" s="29"/>
      <x:c r="I16" s="29"/>
      <x:c r="J16" s="29"/>
      <x:c r="K16" s="29"/>
    </x:row>
    <x:row r="17" ht="140.10000610351562" customHeight="1">
      <x:c r="A17" s="31" t="s">
        <x:v>1870</x:v>
      </x:c>
      <x:c r="B17" s="31" t="s">
        <x:v>1871</x:v>
      </x:c>
      <x:c r="C17" s="31" t="s">
        <x:v>1872</x:v>
      </x:c>
      <x:c r="D17" s="31" t="s">
        <x:v>1873</x:v>
      </x:c>
      <x:c r="E17" s="31" t="s">
        <x:v>1874</x:v>
      </x:c>
      <x:c r="F17" s="31" t="s">
        <x:v>1857</x:v>
      </x:c>
      <x:c r="G17" s="31" t="s">
        <x:v>1875</x:v>
      </x:c>
      <x:c r="H17" s="29"/>
      <x:c r="I17" s="29"/>
      <x:c r="J17" s="29"/>
      <x:c r="K17" s="29"/>
    </x:row>
    <x:row r="18" ht="180" customHeight="1">
      <x:c r="A18" s="31" t="s">
        <x:v>1876</x:v>
      </x:c>
      <x:c r="B18" s="31" t="s">
        <x:v>688</x:v>
      </x:c>
      <x:c r="C18" s="31" t="s">
        <x:v>1877</x:v>
      </x:c>
      <x:c r="D18" s="31" t="s">
        <x:v>1878</x:v>
      </x:c>
      <x:c r="E18" s="31" t="s">
        <x:v>1879</x:v>
      </x:c>
      <x:c r="F18" s="31" t="s">
        <x:v>1857</x:v>
      </x:c>
      <x:c r="G18" s="31" t="s">
        <x:v>1880</x:v>
      </x:c>
      <x:c r="H18" s="29"/>
      <x:c r="I18" s="29"/>
      <x:c r="J18" s="29"/>
      <x:c r="K18" s="29"/>
    </x:row>
    <x:row r="19" ht="180" customHeight="1">
      <x:c r="A19" s="31" t="s">
        <x:v>1881</x:v>
      </x:c>
      <x:c r="B19" s="31" t="s">
        <x:v>1882</x:v>
      </x:c>
      <x:c r="C19" s="31" t="s">
        <x:v>1883</x:v>
      </x:c>
      <x:c r="D19" s="31" t="s">
        <x:v>1884</x:v>
      </x:c>
      <x:c r="E19" s="31" t="s">
        <x:v>1885</x:v>
      </x:c>
      <x:c r="F19" s="31" t="s">
        <x:v>1857</x:v>
      </x:c>
      <x:c r="G19" s="31" t="s">
        <x:v>1886</x:v>
      </x:c>
      <x:c r="H19" s="29"/>
      <x:c r="I19" s="29"/>
      <x:c r="J19" s="29"/>
      <x:c r="K19" s="29"/>
    </x:row>
    <x:row r="20" ht="155.10000610351562" customHeight="1">
      <x:c r="A20" s="31" t="s">
        <x:v>1887</x:v>
      </x:c>
      <x:c r="B20" s="31" t="s">
        <x:v>1888</x:v>
      </x:c>
      <x:c r="C20" s="31" t="s">
        <x:v>1889</x:v>
      </x:c>
      <x:c r="D20" s="31" t="s">
        <x:v>1890</x:v>
      </x:c>
      <x:c r="E20" s="31" t="s">
        <x:v>1891</x:v>
      </x:c>
      <x:c r="F20" s="31" t="s">
        <x:v>1857</x:v>
      </x:c>
      <x:c r="G20" s="31" t="s">
        <x:v>1892</x:v>
      </x:c>
      <x:c r="H20" s="29"/>
      <x:c r="I20" s="29"/>
      <x:c r="J20" s="29"/>
      <x:c r="K20" s="29"/>
    </x:row>
    <x:row r="21" ht="170.10000610351562" customHeight="1">
      <x:c r="A21" s="31" t="s">
        <x:v>1893</x:v>
      </x:c>
      <x:c r="B21" s="31" t="s">
        <x:v>1894</x:v>
      </x:c>
      <x:c r="C21" s="31" t="s">
        <x:v>1895</x:v>
      </x:c>
      <x:c r="D21" s="31" t="s">
        <x:v>1896</x:v>
      </x:c>
      <x:c r="E21" s="31" t="s">
        <x:v>1897</x:v>
      </x:c>
      <x:c r="F21" s="31" t="s">
        <x:v>1857</x:v>
      </x:c>
      <x:c r="G21" s="31" t="s">
        <x:v>1898</x:v>
      </x:c>
      <x:c r="H21" s="29"/>
      <x:c r="I21" s="29"/>
      <x:c r="J21" s="29"/>
      <x:c r="K21" s="29"/>
    </x:row>
    <x:row r="22" ht="180" customHeight="1">
      <x:c r="A22" s="31" t="s">
        <x:v>1899</x:v>
      </x:c>
      <x:c r="B22" s="31" t="s">
        <x:v>1900</x:v>
      </x:c>
      <x:c r="C22" s="31" t="s">
        <x:v>1901</x:v>
      </x:c>
      <x:c r="D22" s="31" t="s">
        <x:v>1902</x:v>
      </x:c>
      <x:c r="E22" s="31" t="s">
        <x:v>1903</x:v>
      </x:c>
      <x:c r="F22" s="31" t="s">
        <x:v>1857</x:v>
      </x:c>
      <x:c r="G22" s="31" t="s">
        <x:v>1904</x:v>
      </x:c>
      <x:c r="H22" s="29"/>
      <x:c r="I22" s="29"/>
      <x:c r="J22" s="29"/>
      <x:c r="K22" s="29"/>
    </x:row>
    <x:row r="23" ht="155.10000610351562" customHeight="1">
      <x:c r="A23" s="31" t="s">
        <x:v>1905</x:v>
      </x:c>
      <x:c r="B23" s="31" t="s">
        <x:v>1906</x:v>
      </x:c>
      <x:c r="C23" s="31" t="s">
        <x:v>1907</x:v>
      </x:c>
      <x:c r="D23" s="31" t="s">
        <x:v>1908</x:v>
      </x:c>
      <x:c r="E23" s="31" t="s">
        <x:v>1909</x:v>
      </x:c>
      <x:c r="F23" s="31" t="s">
        <x:v>1857</x:v>
      </x:c>
      <x:c r="G23" s="31" t="s">
        <x:v>1910</x:v>
      </x:c>
      <x:c r="H23" s="29"/>
      <x:c r="I23" s="29"/>
      <x:c r="J23" s="29"/>
      <x:c r="K23" s="29"/>
    </x:row>
    <x:row r="24">
      <x:c r="A24" s="29"/>
      <x:c r="B24" s="29"/>
      <x:c r="C24" s="29"/>
      <x:c r="D24" s="29"/>
      <x:c r="E24" s="29"/>
      <x:c r="F24" s="29"/>
      <x:c r="G24" s="29"/>
      <x:c r="H24" s="29"/>
      <x:c r="I24" s="29"/>
      <x:c r="J24" s="29"/>
      <x:c r="K24" s="29"/>
    </x:row>
    <x:row r="25">
      <x:c r="A25" s="16" t="s">
        <x:v>1911</x:v>
      </x:c>
      <x:c r="B25" s="17"/>
      <x:c r="C25" s="17"/>
      <x:c r="D25" s="17"/>
      <x:c r="E25" s="17"/>
      <x:c r="F25" s="17"/>
      <x:c r="G25" s="17"/>
      <x:c r="H25" s="17"/>
      <x:c r="I25" s="17"/>
      <x:c r="J25" s="17"/>
      <x:c r="K25" s="17"/>
    </x:row>
    <x:row r="26">
      <x:c r="A26" s="32" t="s">
        <x:v>1912</x:v>
      </x:c>
      <x:c r="B26" s="32" t="s">
        <x:v>1913</x:v>
      </x:c>
      <x:c r="C26" s="32" t="s">
        <x:v>1914</x:v>
      </x:c>
      <x:c r="D26" s="32" t="s">
        <x:v>1915</x:v>
      </x:c>
      <x:c r="E26" s="32" t="s">
        <x:v>1916</x:v>
      </x:c>
      <x:c r="F26" s="32" t="s">
        <x:v>1917</x:v>
      </x:c>
      <x:c r="G26" s="32" t="s">
        <x:v>1918</x:v>
      </x:c>
      <x:c r="H26" s="32" t="s">
        <x:v>1849</x:v>
      </x:c>
      <x:c r="I26" s="32" t="s">
        <x:v>1850</x:v>
      </x:c>
      <x:c r="J26" s="32" t="s">
        <x:v>1851</x:v>
      </x:c>
      <x:c r="K26" s="32" t="s">
        <x:v>1919</x:v>
      </x:c>
    </x:row>
    <x:row r="27" ht="95.0999984741211" customHeight="1">
      <x:c r="A27" s="31" t="s">
        <x:v>1920</x:v>
      </x:c>
      <x:c r="B27" s="31" t="s">
        <x:v>1921</x:v>
      </x:c>
      <x:c r="C27" s="31" t="s">
        <x:v>1922</x:v>
      </x:c>
      <x:c r="D27" s="31" t="s">
        <x:v>1923</x:v>
      </x:c>
      <x:c r="E27" s="31" t="s">
        <x:v>1196</x:v>
      </x:c>
      <x:c r="F27" s="31" t="s">
        <x:v>1924</x:v>
      </x:c>
      <x:c r="G27" s="31" t="s">
        <x:v>1925</x:v>
      </x:c>
      <x:c r="H27" s="31" t="s">
        <x:v>1926</x:v>
      </x:c>
      <x:c r="I27" s="31" t="s">
        <x:v>1857</x:v>
      </x:c>
      <x:c r="J27" s="31" t="s">
        <x:v>1927</x:v>
      </x:c>
      <x:c r="K27" s="31" t="s">
        <x:v>1835</x:v>
      </x:c>
    </x:row>
    <x:row r="28" ht="110.0999984741211" customHeight="1">
      <x:c r="A28" s="31" t="s">
        <x:v>1928</x:v>
      </x:c>
      <x:c r="B28" s="31" t="s">
        <x:v>1929</x:v>
      </x:c>
      <x:c r="C28" s="31" t="s">
        <x:v>1930</x:v>
      </x:c>
      <x:c r="D28" s="31" t="s">
        <x:v>1931</x:v>
      </x:c>
      <x:c r="E28" s="31" t="s">
        <x:v>45</x:v>
      </x:c>
      <x:c r="F28" s="31" t="s">
        <x:v>1932</x:v>
      </x:c>
      <x:c r="G28" s="31" t="s">
        <x:v>1933</x:v>
      </x:c>
      <x:c r="H28" s="31" t="s">
        <x:v>1934</x:v>
      </x:c>
      <x:c r="I28" s="31" t="s">
        <x:v>1857</x:v>
      </x:c>
      <x:c r="J28" s="31" t="s">
        <x:v>1935</x:v>
      </x:c>
      <x:c r="K28" s="31" t="s">
        <x:v>1835</x:v>
      </x:c>
    </x:row>
    <x:row r="29" ht="80.0999984741211" customHeight="1">
      <x:c r="A29" s="31" t="s">
        <x:v>1936</x:v>
      </x:c>
      <x:c r="B29" s="31" t="s">
        <x:v>1937</x:v>
      </x:c>
      <x:c r="C29" s="31" t="s">
        <x:v>1938</x:v>
      </x:c>
      <x:c r="D29" s="31" t="s">
        <x:v>1939</x:v>
      </x:c>
      <x:c r="E29" s="31" t="s">
        <x:v>1204</x:v>
      </x:c>
      <x:c r="F29" s="31" t="s">
        <x:v>1924</x:v>
      </x:c>
      <x:c r="G29" s="31" t="s">
        <x:v>1940</x:v>
      </x:c>
      <x:c r="H29" s="31" t="s">
        <x:v>1941</x:v>
      </x:c>
      <x:c r="I29" s="31" t="s">
        <x:v>1857</x:v>
      </x:c>
      <x:c r="J29" s="31" t="s">
        <x:v>1942</x:v>
      </x:c>
      <x:c r="K29" s="31" t="s">
        <x:v>1835</x:v>
      </x:c>
    </x:row>
    <x:row r="30" ht="110.0999984741211" customHeight="1">
      <x:c r="A30" s="31" t="s">
        <x:v>1943</x:v>
      </x:c>
      <x:c r="B30" s="31" t="s">
        <x:v>1944</x:v>
      </x:c>
      <x:c r="C30" s="31" t="s">
        <x:v>1945</x:v>
      </x:c>
      <x:c r="D30" s="31" t="s">
        <x:v>1946</x:v>
      </x:c>
      <x:c r="E30" s="31" t="s">
        <x:v>1947</x:v>
      </x:c>
      <x:c r="F30" s="31" t="s">
        <x:v>1948</x:v>
      </x:c>
      <x:c r="G30" s="31" t="s">
        <x:v>1949</x:v>
      </x:c>
      <x:c r="H30" s="31" t="s">
        <x:v>1950</x:v>
      </x:c>
      <x:c r="I30" s="31" t="s">
        <x:v>1857</x:v>
      </x:c>
      <x:c r="J30" s="31" t="s">
        <x:v>1951</x:v>
      </x:c>
      <x:c r="K30" s="31" t="s">
        <x:v>1835</x:v>
      </x:c>
    </x:row>
    <x:row r="31" ht="95.0999984741211" customHeight="1">
      <x:c r="A31" s="31" t="s">
        <x:v>1952</x:v>
      </x:c>
      <x:c r="B31" s="31" t="s">
        <x:v>1953</x:v>
      </x:c>
      <x:c r="C31" s="31" t="s">
        <x:v>1954</x:v>
      </x:c>
      <x:c r="D31" s="31" t="s">
        <x:v>1955</x:v>
      </x:c>
      <x:c r="E31" s="31" t="s">
        <x:v>1956</x:v>
      </x:c>
      <x:c r="F31" s="31" t="s">
        <x:v>1932</x:v>
      </x:c>
      <x:c r="G31" s="31" t="s">
        <x:v>1957</x:v>
      </x:c>
      <x:c r="H31" s="31" t="s">
        <x:v>1958</x:v>
      </x:c>
      <x:c r="I31" s="31" t="s">
        <x:v>1857</x:v>
      </x:c>
      <x:c r="J31" s="31" t="s">
        <x:v>1959</x:v>
      </x:c>
      <x:c r="K31" s="31" t="s">
        <x:v>1835</x:v>
      </x:c>
    </x:row>
    <x:row r="32" ht="95.0999984741211" customHeight="1">
      <x:c r="A32" s="31" t="s">
        <x:v>1960</x:v>
      </x:c>
      <x:c r="B32" s="31" t="s">
        <x:v>1961</x:v>
      </x:c>
      <x:c r="C32" s="31" t="s">
        <x:v>1962</x:v>
      </x:c>
      <x:c r="D32" s="31" t="s">
        <x:v>1963</x:v>
      </x:c>
      <x:c r="E32" s="31" t="s">
        <x:v>1964</x:v>
      </x:c>
      <x:c r="F32" s="31" t="s">
        <x:v>1932</x:v>
      </x:c>
      <x:c r="G32" s="31" t="s">
        <x:v>1965</x:v>
      </x:c>
      <x:c r="H32" s="31" t="s">
        <x:v>1966</x:v>
      </x:c>
      <x:c r="I32" s="31" t="s">
        <x:v>1857</x:v>
      </x:c>
      <x:c r="J32" s="31" t="s">
        <x:v>1967</x:v>
      </x:c>
      <x:c r="K32" s="31" t="s">
        <x:v>1835</x:v>
      </x:c>
    </x:row>
    <x:row r="33" ht="80.0999984741211" customHeight="1">
      <x:c r="A33" s="31" t="s">
        <x:v>1968</x:v>
      </x:c>
      <x:c r="B33" s="31" t="s">
        <x:v>1969</x:v>
      </x:c>
      <x:c r="C33" s="31" t="s">
        <x:v>1970</x:v>
      </x:c>
      <x:c r="D33" s="31" t="s">
        <x:v>1971</x:v>
      </x:c>
      <x:c r="E33" s="31" t="s">
        <x:v>1215</x:v>
      </x:c>
      <x:c r="F33" s="31" t="s">
        <x:v>1924</x:v>
      </x:c>
      <x:c r="G33" s="31" t="s">
        <x:v>1972</x:v>
      </x:c>
      <x:c r="H33" s="31" t="s">
        <x:v>1973</x:v>
      </x:c>
      <x:c r="I33" s="31" t="s">
        <x:v>1857</x:v>
      </x:c>
      <x:c r="J33" s="31" t="s">
        <x:v>1974</x:v>
      </x:c>
      <x:c r="K33" s="31" t="s">
        <x:v>1835</x:v>
      </x:c>
    </x:row>
    <x:row r="34" ht="65.0999984741211" customHeight="1">
      <x:c r="A34" s="31" t="s">
        <x:v>1975</x:v>
      </x:c>
      <x:c r="B34" s="31" t="s">
        <x:v>1976</x:v>
      </x:c>
      <x:c r="C34" s="31" t="s">
        <x:v>1977</x:v>
      </x:c>
      <x:c r="D34" s="31" t="s">
        <x:v>1978</x:v>
      </x:c>
      <x:c r="E34" s="31" t="s">
        <x:v>172</x:v>
      </x:c>
      <x:c r="F34" s="31" t="s">
        <x:v>1924</x:v>
      </x:c>
      <x:c r="G34" s="31" t="s">
        <x:v>1979</x:v>
      </x:c>
      <x:c r="H34" s="31" t="s">
        <x:v>1973</x:v>
      </x:c>
      <x:c r="I34" s="31" t="s">
        <x:v>1857</x:v>
      </x:c>
      <x:c r="J34" s="31" t="s">
        <x:v>1980</x:v>
      </x:c>
      <x:c r="K34" s="31" t="s">
        <x:v>1835</x:v>
      </x:c>
    </x:row>
    <x:row r="35" ht="65.0999984741211" customHeight="1">
      <x:c r="A35" s="31" t="s">
        <x:v>1981</x:v>
      </x:c>
      <x:c r="B35" s="31" t="s">
        <x:v>1982</x:v>
      </x:c>
      <x:c r="C35" s="31" t="s">
        <x:v>1977</x:v>
      </x:c>
      <x:c r="D35" s="31" t="s">
        <x:v>1983</x:v>
      </x:c>
      <x:c r="E35" s="31" t="s">
        <x:v>172</x:v>
      </x:c>
      <x:c r="F35" s="31" t="s">
        <x:v>1924</x:v>
      </x:c>
      <x:c r="G35" s="31" t="s">
        <x:v>1984</x:v>
      </x:c>
      <x:c r="H35" s="31" t="s">
        <x:v>1973</x:v>
      </x:c>
      <x:c r="I35" s="31" t="s">
        <x:v>1857</x:v>
      </x:c>
      <x:c r="J35" s="31" t="s">
        <x:v>1985</x:v>
      </x:c>
      <x:c r="K35" s="31" t="s">
        <x:v>1835</x:v>
      </x:c>
    </x:row>
    <x:row r="36" ht="65.0999984741211" customHeight="1">
      <x:c r="A36" s="31" t="s">
        <x:v>1986</x:v>
      </x:c>
      <x:c r="B36" s="31" t="s">
        <x:v>1987</x:v>
      </x:c>
      <x:c r="C36" s="31" t="s">
        <x:v>1988</x:v>
      </x:c>
      <x:c r="D36" s="31" t="s">
        <x:v>1989</x:v>
      </x:c>
      <x:c r="E36" s="31" t="s">
        <x:v>1990</x:v>
      </x:c>
      <x:c r="F36" s="31" t="s">
        <x:v>1932</x:v>
      </x:c>
      <x:c r="G36" s="31" t="s">
        <x:v>1991</x:v>
      </x:c>
      <x:c r="H36" s="31" t="s">
        <x:v>1992</x:v>
      </x:c>
      <x:c r="I36" s="31" t="s">
        <x:v>1857</x:v>
      </x:c>
      <x:c r="J36" s="31" t="s">
        <x:v>1993</x:v>
      </x:c>
      <x:c r="K36" s="31" t="s">
        <x:v>1835</x:v>
      </x:c>
    </x:row>
    <x:row r="37" ht="80.0999984741211" customHeight="1">
      <x:c r="A37" s="31" t="s">
        <x:v>1994</x:v>
      </x:c>
      <x:c r="B37" s="31" t="s">
        <x:v>1995</x:v>
      </x:c>
      <x:c r="C37" s="31" t="s">
        <x:v>1996</x:v>
      </x:c>
      <x:c r="D37" s="31" t="s">
        <x:v>1997</x:v>
      </x:c>
      <x:c r="E37" s="31" t="s">
        <x:v>1215</x:v>
      </x:c>
      <x:c r="F37" s="31" t="s">
        <x:v>1924</x:v>
      </x:c>
      <x:c r="G37" s="31" t="s">
        <x:v>1998</x:v>
      </x:c>
      <x:c r="H37" s="31" t="s">
        <x:v>1973</x:v>
      </x:c>
      <x:c r="I37" s="31" t="s">
        <x:v>1857</x:v>
      </x:c>
      <x:c r="J37" s="31" t="s">
        <x:v>1999</x:v>
      </x:c>
      <x:c r="K37" s="31" t="s">
        <x:v>1835</x:v>
      </x:c>
    </x:row>
    <x:row r="38" ht="65.0999984741211" customHeight="1">
      <x:c r="A38" s="31" t="s">
        <x:v>2000</x:v>
      </x:c>
      <x:c r="B38" s="31" t="s">
        <x:v>2001</x:v>
      </x:c>
      <x:c r="C38" s="31" t="s">
        <x:v>2002</x:v>
      </x:c>
      <x:c r="D38" s="31" t="s">
        <x:v>2003</x:v>
      </x:c>
      <x:c r="E38" s="31" t="s">
        <x:v>300</x:v>
      </x:c>
      <x:c r="F38" s="31" t="s">
        <x:v>1924</x:v>
      </x:c>
      <x:c r="G38" s="31" t="s">
        <x:v>2004</x:v>
      </x:c>
      <x:c r="H38" s="31" t="s">
        <x:v>1973</x:v>
      </x:c>
      <x:c r="I38" s="31" t="s">
        <x:v>1857</x:v>
      </x:c>
      <x:c r="J38" s="31" t="s">
        <x:v>2005</x:v>
      </x:c>
      <x:c r="K38" s="31" t="s">
        <x:v>1835</x:v>
      </x:c>
    </x:row>
    <x:row r="39" ht="65.0999984741211" customHeight="1">
      <x:c r="A39" s="31" t="s">
        <x:v>2006</x:v>
      </x:c>
      <x:c r="B39" s="31" t="s">
        <x:v>2007</x:v>
      </x:c>
      <x:c r="C39" s="31" t="s">
        <x:v>2008</x:v>
      </x:c>
      <x:c r="D39" s="31" t="s">
        <x:v>2009</x:v>
      </x:c>
      <x:c r="E39" s="31" t="s">
        <x:v>2010</x:v>
      </x:c>
      <x:c r="F39" s="31" t="s">
        <x:v>1932</x:v>
      </x:c>
      <x:c r="G39" s="31" t="s">
        <x:v>2011</x:v>
      </x:c>
      <x:c r="H39" s="31" t="s">
        <x:v>2012</x:v>
      </x:c>
      <x:c r="I39" s="31" t="s">
        <x:v>1857</x:v>
      </x:c>
      <x:c r="J39" s="31" t="s">
        <x:v>2013</x:v>
      </x:c>
      <x:c r="K39" s="31" t="s">
        <x:v>1835</x:v>
      </x:c>
    </x:row>
    <x:row r="40" ht="65.0999984741211" customHeight="1">
      <x:c r="A40" s="31" t="s">
        <x:v>2014</x:v>
      </x:c>
      <x:c r="B40" s="31" t="s">
        <x:v>2015</x:v>
      </x:c>
      <x:c r="C40" s="31" t="s">
        <x:v>2016</x:v>
      </x:c>
      <x:c r="D40" s="31" t="s">
        <x:v>2017</x:v>
      </x:c>
      <x:c r="E40" s="31" t="s">
        <x:v>325</x:v>
      </x:c>
      <x:c r="F40" s="31" t="s">
        <x:v>1924</x:v>
      </x:c>
      <x:c r="G40" s="31" t="s">
        <x:v>2018</x:v>
      </x:c>
      <x:c r="H40" s="31" t="s">
        <x:v>1973</x:v>
      </x:c>
      <x:c r="I40" s="31" t="s">
        <x:v>1857</x:v>
      </x:c>
      <x:c r="J40" s="31" t="s">
        <x:v>2019</x:v>
      </x:c>
      <x:c r="K40" s="31" t="s">
        <x:v>1835</x:v>
      </x:c>
    </x:row>
    <x:row r="41" ht="80.0999984741211" customHeight="1">
      <x:c r="A41" s="31" t="s">
        <x:v>2020</x:v>
      </x:c>
      <x:c r="B41" s="31" t="s">
        <x:v>2021</x:v>
      </x:c>
      <x:c r="C41" s="31" t="s">
        <x:v>2022</x:v>
      </x:c>
      <x:c r="D41" s="31" t="s">
        <x:v>2023</x:v>
      </x:c>
      <x:c r="E41" s="31" t="s">
        <x:v>2024</x:v>
      </x:c>
      <x:c r="F41" s="31" t="s">
        <x:v>1932</x:v>
      </x:c>
      <x:c r="G41" s="31" t="s">
        <x:v>2025</x:v>
      </x:c>
      <x:c r="H41" s="31" t="s">
        <x:v>1958</x:v>
      </x:c>
      <x:c r="I41" s="31" t="s">
        <x:v>1857</x:v>
      </x:c>
      <x:c r="J41" s="31" t="s">
        <x:v>2026</x:v>
      </x:c>
      <x:c r="K41" s="31" t="s">
        <x:v>1835</x:v>
      </x:c>
    </x:row>
    <x:row r="42" ht="80.0999984741211" customHeight="1">
      <x:c r="A42" s="31" t="s">
        <x:v>2027</x:v>
      </x:c>
      <x:c r="B42" s="31" t="s">
        <x:v>2028</x:v>
      </x:c>
      <x:c r="C42" s="31" t="s">
        <x:v>2029</x:v>
      </x:c>
      <x:c r="D42" s="31" t="s">
        <x:v>2030</x:v>
      </x:c>
      <x:c r="E42" s="31" t="s">
        <x:v>2031</x:v>
      </x:c>
      <x:c r="F42" s="31" t="s">
        <x:v>1932</x:v>
      </x:c>
      <x:c r="G42" s="31" t="s">
        <x:v>2032</x:v>
      </x:c>
      <x:c r="H42" s="31" t="s">
        <x:v>2033</x:v>
      </x:c>
      <x:c r="I42" s="31" t="s">
        <x:v>1857</x:v>
      </x:c>
      <x:c r="J42" s="31" t="s">
        <x:v>2034</x:v>
      </x:c>
      <x:c r="K42" s="31" t="s">
        <x:v>1835</x:v>
      </x:c>
    </x:row>
    <x:row r="43" ht="95.0999984741211" customHeight="1">
      <x:c r="A43" s="31" t="s">
        <x:v>2035</x:v>
      </x:c>
      <x:c r="B43" s="31" t="s">
        <x:v>2036</x:v>
      </x:c>
      <x:c r="C43" s="31" t="s">
        <x:v>2037</x:v>
      </x:c>
      <x:c r="D43" s="31" t="s">
        <x:v>2038</x:v>
      </x:c>
      <x:c r="E43" s="31" t="s">
        <x:v>2039</x:v>
      </x:c>
      <x:c r="F43" s="31" t="s">
        <x:v>1948</x:v>
      </x:c>
      <x:c r="G43" s="31" t="s">
        <x:v>2040</x:v>
      </x:c>
      <x:c r="H43" s="31" t="s">
        <x:v>2041</x:v>
      </x:c>
      <x:c r="I43" s="31" t="s">
        <x:v>1857</x:v>
      </x:c>
      <x:c r="J43" s="31" t="s">
        <x:v>2042</x:v>
      </x:c>
      <x:c r="K43" s="31" t="s">
        <x:v>1835</x:v>
      </x:c>
    </x:row>
    <x:row r="44" ht="125.0999984741211" customHeight="1">
      <x:c r="A44" s="31" t="s">
        <x:v>2043</x:v>
      </x:c>
      <x:c r="B44" s="31" t="s">
        <x:v>2044</x:v>
      </x:c>
      <x:c r="C44" s="31" t="s">
        <x:v>2045</x:v>
      </x:c>
      <x:c r="D44" s="31" t="s">
        <x:v>2046</x:v>
      </x:c>
      <x:c r="E44" s="31" t="s">
        <x:v>2047</x:v>
      </x:c>
      <x:c r="F44" s="31" t="s">
        <x:v>1948</x:v>
      </x:c>
      <x:c r="G44" s="31" t="s">
        <x:v>2048</x:v>
      </x:c>
      <x:c r="H44" s="31" t="s">
        <x:v>2049</x:v>
      </x:c>
      <x:c r="I44" s="31" t="s">
        <x:v>1857</x:v>
      </x:c>
      <x:c r="J44" s="31" t="s">
        <x:v>2050</x:v>
      </x:c>
      <x:c r="K44" s="31" t="s">
        <x:v>1835</x:v>
      </x:c>
    </x:row>
    <x:row r="45" ht="110.0999984741211" customHeight="1">
      <x:c r="A45" s="31" t="s">
        <x:v>2051</x:v>
      </x:c>
      <x:c r="B45" s="31" t="s">
        <x:v>2052</x:v>
      </x:c>
      <x:c r="C45" s="31" t="s">
        <x:v>2053</x:v>
      </x:c>
      <x:c r="D45" s="31" t="s">
        <x:v>2054</x:v>
      </x:c>
      <x:c r="E45" s="31" t="s">
        <x:v>2055</x:v>
      </x:c>
      <x:c r="F45" s="31" t="s">
        <x:v>1948</x:v>
      </x:c>
      <x:c r="G45" s="31" t="s">
        <x:v>2056</x:v>
      </x:c>
      <x:c r="H45" s="31" t="s">
        <x:v>2057</x:v>
      </x:c>
      <x:c r="I45" s="31" t="s">
        <x:v>1857</x:v>
      </x:c>
      <x:c r="J45" s="31" t="s">
        <x:v>2058</x:v>
      </x:c>
      <x:c r="K45" s="31" t="s">
        <x:v>1835</x:v>
      </x:c>
    </x:row>
    <x:row r="46" ht="114.94999694824219" customHeight="1">
      <x:c r="A46" s="31" t="s">
        <x:v>2059</x:v>
      </x:c>
      <x:c r="B46" s="31" t="s">
        <x:v>2060</x:v>
      </x:c>
      <x:c r="C46" s="31" t="s">
        <x:v>2061</x:v>
      </x:c>
      <x:c r="D46" s="31" t="s">
        <x:v>2062</x:v>
      </x:c>
      <x:c r="E46" s="31" t="s">
        <x:v>2063</x:v>
      </x:c>
      <x:c r="F46" s="31" t="s">
        <x:v>1948</x:v>
      </x:c>
      <x:c r="G46" s="31" t="s">
        <x:v>2064</x:v>
      </x:c>
      <x:c r="H46" s="31" t="s">
        <x:v>2065</x:v>
      </x:c>
      <x:c r="I46" s="31" t="s">
        <x:v>1857</x:v>
      </x:c>
      <x:c r="J46" s="31" t="s">
        <x:v>2066</x:v>
      </x:c>
      <x:c r="K46" s="31" t="s">
        <x:v>1835</x:v>
      </x:c>
    </x:row>
    <x:row r="47" ht="95.0999984741211" customHeight="1">
      <x:c r="A47" s="31" t="s">
        <x:v>2067</x:v>
      </x:c>
      <x:c r="B47" s="31" t="s">
        <x:v>2068</x:v>
      </x:c>
      <x:c r="C47" s="31" t="s">
        <x:v>2069</x:v>
      </x:c>
      <x:c r="D47" s="31" t="s">
        <x:v>2070</x:v>
      </x:c>
      <x:c r="E47" s="31" t="s">
        <x:v>2071</x:v>
      </x:c>
      <x:c r="F47" s="31" t="s">
        <x:v>1932</x:v>
      </x:c>
      <x:c r="G47" s="31" t="s">
        <x:v>2072</x:v>
      </x:c>
      <x:c r="H47" s="31" t="s">
        <x:v>2073</x:v>
      </x:c>
      <x:c r="I47" s="31" t="s">
        <x:v>1857</x:v>
      </x:c>
      <x:c r="J47" s="31" t="s">
        <x:v>2074</x:v>
      </x:c>
      <x:c r="K47" s="31" t="s">
        <x:v>1835</x:v>
      </x:c>
    </x:row>
    <x:row r="48" ht="65.0999984741211" customHeight="1">
      <x:c r="A48" s="31" t="s">
        <x:v>2075</x:v>
      </x:c>
      <x:c r="B48" s="31" t="s">
        <x:v>2076</x:v>
      </x:c>
      <x:c r="C48" s="31" t="s">
        <x:v>2077</x:v>
      </x:c>
      <x:c r="D48" s="31" t="s">
        <x:v>2078</x:v>
      </x:c>
      <x:c r="E48" s="31" t="s">
        <x:v>2079</x:v>
      </x:c>
      <x:c r="F48" s="31" t="s">
        <x:v>1924</x:v>
      </x:c>
      <x:c r="G48" s="31" t="s">
        <x:v>2080</x:v>
      </x:c>
      <x:c r="H48" s="31" t="s">
        <x:v>1973</x:v>
      </x:c>
      <x:c r="I48" s="31" t="s">
        <x:v>1857</x:v>
      </x:c>
      <x:c r="J48" s="31" t="s">
        <x:v>2081</x:v>
      </x:c>
      <x:c r="K48" s="31" t="s">
        <x:v>1835</x:v>
      </x:c>
    </x:row>
    <x:row r="49" ht="95.0999984741211" customHeight="1">
      <x:c r="A49" s="31" t="s">
        <x:v>2082</x:v>
      </x:c>
      <x:c r="B49" s="31" t="s">
        <x:v>2083</x:v>
      </x:c>
      <x:c r="C49" s="31" t="s">
        <x:v>2084</x:v>
      </x:c>
      <x:c r="D49" s="31" t="s">
        <x:v>2085</x:v>
      </x:c>
      <x:c r="E49" s="31" t="s">
        <x:v>2079</x:v>
      </x:c>
      <x:c r="F49" s="31" t="s">
        <x:v>1924</x:v>
      </x:c>
      <x:c r="G49" s="31" t="s">
        <x:v>2086</x:v>
      </x:c>
      <x:c r="H49" s="31" t="s">
        <x:v>2087</x:v>
      </x:c>
      <x:c r="I49" s="31" t="s">
        <x:v>1857</x:v>
      </x:c>
      <x:c r="J49" s="31" t="s">
        <x:v>2088</x:v>
      </x:c>
      <x:c r="K49" s="31" t="s">
        <x:v>1835</x:v>
      </x:c>
    </x:row>
    <x:row r="50" ht="80.0999984741211" customHeight="1">
      <x:c r="A50" s="31" t="s">
        <x:v>2089</x:v>
      </x:c>
      <x:c r="B50" s="31" t="s">
        <x:v>2090</x:v>
      </x:c>
      <x:c r="C50" s="31" t="s">
        <x:v>2091</x:v>
      </x:c>
      <x:c r="D50" s="31" t="s">
        <x:v>2092</x:v>
      </x:c>
      <x:c r="E50" s="31" t="s">
        <x:v>2093</x:v>
      </x:c>
      <x:c r="F50" s="31" t="s">
        <x:v>1948</x:v>
      </x:c>
      <x:c r="G50" s="31" t="s">
        <x:v>2094</x:v>
      </x:c>
      <x:c r="H50" s="31" t="s">
        <x:v>2095</x:v>
      </x:c>
      <x:c r="I50" s="31" t="s">
        <x:v>1857</x:v>
      </x:c>
      <x:c r="J50" s="31" t="s">
        <x:v>2096</x:v>
      </x:c>
      <x:c r="K50" s="31" t="s">
        <x:v>1835</x:v>
      </x:c>
    </x:row>
    <x:row r="51" ht="65.0999984741211" customHeight="1">
      <x:c r="A51" s="31" t="s">
        <x:v>2097</x:v>
      </x:c>
      <x:c r="B51" s="31" t="s">
        <x:v>1319</x:v>
      </x:c>
      <x:c r="C51" s="31" t="s">
        <x:v>2084</x:v>
      </x:c>
      <x:c r="D51" s="31" t="s">
        <x:v>2098</x:v>
      </x:c>
      <x:c r="E51" s="31" t="s">
        <x:v>2099</x:v>
      </x:c>
      <x:c r="F51" s="31" t="s">
        <x:v>1948</x:v>
      </x:c>
      <x:c r="G51" s="31" t="s">
        <x:v>2100</x:v>
      </x:c>
      <x:c r="H51" s="31" t="s">
        <x:v>2101</x:v>
      </x:c>
      <x:c r="I51" s="31" t="s">
        <x:v>1857</x:v>
      </x:c>
      <x:c r="J51" s="31" t="s">
        <x:v>2102</x:v>
      </x:c>
      <x:c r="K51" s="31" t="s">
        <x:v>1835</x:v>
      </x:c>
    </x:row>
    <x:row r="52" ht="65.0999984741211" customHeight="1">
      <x:c r="A52" s="31" t="s">
        <x:v>2103</x:v>
      </x:c>
      <x:c r="B52" s="31" t="s">
        <x:v>1331</x:v>
      </x:c>
      <x:c r="C52" s="31" t="s">
        <x:v>2091</x:v>
      </x:c>
      <x:c r="D52" s="31" t="s">
        <x:v>2104</x:v>
      </x:c>
      <x:c r="E52" s="31" t="s">
        <x:v>2105</x:v>
      </x:c>
      <x:c r="F52" s="31" t="s">
        <x:v>1948</x:v>
      </x:c>
      <x:c r="G52" s="31" t="s">
        <x:v>2106</x:v>
      </x:c>
      <x:c r="H52" s="31" t="s">
        <x:v>2107</x:v>
      </x:c>
      <x:c r="I52" s="31" t="s">
        <x:v>1857</x:v>
      </x:c>
      <x:c r="J52" s="31" t="s">
        <x:v>2108</x:v>
      </x:c>
      <x:c r="K52" s="31" t="s">
        <x:v>1835</x:v>
      </x:c>
    </x:row>
    <x:row r="53" ht="80.0999984741211" customHeight="1">
      <x:c r="A53" s="31" t="s">
        <x:v>2109</x:v>
      </x:c>
      <x:c r="B53" s="31" t="s">
        <x:v>2110</x:v>
      </x:c>
      <x:c r="C53" s="31" t="s">
        <x:v>2111</x:v>
      </x:c>
      <x:c r="D53" s="31" t="s">
        <x:v>2112</x:v>
      </x:c>
      <x:c r="E53" s="31" t="s">
        <x:v>2113</x:v>
      </x:c>
      <x:c r="F53" s="31" t="s">
        <x:v>1948</x:v>
      </x:c>
      <x:c r="G53" s="31" t="s">
        <x:v>2114</x:v>
      </x:c>
      <x:c r="H53" s="31" t="s">
        <x:v>2115</x:v>
      </x:c>
      <x:c r="I53" s="31" t="s">
        <x:v>1857</x:v>
      </x:c>
      <x:c r="J53" s="31" t="s">
        <x:v>2116</x:v>
      </x:c>
      <x:c r="K53" s="31" t="s">
        <x:v>1835</x:v>
      </x:c>
    </x:row>
    <x:row r="54" ht="80.0999984741211" customHeight="1">
      <x:c r="A54" s="31" t="s">
        <x:v>2117</x:v>
      </x:c>
      <x:c r="B54" s="31" t="s">
        <x:v>1344</x:v>
      </x:c>
      <x:c r="C54" s="31" t="s">
        <x:v>2118</x:v>
      </x:c>
      <x:c r="D54" s="31" t="s">
        <x:v>2119</x:v>
      </x:c>
      <x:c r="E54" s="31" t="s">
        <x:v>810</x:v>
      </x:c>
      <x:c r="F54" s="31" t="s">
        <x:v>1924</x:v>
      </x:c>
      <x:c r="G54" s="31" t="s">
        <x:v>2120</x:v>
      </x:c>
      <x:c r="H54" s="31" t="s">
        <x:v>1973</x:v>
      </x:c>
      <x:c r="I54" s="31" t="s">
        <x:v>1857</x:v>
      </x:c>
      <x:c r="J54" s="31" t="s">
        <x:v>2121</x:v>
      </x:c>
      <x:c r="K54" s="31" t="s">
        <x:v>1835</x:v>
      </x:c>
    </x:row>
    <x:row r="55" ht="80.0999984741211" customHeight="1">
      <x:c r="A55" s="31" t="s">
        <x:v>2122</x:v>
      </x:c>
      <x:c r="B55" s="31" t="s">
        <x:v>2123</x:v>
      </x:c>
      <x:c r="C55" s="31" t="s">
        <x:v>2124</x:v>
      </x:c>
      <x:c r="D55" s="31" t="s">
        <x:v>2125</x:v>
      </x:c>
      <x:c r="E55" s="31" t="s">
        <x:v>2126</x:v>
      </x:c>
      <x:c r="F55" s="31" t="s">
        <x:v>1932</x:v>
      </x:c>
      <x:c r="G55" s="31" t="s">
        <x:v>2127</x:v>
      </x:c>
      <x:c r="H55" s="31" t="s">
        <x:v>2128</x:v>
      </x:c>
      <x:c r="I55" s="31" t="s">
        <x:v>1857</x:v>
      </x:c>
      <x:c r="J55" s="31" t="s">
        <x:v>2129</x:v>
      </x:c>
      <x:c r="K55" s="31" t="s">
        <x:v>1835</x:v>
      </x:c>
    </x:row>
    <x:row r="56" ht="65.0999984741211" customHeight="1">
      <x:c r="A56" s="31" t="s">
        <x:v>2130</x:v>
      </x:c>
      <x:c r="B56" s="31" t="s">
        <x:v>2131</x:v>
      </x:c>
      <x:c r="C56" s="31" t="s">
        <x:v>2132</x:v>
      </x:c>
      <x:c r="D56" s="31" t="s">
        <x:v>2133</x:v>
      </x:c>
      <x:c r="E56" s="31" t="s">
        <x:v>2134</x:v>
      </x:c>
      <x:c r="F56" s="31" t="s">
        <x:v>1932</x:v>
      </x:c>
      <x:c r="G56" s="31" t="s">
        <x:v>2135</x:v>
      </x:c>
      <x:c r="H56" s="31" t="s">
        <x:v>2136</x:v>
      </x:c>
      <x:c r="I56" s="31" t="s">
        <x:v>1857</x:v>
      </x:c>
      <x:c r="J56" s="31" t="s">
        <x:v>2137</x:v>
      </x:c>
      <x:c r="K56" s="31" t="s">
        <x:v>1835</x:v>
      </x:c>
    </x:row>
    <x:row r="57" ht="65.0999984741211" customHeight="1">
      <x:c r="A57" s="31" t="s">
        <x:v>2138</x:v>
      </x:c>
      <x:c r="B57" s="31" t="s">
        <x:v>2139</x:v>
      </x:c>
      <x:c r="C57" s="31" t="s">
        <x:v>2140</x:v>
      </x:c>
      <x:c r="D57" s="31" t="s">
        <x:v>2141</x:v>
      </x:c>
      <x:c r="E57" s="31" t="s">
        <x:v>2142</x:v>
      </x:c>
      <x:c r="F57" s="31" t="s">
        <x:v>1924</x:v>
      </x:c>
      <x:c r="G57" s="31" t="s">
        <x:v>2143</x:v>
      </x:c>
      <x:c r="H57" s="31" t="s">
        <x:v>1973</x:v>
      </x:c>
      <x:c r="I57" s="31" t="s">
        <x:v>1857</x:v>
      </x:c>
      <x:c r="J57" s="31" t="s">
        <x:v>2144</x:v>
      </x:c>
      <x:c r="K57" s="31" t="s">
        <x:v>1835</x:v>
      </x:c>
    </x:row>
    <x:row r="58" ht="80.0999984741211" customHeight="1">
      <x:c r="A58" s="31" t="s">
        <x:v>2145</x:v>
      </x:c>
      <x:c r="B58" s="31" t="s">
        <x:v>2146</x:v>
      </x:c>
      <x:c r="C58" s="31" t="s">
        <x:v>2147</x:v>
      </x:c>
      <x:c r="D58" s="31" t="s">
        <x:v>2148</x:v>
      </x:c>
      <x:c r="E58" s="31" t="s">
        <x:v>2149</x:v>
      </x:c>
      <x:c r="F58" s="31" t="s">
        <x:v>1932</x:v>
      </x:c>
      <x:c r="G58" s="31" t="s">
        <x:v>2150</x:v>
      </x:c>
      <x:c r="H58" s="31" t="s">
        <x:v>2151</x:v>
      </x:c>
      <x:c r="I58" s="31" t="s">
        <x:v>1857</x:v>
      </x:c>
      <x:c r="J58" s="31" t="s">
        <x:v>2152</x:v>
      </x:c>
      <x:c r="K58" s="31" t="s">
        <x:v>1835</x:v>
      </x:c>
    </x:row>
    <x:row r="59" ht="95.0999984741211" customHeight="1">
      <x:c r="A59" s="31" t="s">
        <x:v>2153</x:v>
      </x:c>
      <x:c r="B59" s="31" t="s">
        <x:v>2154</x:v>
      </x:c>
      <x:c r="C59" s="31" t="s">
        <x:v>2155</x:v>
      </x:c>
      <x:c r="D59" s="31" t="s">
        <x:v>2156</x:v>
      </x:c>
      <x:c r="E59" s="31" t="s">
        <x:v>2157</x:v>
      </x:c>
      <x:c r="F59" s="31" t="s">
        <x:v>1948</x:v>
      </x:c>
      <x:c r="G59" s="31" t="s">
        <x:v>2158</x:v>
      </x:c>
      <x:c r="H59" s="31" t="s">
        <x:v>2159</x:v>
      </x:c>
      <x:c r="I59" s="31" t="s">
        <x:v>1857</x:v>
      </x:c>
      <x:c r="J59" s="31" t="s">
        <x:v>2160</x:v>
      </x:c>
      <x:c r="K59" s="31" t="s">
        <x:v>1835</x:v>
      </x:c>
    </x:row>
    <x:row r="60" ht="65.0999984741211" customHeight="1">
      <x:c r="A60" s="31" t="s">
        <x:v>2161</x:v>
      </x:c>
      <x:c r="B60" s="31" t="s">
        <x:v>2162</x:v>
      </x:c>
      <x:c r="C60" s="31" t="s">
        <x:v>2163</x:v>
      </x:c>
      <x:c r="D60" s="31" t="s">
        <x:v>2164</x:v>
      </x:c>
      <x:c r="E60" s="31" t="s">
        <x:v>2165</x:v>
      </x:c>
      <x:c r="F60" s="31" t="s">
        <x:v>1932</x:v>
      </x:c>
      <x:c r="G60" s="31" t="s">
        <x:v>2166</x:v>
      </x:c>
      <x:c r="H60" s="31" t="s">
        <x:v>2167</x:v>
      </x:c>
      <x:c r="I60" s="31" t="s">
        <x:v>1857</x:v>
      </x:c>
      <x:c r="J60" s="31" t="s">
        <x:v>2168</x:v>
      </x:c>
      <x:c r="K60" s="31" t="s">
        <x:v>1835</x:v>
      </x:c>
    </x:row>
    <x:row r="61" ht="87.94999694824219" customHeight="1">
      <x:c r="A61" s="31" t="s">
        <x:v>2169</x:v>
      </x:c>
      <x:c r="B61" s="31" t="s">
        <x:v>2170</x:v>
      </x:c>
      <x:c r="C61" s="31" t="s">
        <x:v>2171</x:v>
      </x:c>
      <x:c r="D61" s="31" t="s">
        <x:v>2172</x:v>
      </x:c>
      <x:c r="E61" s="31" t="s">
        <x:v>2165</x:v>
      </x:c>
      <x:c r="F61" s="31" t="s">
        <x:v>1948</x:v>
      </x:c>
      <x:c r="G61" s="31" t="s">
        <x:v>2173</x:v>
      </x:c>
      <x:c r="H61" s="31" t="s">
        <x:v>2174</x:v>
      </x:c>
      <x:c r="I61" s="31" t="s">
        <x:v>1857</x:v>
      </x:c>
      <x:c r="J61" s="31" t="s">
        <x:v>2175</x:v>
      </x:c>
      <x:c r="K61" s="31" t="s">
        <x:v>1835</x:v>
      </x:c>
    </x:row>
    <x:row r="62" ht="80.0999984741211" customHeight="1">
      <x:c r="A62" s="31" t="s">
        <x:v>2176</x:v>
      </x:c>
      <x:c r="B62" s="31" t="s">
        <x:v>2177</x:v>
      </x:c>
      <x:c r="C62" s="31" t="s">
        <x:v>2163</x:v>
      </x:c>
      <x:c r="D62" s="31" t="s">
        <x:v>2178</x:v>
      </x:c>
      <x:c r="E62" s="31" t="s">
        <x:v>2179</x:v>
      </x:c>
      <x:c r="F62" s="31" t="s">
        <x:v>1924</x:v>
      </x:c>
      <x:c r="G62" s="31" t="s">
        <x:v>2180</x:v>
      </x:c>
      <x:c r="H62" s="31" t="s">
        <x:v>1973</x:v>
      </x:c>
      <x:c r="I62" s="31" t="s">
        <x:v>1857</x:v>
      </x:c>
      <x:c r="J62" s="31" t="s">
        <x:v>2181</x:v>
      </x:c>
      <x:c r="K62" s="31" t="s">
        <x:v>1835</x:v>
      </x:c>
    </x:row>
    <x:row r="63" ht="65.0999984741211" customHeight="1">
      <x:c r="A63" s="31" t="s">
        <x:v>2182</x:v>
      </x:c>
      <x:c r="B63" s="31" t="s">
        <x:v>2183</x:v>
      </x:c>
      <x:c r="C63" s="31" t="s">
        <x:v>2184</x:v>
      </x:c>
      <x:c r="D63" s="31" t="s">
        <x:v>2185</x:v>
      </x:c>
      <x:c r="E63" s="31" t="s">
        <x:v>2179</x:v>
      </x:c>
      <x:c r="F63" s="31" t="s">
        <x:v>1924</x:v>
      </x:c>
      <x:c r="G63" s="31" t="s">
        <x:v>2186</x:v>
      </x:c>
      <x:c r="H63" s="31" t="s">
        <x:v>1973</x:v>
      </x:c>
      <x:c r="I63" s="31" t="s">
        <x:v>1857</x:v>
      </x:c>
      <x:c r="J63" s="31" t="s">
        <x:v>2187</x:v>
      </x:c>
      <x:c r="K63" s="31" t="s">
        <x:v>1835</x:v>
      </x:c>
    </x:row>
    <x:row r="64" ht="65.0999984741211" customHeight="1">
      <x:c r="A64" s="31" t="s">
        <x:v>2188</x:v>
      </x:c>
      <x:c r="B64" s="31" t="s">
        <x:v>2189</x:v>
      </x:c>
      <x:c r="C64" s="31" t="s">
        <x:v>2190</x:v>
      </x:c>
      <x:c r="D64" s="31" t="s">
        <x:v>2191</x:v>
      </x:c>
      <x:c r="E64" s="31" t="s">
        <x:v>2165</x:v>
      </x:c>
      <x:c r="F64" s="31" t="s">
        <x:v>1932</x:v>
      </x:c>
      <x:c r="G64" s="31" t="s">
        <x:v>2192</x:v>
      </x:c>
      <x:c r="H64" s="31" t="s">
        <x:v>2193</x:v>
      </x:c>
      <x:c r="I64" s="31" t="s">
        <x:v>1857</x:v>
      </x:c>
      <x:c r="J64" s="31" t="s">
        <x:v>2194</x:v>
      </x:c>
      <x:c r="K64" s="31" t="s">
        <x:v>1835</x:v>
      </x:c>
    </x:row>
    <x:row r="65" ht="51.95000076293945" customHeight="1">
      <x:c r="A65" s="31" t="s">
        <x:v>2195</x:v>
      </x:c>
      <x:c r="B65" s="31" t="s">
        <x:v>2196</x:v>
      </x:c>
      <x:c r="C65" s="31" t="s">
        <x:v>2029</x:v>
      </x:c>
      <x:c r="D65" s="31" t="s">
        <x:v>2030</x:v>
      </x:c>
      <x:c r="E65" s="31" t="s">
        <x:v>2197</x:v>
      </x:c>
      <x:c r="F65" s="31" t="s">
        <x:v>1924</x:v>
      </x:c>
      <x:c r="G65" s="31" t="s">
        <x:v>2198</x:v>
      </x:c>
      <x:c r="H65" s="31" t="s">
        <x:v>1973</x:v>
      </x:c>
      <x:c r="I65" s="31" t="s">
        <x:v>1857</x:v>
      </x:c>
      <x:c r="J65" s="31" t="s">
        <x:v>2199</x:v>
      </x:c>
      <x:c r="K65" s="31" t="s">
        <x:v>1835</x:v>
      </x:c>
    </x:row>
    <x:row r="66" ht="65.0999984741211" customHeight="1">
      <x:c r="A66" s="31" t="s">
        <x:v>2200</x:v>
      </x:c>
      <x:c r="B66" s="31" t="s">
        <x:v>2201</x:v>
      </x:c>
      <x:c r="C66" s="31" t="s">
        <x:v>2202</x:v>
      </x:c>
      <x:c r="D66" s="31" t="s">
        <x:v>2202</x:v>
      </x:c>
      <x:c r="E66" s="31" t="s">
        <x:v>2203</x:v>
      </x:c>
      <x:c r="F66" s="31" t="s">
        <x:v>2204</x:v>
      </x:c>
      <x:c r="G66" s="31" t="s">
        <x:v>2205</x:v>
      </x:c>
      <x:c r="H66" s="31" t="s">
        <x:v>2206</x:v>
      </x:c>
      <x:c r="I66" s="31" t="s">
        <x:v>1857</x:v>
      </x:c>
      <x:c r="J66" s="31" t="s">
        <x:v>2207</x:v>
      </x:c>
      <x:c r="K66" s="31" t="s">
        <x:v>1835</x:v>
      </x:c>
    </x:row>
    <x:row r="67" ht="80.0999984741211" customHeight="1">
      <x:c r="A67" s="31" t="s">
        <x:v>2208</x:v>
      </x:c>
      <x:c r="B67" s="31" t="s">
        <x:v>2209</x:v>
      </x:c>
      <x:c r="C67" s="31" t="s">
        <x:v>2210</x:v>
      </x:c>
      <x:c r="D67" s="31" t="s">
        <x:v>2211</x:v>
      </x:c>
      <x:c r="E67" s="31" t="s">
        <x:v>2212</x:v>
      </x:c>
      <x:c r="F67" s="31" t="s">
        <x:v>2204</x:v>
      </x:c>
      <x:c r="G67" s="31" t="s">
        <x:v>2213</x:v>
      </x:c>
      <x:c r="H67" s="31" t="s">
        <x:v>2214</x:v>
      </x:c>
      <x:c r="I67" s="31" t="s">
        <x:v>1857</x:v>
      </x:c>
      <x:c r="J67" s="31" t="s">
        <x:v>2215</x:v>
      </x:c>
      <x:c r="K67" s="31" t="s">
        <x:v>1835</x:v>
      </x:c>
    </x:row>
    <x:row r="68" ht="65.0999984741211" customHeight="1">
      <x:c r="A68" s="31" t="s">
        <x:v>2216</x:v>
      </x:c>
      <x:c r="B68" s="31" t="s">
        <x:v>2217</x:v>
      </x:c>
      <x:c r="C68" s="31" t="s">
        <x:v>2218</x:v>
      </x:c>
      <x:c r="D68" s="31" t="s">
        <x:v>2219</x:v>
      </x:c>
      <x:c r="E68" s="31" t="s">
        <x:v>2220</x:v>
      </x:c>
      <x:c r="F68" s="31" t="s">
        <x:v>1932</x:v>
      </x:c>
      <x:c r="G68" s="31" t="s">
        <x:v>2221</x:v>
      </x:c>
      <x:c r="H68" s="31" t="s">
        <x:v>2222</x:v>
      </x:c>
      <x:c r="I68" s="31" t="s">
        <x:v>1857</x:v>
      </x:c>
      <x:c r="J68" s="31" t="s">
        <x:v>2223</x:v>
      </x:c>
      <x:c r="K68" s="31" t="s">
        <x:v>1835</x:v>
      </x:c>
    </x:row>
    <x:row r="69" ht="65.0999984741211" customHeight="1">
      <x:c r="A69" s="31" t="s">
        <x:v>2224</x:v>
      </x:c>
      <x:c r="B69" s="31" t="s">
        <x:v>2225</x:v>
      </x:c>
      <x:c r="C69" s="31" t="s">
        <x:v>2226</x:v>
      </x:c>
      <x:c r="D69" s="31" t="s">
        <x:v>2227</x:v>
      </x:c>
      <x:c r="E69" s="31" t="s">
        <x:v>2228</x:v>
      </x:c>
      <x:c r="F69" s="31" t="s">
        <x:v>1924</x:v>
      </x:c>
      <x:c r="G69" s="31" t="s">
        <x:v>2229</x:v>
      </x:c>
      <x:c r="H69" s="31" t="s">
        <x:v>1973</x:v>
      </x:c>
      <x:c r="I69" s="31" t="s">
        <x:v>1857</x:v>
      </x:c>
      <x:c r="J69" s="31" t="s">
        <x:v>2230</x:v>
      </x:c>
      <x:c r="K69" s="31" t="s">
        <x:v>1835</x:v>
      </x:c>
    </x:row>
    <x:row r="70" ht="65.0999984741211" customHeight="1">
      <x:c r="A70" s="31" t="s">
        <x:v>2231</x:v>
      </x:c>
      <x:c r="B70" s="31" t="s">
        <x:v>2232</x:v>
      </x:c>
      <x:c r="C70" s="31" t="s">
        <x:v>2233</x:v>
      </x:c>
      <x:c r="D70" s="31" t="s">
        <x:v>2234</x:v>
      </x:c>
      <x:c r="E70" s="31" t="s">
        <x:v>2235</x:v>
      </x:c>
      <x:c r="F70" s="31" t="s">
        <x:v>1924</x:v>
      </x:c>
      <x:c r="G70" s="31" t="s">
        <x:v>2236</x:v>
      </x:c>
      <x:c r="H70" s="31" t="s">
        <x:v>1973</x:v>
      </x:c>
      <x:c r="I70" s="31" t="s">
        <x:v>1857</x:v>
      </x:c>
      <x:c r="J70" s="31" t="s">
        <x:v>2237</x:v>
      </x:c>
      <x:c r="K70" s="31" t="s">
        <x:v>1835</x:v>
      </x:c>
    </x:row>
    <x:row r="71" ht="65.0999984741211" customHeight="1">
      <x:c r="A71" s="31" t="s">
        <x:v>2238</x:v>
      </x:c>
      <x:c r="B71" s="31" t="s">
        <x:v>2239</x:v>
      </x:c>
      <x:c r="C71" s="31" t="s">
        <x:v>2240</x:v>
      </x:c>
      <x:c r="D71" s="31" t="s">
        <x:v>2241</x:v>
      </x:c>
      <x:c r="E71" s="31" t="s">
        <x:v>2242</x:v>
      </x:c>
      <x:c r="F71" s="31" t="s">
        <x:v>1932</x:v>
      </x:c>
      <x:c r="G71" s="31" t="s">
        <x:v>2243</x:v>
      </x:c>
      <x:c r="H71" s="31" t="s">
        <x:v>2244</x:v>
      </x:c>
      <x:c r="I71" s="31" t="s">
        <x:v>1857</x:v>
      </x:c>
      <x:c r="J71" s="31" t="s">
        <x:v>2245</x:v>
      </x:c>
      <x:c r="K71" s="31" t="s">
        <x:v>1835</x:v>
      </x:c>
    </x:row>
    <x:row r="72" ht="95.0999984741211" customHeight="1">
      <x:c r="A72" s="31" t="s">
        <x:v>2246</x:v>
      </x:c>
      <x:c r="B72" s="31" t="s">
        <x:v>2247</x:v>
      </x:c>
      <x:c r="C72" s="31" t="s">
        <x:v>2091</x:v>
      </x:c>
      <x:c r="D72" s="31" t="s">
        <x:v>2248</x:v>
      </x:c>
      <x:c r="E72" s="31" t="s">
        <x:v>2249</x:v>
      </x:c>
      <x:c r="F72" s="31" t="s">
        <x:v>1948</x:v>
      </x:c>
      <x:c r="G72" s="31" t="s">
        <x:v>2250</x:v>
      </x:c>
      <x:c r="H72" s="31" t="s">
        <x:v>2251</x:v>
      </x:c>
      <x:c r="I72" s="31" t="s">
        <x:v>1857</x:v>
      </x:c>
      <x:c r="J72" s="31" t="s">
        <x:v>2252</x:v>
      </x:c>
      <x:c r="K72" s="31" t="s">
        <x:v>1835</x:v>
      </x:c>
    </x:row>
    <x:row r="73" ht="51.95000076293945" customHeight="1">
      <x:c r="A73" s="31" t="s">
        <x:v>2253</x:v>
      </x:c>
      <x:c r="B73" s="31" t="s">
        <x:v>2254</x:v>
      </x:c>
      <x:c r="C73" s="31" t="s">
        <x:v>2255</x:v>
      </x:c>
      <x:c r="D73" s="31" t="s">
        <x:v>2256</x:v>
      </x:c>
      <x:c r="E73" s="31" t="s">
        <x:v>1393</x:v>
      </x:c>
      <x:c r="F73" s="31" t="s">
        <x:v>1924</x:v>
      </x:c>
      <x:c r="G73" s="31" t="s">
        <x:v>2257</x:v>
      </x:c>
      <x:c r="H73" s="31" t="s">
        <x:v>1973</x:v>
      </x:c>
      <x:c r="I73" s="31" t="s">
        <x:v>1857</x:v>
      </x:c>
      <x:c r="J73" s="31" t="s">
        <x:v>2258</x:v>
      </x:c>
      <x:c r="K73" s="31" t="s">
        <x:v>1835</x:v>
      </x:c>
    </x:row>
    <x:row r="74" ht="135" customHeight="1">
      <x:c r="A74" s="31" t="s">
        <x:v>2259</x:v>
      </x:c>
      <x:c r="B74" s="31" t="s">
        <x:v>2260</x:v>
      </x:c>
      <x:c r="C74" s="31" t="s">
        <x:v>2261</x:v>
      </x:c>
      <x:c r="D74" s="31" t="s">
        <x:v>2262</x:v>
      </x:c>
      <x:c r="E74" s="31" t="s">
        <x:v>2263</x:v>
      </x:c>
      <x:c r="F74" s="31" t="s">
        <x:v>2264</x:v>
      </x:c>
      <x:c r="G74" s="31" t="s">
        <x:v>2265</x:v>
      </x:c>
      <x:c r="H74" s="31" t="s">
        <x:v>2266</x:v>
      </x:c>
      <x:c r="I74" s="31" t="s">
        <x:v>1857</x:v>
      </x:c>
      <x:c r="J74" s="31" t="s">
        <x:v>2267</x:v>
      </x:c>
      <x:c r="K74" s="31" t="s">
        <x:v>2268</x:v>
      </x:c>
    </x:row>
    <x:row r="75" ht="95.0999984741211" customHeight="1">
      <x:c r="A75" s="31" t="s">
        <x:v>2269</x:v>
      </x:c>
      <x:c r="B75" s="31" t="s">
        <x:v>2270</x:v>
      </x:c>
      <x:c r="C75" s="31" t="s">
        <x:v>2261</x:v>
      </x:c>
      <x:c r="D75" s="31" t="s">
        <x:v>2262</x:v>
      </x:c>
      <x:c r="E75" s="31" t="s">
        <x:v>2179</x:v>
      </x:c>
      <x:c r="F75" s="31" t="s">
        <x:v>2264</x:v>
      </x:c>
      <x:c r="G75" s="31" t="s">
        <x:v>2271</x:v>
      </x:c>
      <x:c r="H75" s="31" t="s">
        <x:v>2272</x:v>
      </x:c>
      <x:c r="I75" s="31" t="s">
        <x:v>1857</x:v>
      </x:c>
      <x:c r="J75" s="31" t="s">
        <x:v>2273</x:v>
      </x:c>
      <x:c r="K75" s="31" t="s">
        <x:v>2268</x:v>
      </x:c>
    </x:row>
    <x:row r="76" ht="87.94999694824219" customHeight="1">
      <x:c r="A76" s="31" t="s">
        <x:v>2274</x:v>
      </x:c>
      <x:c r="B76" s="31" t="s">
        <x:v>2275</x:v>
      </x:c>
      <x:c r="C76" s="31" t="s">
        <x:v>2261</x:v>
      </x:c>
      <x:c r="D76" s="31" t="s">
        <x:v>2262</x:v>
      </x:c>
      <x:c r="E76" s="31" t="s">
        <x:v>2179</x:v>
      </x:c>
      <x:c r="F76" s="31" t="s">
        <x:v>2264</x:v>
      </x:c>
      <x:c r="G76" s="31" t="s">
        <x:v>2276</x:v>
      </x:c>
      <x:c r="H76" s="31" t="s">
        <x:v>2277</x:v>
      </x:c>
      <x:c r="I76" s="31" t="s">
        <x:v>1857</x:v>
      </x:c>
      <x:c r="J76" s="31" t="s">
        <x:v>2278</x:v>
      </x:c>
      <x:c r="K76" s="31" t="s">
        <x:v>2268</x:v>
      </x:c>
    </x:row>
    <x:row r="77" ht="95.0999984741211" customHeight="1">
      <x:c r="A77" s="31" t="s">
        <x:v>2279</x:v>
      </x:c>
      <x:c r="B77" s="31" t="s">
        <x:v>2280</x:v>
      </x:c>
      <x:c r="C77" s="31" t="s">
        <x:v>2163</x:v>
      </x:c>
      <x:c r="D77" s="31" t="s">
        <x:v>2281</x:v>
      </x:c>
      <x:c r="E77" s="31" t="s">
        <x:v>2179</x:v>
      </x:c>
      <x:c r="F77" s="31" t="s">
        <x:v>2264</x:v>
      </x:c>
      <x:c r="G77" s="31" t="s">
        <x:v>2282</x:v>
      </x:c>
      <x:c r="H77" s="31" t="s">
        <x:v>2283</x:v>
      </x:c>
      <x:c r="I77" s="31" t="s">
        <x:v>1857</x:v>
      </x:c>
      <x:c r="J77" s="31" t="s">
        <x:v>2284</x:v>
      </x:c>
      <x:c r="K77" s="31" t="s">
        <x:v>2268</x:v>
      </x:c>
    </x:row>
    <x:row r="78" ht="87.94999694824219" customHeight="1">
      <x:c r="A78" s="31" t="s">
        <x:v>2285</x:v>
      </x:c>
      <x:c r="B78" s="31" t="s">
        <x:v>2286</x:v>
      </x:c>
      <x:c r="C78" s="31" t="s">
        <x:v>2287</x:v>
      </x:c>
      <x:c r="D78" s="31" t="s">
        <x:v>2288</x:v>
      </x:c>
      <x:c r="E78" s="31" t="s">
        <x:v>2165</x:v>
      </x:c>
      <x:c r="F78" s="31" t="s">
        <x:v>1932</x:v>
      </x:c>
      <x:c r="G78" s="31" t="s">
        <x:v>2289</x:v>
      </x:c>
      <x:c r="H78" s="31" t="s">
        <x:v>2290</x:v>
      </x:c>
      <x:c r="I78" s="31" t="s">
        <x:v>1857</x:v>
      </x:c>
      <x:c r="J78" s="31" t="s">
        <x:v>2291</x:v>
      </x:c>
      <x:c r="K78" s="31" t="s">
        <x:v>2268</x:v>
      </x:c>
    </x:row>
    <x:row r="79" ht="51.95000076293945" customHeight="1">
      <x:c r="A79" s="31" t="s">
        <x:v>2292</x:v>
      </x:c>
      <x:c r="B79" s="31" t="s">
        <x:v>2293</x:v>
      </x:c>
      <x:c r="C79" s="31" t="s">
        <x:v>2184</x:v>
      </x:c>
      <x:c r="D79" s="31" t="s">
        <x:v>2185</x:v>
      </x:c>
      <x:c r="E79" s="31" t="s">
        <x:v>2179</x:v>
      </x:c>
      <x:c r="F79" s="31" t="s">
        <x:v>1924</x:v>
      </x:c>
      <x:c r="G79" s="31" t="s">
        <x:v>2294</x:v>
      </x:c>
      <x:c r="H79" s="31" t="s">
        <x:v>1973</x:v>
      </x:c>
      <x:c r="I79" s="31" t="s">
        <x:v>1857</x:v>
      </x:c>
      <x:c r="J79" s="31" t="s">
        <x:v>2295</x:v>
      </x:c>
      <x:c r="K79" s="31" t="s">
        <x:v>2268</x:v>
      </x:c>
    </x:row>
    <x:row r="80" ht="135" customHeight="1">
      <x:c r="A80" s="31" t="s">
        <x:v>2296</x:v>
      </x:c>
      <x:c r="B80" s="31" t="s">
        <x:v>2297</x:v>
      </x:c>
      <x:c r="C80" s="31" t="s">
        <x:v>2261</x:v>
      </x:c>
      <x:c r="D80" s="31" t="s">
        <x:v>2298</x:v>
      </x:c>
      <x:c r="E80" s="31" t="s">
        <x:v>2299</x:v>
      </x:c>
      <x:c r="F80" s="31" t="s">
        <x:v>2264</x:v>
      </x:c>
      <x:c r="G80" s="31" t="s">
        <x:v>2300</x:v>
      </x:c>
      <x:c r="H80" s="31" t="s">
        <x:v>2301</x:v>
      </x:c>
      <x:c r="I80" s="31" t="s">
        <x:v>1857</x:v>
      </x:c>
      <x:c r="J80" s="31" t="s">
        <x:v>2302</x:v>
      </x:c>
      <x:c r="K80" s="31" t="s">
        <x:v>2268</x:v>
      </x:c>
    </x:row>
    <x:row r="81" ht="110.0999984741211" customHeight="1">
      <x:c r="A81" s="31" t="s">
        <x:v>2303</x:v>
      </x:c>
      <x:c r="B81" s="31" t="s">
        <x:v>2304</x:v>
      </x:c>
      <x:c r="C81" s="31" t="s">
        <x:v>2305</x:v>
      </x:c>
      <x:c r="D81" s="31" t="s">
        <x:v>2306</x:v>
      </x:c>
      <x:c r="E81" s="31" t="s">
        <x:v>2299</x:v>
      </x:c>
      <x:c r="F81" s="31" t="s">
        <x:v>2264</x:v>
      </x:c>
      <x:c r="G81" s="31" t="s">
        <x:v>2307</x:v>
      </x:c>
      <x:c r="H81" s="31" t="s">
        <x:v>2308</x:v>
      </x:c>
      <x:c r="I81" s="31" t="s">
        <x:v>1857</x:v>
      </x:c>
      <x:c r="J81" s="31" t="s">
        <x:v>2309</x:v>
      </x:c>
      <x:c r="K81" s="31" t="s">
        <x:v>2268</x:v>
      </x:c>
    </x:row>
    <x:row r="82" ht="95.0999984741211" customHeight="1">
      <x:c r="A82" s="31" t="s">
        <x:v>2310</x:v>
      </x:c>
      <x:c r="B82" s="31" t="s">
        <x:v>2311</x:v>
      </x:c>
      <x:c r="C82" s="31" t="s">
        <x:v>2312</x:v>
      </x:c>
      <x:c r="D82" s="31" t="s">
        <x:v>2313</x:v>
      </x:c>
      <x:c r="E82" s="31" t="s">
        <x:v>2314</x:v>
      </x:c>
      <x:c r="F82" s="31" t="s">
        <x:v>2264</x:v>
      </x:c>
      <x:c r="G82" s="31" t="s">
        <x:v>2315</x:v>
      </x:c>
      <x:c r="H82" s="31" t="s">
        <x:v>2316</x:v>
      </x:c>
      <x:c r="I82" s="31" t="s">
        <x:v>1857</x:v>
      </x:c>
      <x:c r="J82" s="31" t="s">
        <x:v>2317</x:v>
      </x:c>
      <x:c r="K82" s="31" t="s">
        <x:v>2268</x:v>
      </x:c>
    </x:row>
    <x:row r="83" ht="65.0999984741211" customHeight="1">
      <x:c r="A83" s="31" t="s">
        <x:v>2318</x:v>
      </x:c>
      <x:c r="B83" s="31" t="s">
        <x:v>2319</x:v>
      </x:c>
      <x:c r="C83" s="31" t="s">
        <x:v>2320</x:v>
      </x:c>
      <x:c r="D83" s="31" t="s">
        <x:v>2321</x:v>
      </x:c>
      <x:c r="E83" s="31" t="s">
        <x:v>2322</x:v>
      </x:c>
      <x:c r="F83" s="31" t="s">
        <x:v>1924</x:v>
      </x:c>
      <x:c r="G83" s="31" t="s">
        <x:v>2323</x:v>
      </x:c>
      <x:c r="H83" s="31" t="s">
        <x:v>2324</x:v>
      </x:c>
      <x:c r="I83" s="31" t="s">
        <x:v>1857</x:v>
      </x:c>
      <x:c r="J83" s="31" t="s">
        <x:v>2325</x:v>
      </x:c>
      <x:c r="K83" s="31" t="s">
        <x:v>1835</x:v>
      </x:c>
    </x:row>
    <x:row r="84" ht="95.0999984741211" customHeight="1">
      <x:c r="A84" s="31" t="s">
        <x:v>2326</x:v>
      </x:c>
      <x:c r="B84" s="31" t="s">
        <x:v>2327</x:v>
      </x:c>
      <x:c r="C84" s="31" t="s">
        <x:v>2328</x:v>
      </x:c>
      <x:c r="D84" s="31" t="s">
        <x:v>2329</x:v>
      </x:c>
      <x:c r="E84" s="31" t="s">
        <x:v>2330</x:v>
      </x:c>
      <x:c r="F84" s="31" t="s">
        <x:v>1948</x:v>
      </x:c>
      <x:c r="G84" s="31" t="s">
        <x:v>2331</x:v>
      </x:c>
      <x:c r="H84" s="31" t="s">
        <x:v>2332</x:v>
      </x:c>
      <x:c r="I84" s="31" t="s">
        <x:v>1857</x:v>
      </x:c>
      <x:c r="J84" s="31" t="s">
        <x:v>2333</x:v>
      </x:c>
      <x:c r="K84" s="31" t="s">
        <x:v>1835</x:v>
      </x:c>
    </x:row>
  </x:sheetData>
  <x:mergeCells>
    <x:mergeCell ref="A2:K2"/>
    <x:mergeCell ref="A1:K1"/>
    <x:mergeCell ref="A25:K25"/>
    <x:mergeCell ref="A12:G12"/>
  </x:mergeCells>
  <x:conditionalFormatting sqref="F27:F84">
    <x:cfRule type="expression" dxfId="7" priority="1">
      <x:formula>F27="Reemplazada por definición cliente"</x:formula>
    </x:cfRule>
    <x:cfRule type="expression" dxfId="6" priority="2">
      <x:formula>F27="Complemento a confirmar"</x:formula>
    </x:cfRule>
    <x:cfRule type="expression" dxfId="5" priority="3">
      <x:formula>F27="Referencia técnica ya cubierta"</x:formula>
    </x:cfRule>
    <x:cfRule type="expression" dxfId="4" priority="4">
      <x:formula>OR(F27="Cubierta por contrato cliente",F27="Cubierta con precisión adicional del cliente")</x:formula>
    </x:cfRule>
  </x:conditionalFormatting>
  <x:conditionalFormatting sqref="F14:F23">
    <x:cfRule type="expression" dxfId="3" priority="5">
      <x:formula>F14="Aprobado"</x:formula>
    </x:cfRule>
    <x:cfRule type="expression" dxfId="2" priority="6">
      <x:formula>F14="Ajustar"</x:formula>
    </x:cfRule>
  </x:conditionalFormatting>
  <x:conditionalFormatting sqref="I27:I84">
    <x:cfRule type="expression" dxfId="1" priority="7">
      <x:formula>I27="Aprobado"</x:formula>
    </x:cfRule>
    <x:cfRule type="expression" dxfId="0" priority="8">
      <x:formula>I27="Ajustar"</x:formula>
    </x:cfRule>
  </x:conditionalFormatting>
  <x:dataValidations count="1">
    <x:dataValidation type="list" sqref="F14:F23 I27:I84">
      <x:formula1>"Aprobado,Ajustar,No aplica,Requiere definición"</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8" customWidth="1"/>
    <x:col min="2" max="2" width="32" customWidth="1"/>
    <x:col min="3" max="3" width="56" customWidth="1"/>
    <x:col min="4" max="4" width="58" customWidth="1"/>
  </x:cols>
  <x:sheetData>
    <x:row r="1">
      <x:c r="A1" s="33" t="s">
        <x:v>2334</x:v>
      </x:c>
      <x:c r="B1" s="33"/>
      <x:c r="C1" s="33"/>
      <x:c r="D1" s="33"/>
    </x:row>
    <x:row r="2" ht="42" customHeight="1">
      <x:c r="A2" s="14" t="s">
        <x:v>2335</x:v>
      </x:c>
      <x:c r="B2" s="17"/>
      <x:c r="C2" s="17"/>
      <x:c r="D2" s="17"/>
    </x:row>
    <x:row r="3">
      <x:c r="A3" s="30" t="s">
        <x:v>2336</x:v>
      </x:c>
      <x:c r="B3" s="30" t="s">
        <x:v>2337</x:v>
      </x:c>
      <x:c r="C3" s="30" t="s">
        <x:v>2338</x:v>
      </x:c>
      <x:c r="D3" s="30" t="s">
        <x:v>2339</x:v>
      </x:c>
    </x:row>
    <x:row r="4" ht="54" customHeight="1">
      <x:c r="A4" s="25" t="s">
        <x:v>2340</x:v>
      </x:c>
      <x:c r="B4" s="25" t="s">
        <x:v>2341</x:v>
      </x:c>
      <x:c r="C4" s="25" t="s">
        <x:v>2342</x:v>
      </x:c>
      <x:c r="D4" s="25" t="s">
        <x:v>2343</x:v>
      </x:c>
    </x:row>
    <x:row r="5" ht="54" customHeight="1">
      <x:c r="A5" s="25" t="s">
        <x:v>2344</x:v>
      </x:c>
      <x:c r="B5" s="25" t="s">
        <x:v>2345</x:v>
      </x:c>
      <x:c r="C5" s="25" t="s">
        <x:v>2346</x:v>
      </x:c>
      <x:c r="D5" s="25" t="s">
        <x:v>2347</x:v>
      </x:c>
    </x:row>
    <x:row r="6" ht="54" customHeight="1">
      <x:c r="A6" s="25" t="s">
        <x:v>2348</x:v>
      </x:c>
      <x:c r="B6" s="25" t="s">
        <x:v>2349</x:v>
      </x:c>
      <x:c r="C6" s="25" t="s">
        <x:v>2350</x:v>
      </x:c>
      <x:c r="D6" s="25" t="s">
        <x:v>2351</x:v>
      </x:c>
    </x:row>
    <x:row r="7" ht="54" customHeight="1">
      <x:c r="A7" s="25" t="s">
        <x:v>2352</x:v>
      </x:c>
      <x:c r="B7" s="25" t="s">
        <x:v>2353</x:v>
      </x:c>
      <x:c r="C7" s="25" t="s">
        <x:v>2354</x:v>
      </x:c>
      <x:c r="D7" s="25" t="s">
        <x:v>2355</x:v>
      </x:c>
    </x:row>
    <x:row r="8" ht="54" customHeight="1">
      <x:c r="A8" s="25" t="s">
        <x:v>2356</x:v>
      </x:c>
      <x:c r="B8" s="25" t="s">
        <x:v>2357</x:v>
      </x:c>
      <x:c r="C8" s="25" t="s">
        <x:v>2358</x:v>
      </x:c>
      <x:c r="D8" s="25" t="s">
        <x:v>2359</x:v>
      </x:c>
    </x:row>
    <x:row r="9" ht="54" customHeight="1">
      <x:c r="A9" s="25" t="s">
        <x:v>1977</x:v>
      </x:c>
      <x:c r="B9" s="25" t="s">
        <x:v>2360</x:v>
      </x:c>
      <x:c r="C9" s="25" t="s">
        <x:v>2361</x:v>
      </x:c>
      <x:c r="D9" s="25" t="s">
        <x:v>2362</x:v>
      </x:c>
    </x:row>
    <x:row r="10" ht="54" customHeight="1">
      <x:c r="A10" s="25" t="s">
        <x:v>2363</x:v>
      </x:c>
      <x:c r="B10" s="25" t="s">
        <x:v>2364</x:v>
      </x:c>
      <x:c r="C10" s="25" t="s">
        <x:v>2365</x:v>
      </x:c>
      <x:c r="D10" s="25" t="s">
        <x:v>2366</x:v>
      </x:c>
    </x:row>
    <x:row r="11" ht="54" customHeight="1">
      <x:c r="A11" s="25" t="s">
        <x:v>2008</x:v>
      </x:c>
      <x:c r="B11" s="25" t="s">
        <x:v>2367</x:v>
      </x:c>
      <x:c r="C11" s="25" t="s">
        <x:v>2368</x:v>
      </x:c>
      <x:c r="D11" s="25" t="s">
        <x:v>2369</x:v>
      </x:c>
    </x:row>
    <x:row r="12" ht="54" customHeight="1">
      <x:c r="A12" s="25" t="s">
        <x:v>2370</x:v>
      </x:c>
      <x:c r="B12" s="25" t="s">
        <x:v>2371</x:v>
      </x:c>
      <x:c r="C12" s="25" t="s">
        <x:v>2372</x:v>
      </x:c>
      <x:c r="D12" s="25" t="s">
        <x:v>2373</x:v>
      </x:c>
    </x:row>
    <x:row r="13" ht="54" customHeight="1">
      <x:c r="A13" s="25" t="s">
        <x:v>2374</x:v>
      </x:c>
      <x:c r="B13" s="25" t="s">
        <x:v>2375</x:v>
      </x:c>
      <x:c r="C13" s="25" t="s">
        <x:v>2376</x:v>
      </x:c>
      <x:c r="D13" s="25" t="s">
        <x:v>2377</x:v>
      </x:c>
    </x:row>
    <x:row r="14" ht="54" customHeight="1">
      <x:c r="A14" s="25" t="s">
        <x:v>2378</x:v>
      </x:c>
      <x:c r="B14" s="25" t="s">
        <x:v>2379</x:v>
      </x:c>
      <x:c r="C14" s="25" t="s">
        <x:v>2380</x:v>
      </x:c>
      <x:c r="D14" s="25" t="s">
        <x:v>2381</x:v>
      </x:c>
    </x:row>
    <x:row r="15" ht="54" customHeight="1">
      <x:c r="A15" s="25" t="s">
        <x:v>2382</x:v>
      </x:c>
      <x:c r="B15" s="25" t="s">
        <x:v>2383</x:v>
      </x:c>
      <x:c r="C15" s="25" t="s">
        <x:v>2384</x:v>
      </x:c>
      <x:c r="D15" s="25" t="s">
        <x:v>2385</x:v>
      </x:c>
    </x:row>
    <x:row r="16" ht="54" customHeight="1">
      <x:c r="A16" s="25" t="s">
        <x:v>2386</x:v>
      </x:c>
      <x:c r="B16" s="25" t="s">
        <x:v>2387</x:v>
      </x:c>
      <x:c r="C16" s="25" t="s">
        <x:v>2388</x:v>
      </x:c>
      <x:c r="D16" s="25" t="s">
        <x:v>2389</x:v>
      </x:c>
    </x:row>
    <x:row r="17" ht="54" customHeight="1">
      <x:c r="A17" s="25" t="s">
        <x:v>2390</x:v>
      </x:c>
      <x:c r="B17" s="25" t="s">
        <x:v>2391</x:v>
      </x:c>
      <x:c r="C17" s="25" t="s">
        <x:v>2392</x:v>
      </x:c>
      <x:c r="D17" s="25" t="s">
        <x:v>2393</x:v>
      </x:c>
    </x:row>
    <x:row r="18" ht="54" customHeight="1">
      <x:c r="A18" s="25" t="s">
        <x:v>2394</x:v>
      </x:c>
      <x:c r="B18" s="25" t="s">
        <x:v>2395</x:v>
      </x:c>
      <x:c r="C18" s="25" t="s">
        <x:v>2396</x:v>
      </x:c>
      <x:c r="D18" s="25" t="s">
        <x:v>2397</x:v>
      </x:c>
    </x:row>
    <x:row r="19" ht="54" customHeight="1">
      <x:c r="A19" s="25" t="s">
        <x:v>2398</x:v>
      </x:c>
      <x:c r="B19" s="25" t="s">
        <x:v>2399</x:v>
      </x:c>
      <x:c r="C19" s="25" t="s">
        <x:v>2400</x:v>
      </x:c>
      <x:c r="D19" s="25" t="s">
        <x:v>2401</x:v>
      </x:c>
    </x:row>
    <x:row r="20" ht="54" customHeight="1">
      <x:c r="A20" s="25" t="s">
        <x:v>2118</x:v>
      </x:c>
      <x:c r="B20" s="25" t="s">
        <x:v>2402</x:v>
      </x:c>
      <x:c r="C20" s="25" t="s">
        <x:v>2403</x:v>
      </x:c>
      <x:c r="D20" s="25" t="s">
        <x:v>2404</x:v>
      </x:c>
    </x:row>
    <x:row r="21" ht="54" customHeight="1">
      <x:c r="A21" s="25" t="s">
        <x:v>2091</x:v>
      </x:c>
      <x:c r="B21" s="25" t="s">
        <x:v>2405</x:v>
      </x:c>
      <x:c r="C21" s="25" t="s">
        <x:v>2406</x:v>
      </x:c>
      <x:c r="D21" s="25" t="s">
        <x:v>2407</x:v>
      </x:c>
    </x:row>
    <x:row r="22" ht="54" customHeight="1">
      <x:c r="A22" s="25" t="s">
        <x:v>2408</x:v>
      </x:c>
      <x:c r="B22" s="25" t="s">
        <x:v>2409</x:v>
      </x:c>
      <x:c r="C22" s="25" t="s">
        <x:v>2410</x:v>
      </x:c>
      <x:c r="D22" s="25" t="s">
        <x:v>2411</x:v>
      </x:c>
    </x:row>
    <x:row r="23" ht="54" customHeight="1">
      <x:c r="A23" s="25" t="s">
        <x:v>2140</x:v>
      </x:c>
      <x:c r="B23" s="25" t="s">
        <x:v>846</x:v>
      </x:c>
      <x:c r="C23" s="25" t="s">
        <x:v>2412</x:v>
      </x:c>
      <x:c r="D23" s="25" t="s">
        <x:v>2413</x:v>
      </x:c>
    </x:row>
    <x:row r="24" ht="54" customHeight="1">
      <x:c r="A24" s="25" t="s">
        <x:v>2147</x:v>
      </x:c>
      <x:c r="B24" s="25" t="s">
        <x:v>2414</x:v>
      </x:c>
      <x:c r="C24" s="25" t="s">
        <x:v>2415</x:v>
      </x:c>
      <x:c r="D24" s="25" t="s">
        <x:v>2416</x:v>
      </x:c>
    </x:row>
    <x:row r="25" ht="54" customHeight="1">
      <x:c r="A25" s="25" t="s">
        <x:v>2163</x:v>
      </x:c>
      <x:c r="B25" s="25" t="s">
        <x:v>2417</x:v>
      </x:c>
      <x:c r="C25" s="25" t="s">
        <x:v>2418</x:v>
      </x:c>
      <x:c r="D25" s="25" t="s">
        <x:v>2419</x:v>
      </x:c>
    </x:row>
    <x:row r="26" ht="54" customHeight="1">
      <x:c r="A26" s="25" t="s">
        <x:v>2420</x:v>
      </x:c>
      <x:c r="B26" s="25" t="s">
        <x:v>2421</x:v>
      </x:c>
      <x:c r="C26" s="25" t="s">
        <x:v>2422</x:v>
      </x:c>
      <x:c r="D26" s="25" t="s">
        <x:v>2423</x:v>
      </x:c>
    </x:row>
    <x:row r="27" ht="54" customHeight="1">
      <x:c r="A27" s="25" t="s">
        <x:v>2424</x:v>
      </x:c>
      <x:c r="B27" s="25" t="s">
        <x:v>2425</x:v>
      </x:c>
      <x:c r="C27" s="25" t="s">
        <x:v>2426</x:v>
      </x:c>
      <x:c r="D27" s="25" t="s">
        <x:v>2427</x:v>
      </x:c>
    </x:row>
    <x:row r="28" ht="54" customHeight="1">
      <x:c r="A28" s="25" t="s">
        <x:v>2428</x:v>
      </x:c>
      <x:c r="B28" s="25" t="s">
        <x:v>2429</x:v>
      </x:c>
      <x:c r="C28" s="25" t="s">
        <x:v>2430</x:v>
      </x:c>
      <x:c r="D28" s="25" t="s">
        <x:v>2431</x:v>
      </x:c>
    </x:row>
    <x:row r="29" ht="54" customHeight="1">
      <x:c r="A29" s="25" t="s">
        <x:v>2184</x:v>
      </x:c>
      <x:c r="B29" s="25" t="s">
        <x:v>2432</x:v>
      </x:c>
      <x:c r="C29" s="25" t="s">
        <x:v>2433</x:v>
      </x:c>
      <x:c r="D29" s="25" t="s">
        <x:v>2434</x:v>
      </x:c>
    </x:row>
    <x:row r="30" ht="54" customHeight="1">
      <x:c r="A30" s="25" t="s">
        <x:v>2435</x:v>
      </x:c>
      <x:c r="B30" s="25" t="s">
        <x:v>2436</x:v>
      </x:c>
      <x:c r="C30" s="25" t="s">
        <x:v>2437</x:v>
      </x:c>
      <x:c r="D30" s="25" t="s">
        <x:v>2438</x:v>
      </x:c>
    </x:row>
  </x:sheetData>
  <x:mergeCells>
    <x:mergeCell ref="A2:D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4" customWidth="1"/>
    <x:col min="2" max="2" width="26" customWidth="1"/>
    <x:col min="3" max="3" width="42" customWidth="1"/>
    <x:col min="4" max="4" width="25" customWidth="1"/>
    <x:col min="5" max="6" width="46" customWidth="1"/>
    <x:col min="7" max="7" width="43" customWidth="1"/>
    <x:col min="8" max="8" width="40" customWidth="1"/>
    <x:col min="9" max="9" width="42" customWidth="1"/>
    <x:col min="10" max="10" width="48" customWidth="1"/>
    <x:col min="11" max="11" width="30" customWidth="1"/>
  </x:cols>
  <x:sheetData>
    <x:row r="1" ht="27.950000762939453" customHeight="1">
      <x:c r="A1" s="15" t="s">
        <x:v>2439</x:v>
      </x:c>
      <x:c r="B1" s="17"/>
      <x:c r="C1" s="17"/>
      <x:c r="D1" s="17"/>
      <x:c r="E1" s="17"/>
      <x:c r="F1" s="17"/>
      <x:c r="G1" s="17"/>
      <x:c r="H1" s="17"/>
      <x:c r="I1" s="17"/>
      <x:c r="J1" s="17"/>
      <x:c r="K1" s="17"/>
    </x:row>
    <x:row r="2" ht="62.099998474121094" customHeight="1">
      <x:c r="A2" s="14" t="str">
        <x:v>Fundamento Producto asociado a la reconciliación cerrada. Documento de soporte para explicar precisiones y supersesiones; la línea base implementable está en 01_Matriz_Trazabilidad + 02_Reglas_Walvy + 03_Contrato_P4.</x:v>
      </x:c>
      <x:c r="B2" s="17"/>
      <x:c r="C2" s="17"/>
      <x:c r="D2" s="17"/>
      <x:c r="E2" s="17"/>
      <x:c r="F2" s="17"/>
      <x:c r="G2" s="17"/>
      <x:c r="H2" s="17"/>
      <x:c r="I2" s="17"/>
      <x:c r="J2" s="17"/>
      <x:c r="K2" s="17"/>
    </x:row>
    <x:row r="3" ht="32.099998474121094" customHeight="1">
      <x:c r="A3" s="34" t="s">
        <x:v>2440</x:v>
      </x:c>
      <x:c r="B3" s="17"/>
      <x:c r="C3" s="17"/>
      <x:c r="D3" s="17"/>
      <x:c r="E3" s="17"/>
      <x:c r="F3" s="17"/>
      <x:c r="G3" s="17"/>
      <x:c r="H3" s="17"/>
      <x:c r="I3" s="17"/>
      <x:c r="J3" s="17"/>
      <x:c r="K3" s="17"/>
    </x:row>
    <x:row r="4" ht="48" customHeight="1">
      <x:c r="A4" s="32" t="s">
        <x:v>2441</x:v>
      </x:c>
      <x:c r="B4" s="32" t="s">
        <x:v>2442</x:v>
      </x:c>
      <x:c r="C4" s="32" t="s">
        <x:v>2443</x:v>
      </x:c>
      <x:c r="D4" s="32" t="s">
        <x:v>2444</x:v>
      </x:c>
      <x:c r="E4" s="32" t="s">
        <x:v>2445</x:v>
      </x:c>
      <x:c r="F4" s="32" t="s">
        <x:v>2446</x:v>
      </x:c>
      <x:c r="G4" s="32" t="s">
        <x:v>2447</x:v>
      </x:c>
      <x:c r="H4" s="32" t="s">
        <x:v>2448</x:v>
      </x:c>
      <x:c r="I4" s="32" t="s">
        <x:v>2449</x:v>
      </x:c>
      <x:c r="J4" s="32" t="s">
        <x:v>2450</x:v>
      </x:c>
      <x:c r="K4" s="32" t="s">
        <x:v>2451</x:v>
      </x:c>
    </x:row>
    <x:row r="5" ht="129" customHeight="1">
      <x:c r="A5" s="35" t="s">
        <x:v>2452</x:v>
      </x:c>
      <x:c r="B5" s="35" t="s">
        <x:v>1852</x:v>
      </x:c>
      <x:c r="C5" s="35" t="s">
        <x:v>2453</x:v>
      </x:c>
      <x:c r="D5" s="35" t="s">
        <x:v>2454</x:v>
      </x:c>
      <x:c r="E5" s="35" t="s">
        <x:v>2455</x:v>
      </x:c>
      <x:c r="F5" s="35" t="s">
        <x:v>2456</x:v>
      </x:c>
      <x:c r="G5" s="35" t="s">
        <x:v>2457</x:v>
      </x:c>
      <x:c r="H5" s="35" t="s">
        <x:v>2458</x:v>
      </x:c>
      <x:c r="I5" s="35" t="s">
        <x:v>2459</x:v>
      </x:c>
      <x:c r="J5" s="35" t="s">
        <x:v>2460</x:v>
      </x:c>
      <x:c r="K5" s="35" t="s">
        <x:v>2461</x:v>
      </x:c>
    </x:row>
    <x:row r="6" ht="129" customHeight="1">
      <x:c r="A6" s="35" t="s">
        <x:v>2462</x:v>
      </x:c>
      <x:c r="B6" s="35" t="s">
        <x:v>1399</x:v>
      </x:c>
      <x:c r="C6" s="35" t="s">
        <x:v>2463</x:v>
      </x:c>
      <x:c r="D6" s="35" t="s">
        <x:v>2464</x:v>
      </x:c>
      <x:c r="E6" s="35" t="s">
        <x:v>2465</x:v>
      </x:c>
      <x:c r="F6" s="35" t="s">
        <x:v>2466</x:v>
      </x:c>
      <x:c r="G6" s="35" t="s">
        <x:v>2467</x:v>
      </x:c>
      <x:c r="H6" s="35" t="s">
        <x:v>2468</x:v>
      </x:c>
      <x:c r="I6" s="35" t="s">
        <x:v>2469</x:v>
      </x:c>
      <x:c r="J6" s="35" t="s">
        <x:v>2470</x:v>
      </x:c>
      <x:c r="K6" s="35" t="s">
        <x:v>2471</x:v>
      </x:c>
    </x:row>
    <x:row r="7" ht="114" customHeight="1">
      <x:c r="A7" s="35" t="s">
        <x:v>2472</x:v>
      </x:c>
      <x:c r="B7" s="35" t="s">
        <x:v>1864</x:v>
      </x:c>
      <x:c r="C7" s="35" t="s">
        <x:v>2473</x:v>
      </x:c>
      <x:c r="D7" s="35" t="s">
        <x:v>2474</x:v>
      </x:c>
      <x:c r="E7" s="35" t="s">
        <x:v>2475</x:v>
      </x:c>
      <x:c r="F7" s="35" t="s">
        <x:v>2476</x:v>
      </x:c>
      <x:c r="G7" s="35" t="s">
        <x:v>2477</x:v>
      </x:c>
      <x:c r="H7" s="35" t="s">
        <x:v>2478</x:v>
      </x:c>
      <x:c r="I7" s="35" t="s">
        <x:v>2479</x:v>
      </x:c>
      <x:c r="J7" s="35" t="s">
        <x:v>2480</x:v>
      </x:c>
      <x:c r="K7" s="35" t="s">
        <x:v>2481</x:v>
      </x:c>
    </x:row>
    <x:row r="8" ht="114" customHeight="1">
      <x:c r="A8" s="35" t="s">
        <x:v>2482</x:v>
      </x:c>
      <x:c r="B8" s="35" t="s">
        <x:v>1870</x:v>
      </x:c>
      <x:c r="C8" s="35" t="s">
        <x:v>2483</x:v>
      </x:c>
      <x:c r="D8" s="35" t="s">
        <x:v>2484</x:v>
      </x:c>
      <x:c r="E8" s="35" t="s">
        <x:v>2485</x:v>
      </x:c>
      <x:c r="F8" s="35" t="s">
        <x:v>2486</x:v>
      </x:c>
      <x:c r="G8" s="35" t="s">
        <x:v>2487</x:v>
      </x:c>
      <x:c r="H8" s="35" t="s">
        <x:v>2488</x:v>
      </x:c>
      <x:c r="I8" s="35" t="s">
        <x:v>2489</x:v>
      </x:c>
      <x:c r="J8" s="35" t="s">
        <x:v>2490</x:v>
      </x:c>
      <x:c r="K8" s="35" t="s">
        <x:v>2491</x:v>
      </x:c>
    </x:row>
    <x:row r="9" ht="114" customHeight="1">
      <x:c r="A9" s="35" t="s">
        <x:v>2492</x:v>
      </x:c>
      <x:c r="B9" s="35" t="s">
        <x:v>2493</x:v>
      </x:c>
      <x:c r="C9" s="35" t="s">
        <x:v>2494</x:v>
      </x:c>
      <x:c r="D9" s="35" t="s">
        <x:v>2495</x:v>
      </x:c>
      <x:c r="E9" s="35" t="s">
        <x:v>2496</x:v>
      </x:c>
      <x:c r="F9" s="35" t="s">
        <x:v>2497</x:v>
      </x:c>
      <x:c r="G9" s="35" t="s">
        <x:v>2498</x:v>
      </x:c>
      <x:c r="H9" s="35" t="s">
        <x:v>2499</x:v>
      </x:c>
      <x:c r="I9" s="35" t="s">
        <x:v>2500</x:v>
      </x:c>
      <x:c r="J9" s="35" t="s">
        <x:v>2501</x:v>
      </x:c>
      <x:c r="K9" s="35" t="s">
        <x:v>2502</x:v>
      </x:c>
    </x:row>
    <x:row r="10" ht="114" customHeight="1">
      <x:c r="A10" s="35" t="s">
        <x:v>2503</x:v>
      </x:c>
      <x:c r="B10" s="35" t="s">
        <x:v>1881</x:v>
      </x:c>
      <x:c r="C10" s="35" t="s">
        <x:v>2504</x:v>
      </x:c>
      <x:c r="D10" s="35" t="s">
        <x:v>2505</x:v>
      </x:c>
      <x:c r="E10" s="35" t="s">
        <x:v>2506</x:v>
      </x:c>
      <x:c r="F10" s="35" t="s">
        <x:v>2507</x:v>
      </x:c>
      <x:c r="G10" s="35" t="s">
        <x:v>2508</x:v>
      </x:c>
      <x:c r="H10" s="35" t="s">
        <x:v>2509</x:v>
      </x:c>
      <x:c r="I10" s="35" t="s">
        <x:v>2510</x:v>
      </x:c>
      <x:c r="J10" s="35" t="s">
        <x:v>2511</x:v>
      </x:c>
      <x:c r="K10" s="35" t="s">
        <x:v>2512</x:v>
      </x:c>
    </x:row>
    <x:row r="11" ht="114" customHeight="1">
      <x:c r="A11" s="35" t="s">
        <x:v>2513</x:v>
      </x:c>
      <x:c r="B11" s="35" t="s">
        <x:v>1887</x:v>
      </x:c>
      <x:c r="C11" s="35" t="s">
        <x:v>2514</x:v>
      </x:c>
      <x:c r="D11" s="35" t="s">
        <x:v>2515</x:v>
      </x:c>
      <x:c r="E11" s="35" t="s">
        <x:v>2516</x:v>
      </x:c>
      <x:c r="F11" s="35" t="s">
        <x:v>2517</x:v>
      </x:c>
      <x:c r="G11" s="35" t="s">
        <x:v>2518</x:v>
      </x:c>
      <x:c r="H11" s="35" t="s">
        <x:v>2519</x:v>
      </x:c>
      <x:c r="I11" s="35" t="s">
        <x:v>2520</x:v>
      </x:c>
      <x:c r="J11" s="35" t="s">
        <x:v>2521</x:v>
      </x:c>
      <x:c r="K11" s="35" t="s">
        <x:v>2522</x:v>
      </x:c>
    </x:row>
    <x:row r="12" ht="99" customHeight="1">
      <x:c r="A12" s="35" t="s">
        <x:v>2523</x:v>
      </x:c>
      <x:c r="B12" s="35" t="s">
        <x:v>1893</x:v>
      </x:c>
      <x:c r="C12" s="35" t="s">
        <x:v>2524</x:v>
      </x:c>
      <x:c r="D12" s="35" t="s">
        <x:v>2525</x:v>
      </x:c>
      <x:c r="E12" s="35" t="s">
        <x:v>2526</x:v>
      </x:c>
      <x:c r="F12" s="35" t="s">
        <x:v>2527</x:v>
      </x:c>
      <x:c r="G12" s="35" t="s">
        <x:v>2528</x:v>
      </x:c>
      <x:c r="H12" s="35" t="s">
        <x:v>2529</x:v>
      </x:c>
      <x:c r="I12" s="35" t="s">
        <x:v>2530</x:v>
      </x:c>
      <x:c r="J12" s="35" t="s">
        <x:v>2531</x:v>
      </x:c>
      <x:c r="K12" s="35" t="s">
        <x:v>2532</x:v>
      </x:c>
    </x:row>
    <x:row r="13" ht="114" customHeight="1">
      <x:c r="A13" s="35" t="s">
        <x:v>2533</x:v>
      </x:c>
      <x:c r="B13" s="35" t="s">
        <x:v>2534</x:v>
      </x:c>
      <x:c r="C13" s="35" t="s">
        <x:v>2535</x:v>
      </x:c>
      <x:c r="D13" s="35" t="s">
        <x:v>2536</x:v>
      </x:c>
      <x:c r="E13" s="35" t="s">
        <x:v>2537</x:v>
      </x:c>
      <x:c r="F13" s="35" t="s">
        <x:v>2538</x:v>
      </x:c>
      <x:c r="G13" s="35" t="s">
        <x:v>2539</x:v>
      </x:c>
      <x:c r="H13" s="35" t="s">
        <x:v>2540</x:v>
      </x:c>
      <x:c r="I13" s="35" t="s">
        <x:v>2541</x:v>
      </x:c>
      <x:c r="J13" s="35" t="s">
        <x:v>2542</x:v>
      </x:c>
      <x:c r="K13" s="35" t="s">
        <x:v>2543</x:v>
      </x:c>
    </x:row>
    <x:row r="14" ht="114" customHeight="1">
      <x:c r="A14" s="35" t="s">
        <x:v>2544</x:v>
      </x:c>
      <x:c r="B14" s="35" t="s">
        <x:v>1905</x:v>
      </x:c>
      <x:c r="C14" s="35" t="s">
        <x:v>2545</x:v>
      </x:c>
      <x:c r="D14" s="35" t="s">
        <x:v>2546</x:v>
      </x:c>
      <x:c r="E14" s="35" t="s">
        <x:v>2547</x:v>
      </x:c>
      <x:c r="F14" s="35" t="s">
        <x:v>2548</x:v>
      </x:c>
      <x:c r="G14" s="35" t="s">
        <x:v>2549</x:v>
      </x:c>
      <x:c r="H14" s="35" t="s">
        <x:v>2550</x:v>
      </x:c>
      <x:c r="I14" s="35" t="s">
        <x:v>2551</x:v>
      </x:c>
      <x:c r="J14" s="35" t="s">
        <x:v>2552</x:v>
      </x:c>
      <x:c r="K14" s="35" t="s">
        <x:v>2553</x:v>
      </x:c>
    </x:row>
    <x:row r="15" ht="114" customHeight="1">
      <x:c r="A15" s="35" t="s">
        <x:v>2554</x:v>
      </x:c>
      <x:c r="B15" s="35" t="s">
        <x:v>2555</x:v>
      </x:c>
      <x:c r="C15" s="35" t="s">
        <x:v>2556</x:v>
      </x:c>
      <x:c r="D15" s="35" t="s">
        <x:v>2557</x:v>
      </x:c>
      <x:c r="E15" s="35" t="s">
        <x:v>2558</x:v>
      </x:c>
      <x:c r="F15" s="35" t="s">
        <x:v>2559</x:v>
      </x:c>
      <x:c r="G15" s="35" t="s">
        <x:v>2560</x:v>
      </x:c>
      <x:c r="H15" s="35" t="s">
        <x:v>2561</x:v>
      </x:c>
      <x:c r="I15" s="35" t="s">
        <x:v>2562</x:v>
      </x:c>
      <x:c r="J15" s="35" t="s">
        <x:v>2563</x:v>
      </x:c>
      <x:c r="K15" s="35" t="s">
        <x:v>2564</x:v>
      </x:c>
    </x:row>
    <x:row r="16" ht="99" customHeight="1">
      <x:c r="A16" s="35" t="s">
        <x:v>2565</x:v>
      </x:c>
      <x:c r="B16" s="35" t="s">
        <x:v>2566</x:v>
      </x:c>
      <x:c r="C16" s="35" t="s">
        <x:v>2567</x:v>
      </x:c>
      <x:c r="D16" s="35" t="s">
        <x:v>2568</x:v>
      </x:c>
      <x:c r="E16" s="35" t="s">
        <x:v>2569</x:v>
      </x:c>
      <x:c r="F16" s="35" t="s">
        <x:v>2570</x:v>
      </x:c>
      <x:c r="G16" s="35" t="s">
        <x:v>2571</x:v>
      </x:c>
      <x:c r="H16" s="35" t="s">
        <x:v>2572</x:v>
      </x:c>
      <x:c r="I16" s="35" t="s">
        <x:v>2573</x:v>
      </x:c>
      <x:c r="J16" s="35" t="s">
        <x:v>2574</x:v>
      </x:c>
      <x:c r="K16" s="35" t="s">
        <x:v>2575</x:v>
      </x:c>
    </x:row>
    <x:row r="17" ht="114" customHeight="1">
      <x:c r="A17" s="35" t="s">
        <x:v>2576</x:v>
      </x:c>
      <x:c r="B17" s="35" t="s">
        <x:v>2577</x:v>
      </x:c>
      <x:c r="C17" s="35" t="s">
        <x:v>2578</x:v>
      </x:c>
      <x:c r="D17" s="35" t="s">
        <x:v>2579</x:v>
      </x:c>
      <x:c r="E17" s="35" t="s">
        <x:v>2580</x:v>
      </x:c>
      <x:c r="F17" s="35" t="s">
        <x:v>2581</x:v>
      </x:c>
      <x:c r="G17" s="35" t="s">
        <x:v>2582</x:v>
      </x:c>
      <x:c r="H17" s="35" t="s">
        <x:v>2583</x:v>
      </x:c>
      <x:c r="I17" s="35" t="s">
        <x:v>2584</x:v>
      </x:c>
      <x:c r="J17" s="35" t="s">
        <x:v>2585</x:v>
      </x:c>
      <x:c r="K17" s="35" t="s">
        <x:v>2586</x:v>
      </x:c>
    </x:row>
    <x:row r="18" ht="99" customHeight="1">
      <x:c r="A18" s="35" t="s">
        <x:v>2587</x:v>
      </x:c>
      <x:c r="B18" s="35" t="s">
        <x:v>2588</x:v>
      </x:c>
      <x:c r="C18" s="35" t="s">
        <x:v>2589</x:v>
      </x:c>
      <x:c r="D18" s="35" t="s">
        <x:v>2590</x:v>
      </x:c>
      <x:c r="E18" s="35" t="s">
        <x:v>2591</x:v>
      </x:c>
      <x:c r="F18" s="35" t="s">
        <x:v>2592</x:v>
      </x:c>
      <x:c r="G18" s="35" t="s">
        <x:v>2593</x:v>
      </x:c>
      <x:c r="H18" s="35" t="s">
        <x:v>2594</x:v>
      </x:c>
      <x:c r="I18" s="35" t="s">
        <x:v>2595</x:v>
      </x:c>
      <x:c r="J18" s="35" t="s">
        <x:v>2596</x:v>
      </x:c>
      <x:c r="K18" s="35" t="s">
        <x:v>2597</x:v>
      </x:c>
    </x:row>
    <x:row r="19" ht="99" customHeight="1">
      <x:c r="A19" s="35" t="s">
        <x:v>2598</x:v>
      </x:c>
      <x:c r="B19" s="35" t="s">
        <x:v>2599</x:v>
      </x:c>
      <x:c r="C19" s="35" t="s">
        <x:v>2600</x:v>
      </x:c>
      <x:c r="D19" s="35" t="s">
        <x:v>2601</x:v>
      </x:c>
      <x:c r="E19" s="35" t="s">
        <x:v>2602</x:v>
      </x:c>
      <x:c r="F19" s="35" t="s">
        <x:v>2603</x:v>
      </x:c>
      <x:c r="G19" s="35" t="s">
        <x:v>2604</x:v>
      </x:c>
      <x:c r="H19" s="35" t="s">
        <x:v>2605</x:v>
      </x:c>
      <x:c r="I19" s="35" t="s">
        <x:v>2606</x:v>
      </x:c>
      <x:c r="J19" s="35" t="s">
        <x:v>2607</x:v>
      </x:c>
      <x:c r="K19" s="35" t="s">
        <x:v>2608</x:v>
      </x:c>
    </x:row>
    <x:row r="20" ht="99" customHeight="1">
      <x:c r="A20" s="35" t="s">
        <x:v>2609</x:v>
      </x:c>
      <x:c r="B20" s="35" t="s">
        <x:v>2610</x:v>
      </x:c>
      <x:c r="C20" s="35" t="s">
        <x:v>2611</x:v>
      </x:c>
      <x:c r="D20" s="35" t="s">
        <x:v>2612</x:v>
      </x:c>
      <x:c r="E20" s="35" t="s">
        <x:v>2613</x:v>
      </x:c>
      <x:c r="F20" s="35" t="s">
        <x:v>2614</x:v>
      </x:c>
      <x:c r="G20" s="35" t="s">
        <x:v>2615</x:v>
      </x:c>
      <x:c r="H20" s="35" t="s">
        <x:v>2616</x:v>
      </x:c>
      <x:c r="I20" s="35" t="s">
        <x:v>2617</x:v>
      </x:c>
      <x:c r="J20" s="35" t="s">
        <x:v>2618</x:v>
      </x:c>
      <x:c r="K20" s="35" t="s">
        <x:v>2619</x:v>
      </x:c>
    </x:row>
  </x:sheetData>
  <x:mergeCells>
    <x:mergeCell ref="A2:K2"/>
    <x:mergeCell ref="A3:K3"/>
    <x:mergeCell ref="A1:K1"/>
  </x:mergeCells>
  <x:pageMargins left="0.7" right="0.7" top="0.75" bottom="0.75" header="0.3" footer="0.3"/>
</x:worksheet>
</file>