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00_RESUMEN" sheetId="1" state="visible" r:id="rId1"/>
    <sheet name="01_MATRIZ_OPERATIVA_186" sheetId="2" state="visible" r:id="rId2"/>
    <sheet name="02_EXCEPCIONES_MIGUEL" sheetId="3" state="visible" r:id="rId3"/>
    <sheet name="03_M04_CROSSWALK_LEGACY" sheetId="4" state="visible" r:id="rId4"/>
    <sheet name="04_FASES_Y_GATES" sheetId="5" state="visible" r:id="rId5"/>
    <sheet name="05_FUENTES" sheetId="6" state="visible" r:id="rId6"/>
    <sheet name="06_QA_ZERO_TRUST" sheetId="7" state="visible" r:id="rId7"/>
    <sheet name="07_PASOS_EJECUCION_APP" sheetId="8" state="visible" r:id="rId8"/>
  </sheets>
  <definedNames>
    <definedName name="_xlnm._FilterDatabase" localSheetId="7" hidden="1">'07_PASOS_EJECUCION_APP'!$A$3:$O$3</definedName>
  </definedNames>
  <calcPr calcId="124519" calcMode="auto" fullCalcOnLoad="1" forceFullCalc="1"/>
</workbook>
</file>

<file path=xl/styles.xml><?xml version="1.0" encoding="utf-8"?>
<styleSheet xmlns="http://schemas.openxmlformats.org/spreadsheetml/2006/main">
  <numFmts count="0"/>
  <fonts count="18">
    <font>
      <name val="Calibri"/>
      <family val="2"/>
      <color theme="1"/>
      <sz val="11"/>
      <scheme val="minor"/>
    </font>
    <font>
      <b val="1"/>
      <color rgb="00FFFFFF"/>
      <sz val="16"/>
    </font>
    <font>
      <i val="1"/>
      <color rgb="00666666"/>
      <sz val="10"/>
    </font>
    <font>
      <b val="1"/>
      <color rgb="00FFFFFF"/>
    </font>
    <font>
      <b val="1"/>
      <color rgb="001F1F1F"/>
    </font>
    <font>
      <b val="1"/>
    </font>
    <font>
      <color rgb="00008000"/>
    </font>
    <font>
      <color rgb="007030A0"/>
    </font>
    <font>
      <color rgb="00666666"/>
    </font>
    <font>
      <color rgb="00000000"/>
    </font>
    <font>
      <b val="1"/>
      <color rgb="00FFFFFF"/>
      <sz val="13"/>
    </font>
    <font>
      <i val="1"/>
      <color rgb="00555555"/>
      <sz val="9"/>
    </font>
    <font>
      <b val="1"/>
      <color rgb="00FFFFFF"/>
      <sz val="9"/>
    </font>
    <font>
      <sz val="9"/>
    </font>
    <font>
      <b val="1"/>
      <color rgb="006D28D9"/>
      <sz val="9"/>
    </font>
    <font>
      <b val="1"/>
      <sz val="9"/>
    </font>
    <font>
      <b val="1"/>
      <color rgb="000369A1"/>
      <sz val="9"/>
    </font>
    <font>
      <b val="1"/>
      <color rgb="00047857"/>
      <sz val="9"/>
    </font>
  </fonts>
  <fills count="24">
    <fill>
      <patternFill/>
    </fill>
    <fill>
      <patternFill patternType="gray125"/>
    </fill>
    <fill>
      <patternFill patternType="solid">
        <fgColor rgb="0017365D"/>
      </patternFill>
    </fill>
    <fill>
      <patternFill patternType="solid">
        <fgColor rgb="007030A0"/>
      </patternFill>
    </fill>
    <fill>
      <patternFill patternType="solid">
        <fgColor rgb="00E4DFEC"/>
      </patternFill>
    </fill>
    <fill>
      <patternFill patternType="solid">
        <fgColor rgb="00E7E6E6"/>
      </patternFill>
    </fill>
    <fill>
      <patternFill patternType="solid">
        <fgColor rgb="001F4E78"/>
      </patternFill>
    </fill>
    <fill>
      <patternFill patternType="solid">
        <fgColor rgb="00D9EAF7"/>
      </patternFill>
    </fill>
    <fill>
      <patternFill patternType="solid">
        <fgColor rgb="000F6B78"/>
      </patternFill>
    </fill>
    <fill>
      <patternFill patternType="solid">
        <fgColor rgb="002E7D32"/>
      </patternFill>
    </fill>
    <fill>
      <patternFill patternType="solid">
        <fgColor rgb="00E2F0D9"/>
      </patternFill>
    </fill>
    <fill>
      <patternFill patternType="solid">
        <fgColor rgb="00FFF2CC"/>
      </patternFill>
    </fill>
    <fill>
      <patternFill patternType="solid">
        <fgColor rgb="00FCE4D6"/>
      </patternFill>
    </fill>
    <fill>
      <patternFill patternType="solid">
        <fgColor rgb="00F4CCCC"/>
      </patternFill>
    </fill>
    <fill>
      <patternFill patternType="solid">
        <fgColor rgb="001C2C4E"/>
      </patternFill>
    </fill>
    <fill>
      <patternFill patternType="solid">
        <fgColor rgb="00F1F3F7"/>
      </patternFill>
    </fill>
    <fill>
      <patternFill patternType="solid">
        <fgColor rgb="00F5F3FF"/>
      </patternFill>
    </fill>
    <fill>
      <patternFill patternType="solid">
        <fgColor rgb="00FFE4E6"/>
      </patternFill>
    </fill>
    <fill>
      <patternFill patternType="solid">
        <fgColor rgb="00F8F9FA"/>
      </patternFill>
    </fill>
    <fill>
      <patternFill patternType="solid">
        <fgColor rgb="00E0F2FE"/>
      </patternFill>
    </fill>
    <fill>
      <patternFill patternType="solid">
        <fgColor rgb="00FEF9C3"/>
      </patternFill>
    </fill>
    <fill>
      <patternFill patternType="solid">
        <fgColor rgb="00EFF6FF"/>
      </patternFill>
    </fill>
    <fill>
      <patternFill patternType="solid">
        <fgColor rgb="00ECFDF5"/>
      </patternFill>
    </fill>
    <fill>
      <patternFill patternType="solid">
        <fgColor rgb="00D9D9D9"/>
      </patternFill>
    </fill>
  </fills>
  <borders count="3">
    <border>
      <left/>
      <right/>
      <top/>
      <bottom/>
      <diagonal/>
    </border>
    <border>
      <bottom style="thin">
        <color rgb="00D9E2F3"/>
      </bottom>
    </border>
    <border>
      <left style="thin">
        <color rgb="00D1D5DB"/>
      </left>
      <right style="thin">
        <color rgb="00D1D5DB"/>
      </right>
      <top style="thin">
        <color rgb="00D1D5DB"/>
      </top>
      <bottom style="thin">
        <color rgb="00D1D5DB"/>
      </bottom>
    </border>
  </borders>
  <cellStyleXfs count="1">
    <xf numFmtId="0" fontId="0" fillId="0" borderId="0"/>
  </cellStyleXfs>
  <cellXfs count="44">
    <xf numFmtId="0" fontId="0" fillId="0" borderId="0" pivotButton="0" quotePrefix="0" xfId="0"/>
    <xf numFmtId="0" fontId="1" fillId="2" borderId="0" applyAlignment="1" pivotButton="0" quotePrefix="0" xfId="0">
      <alignment vertical="center"/>
    </xf>
    <xf numFmtId="0" fontId="2" fillId="0" borderId="0" applyAlignment="1" pivotButton="0" quotePrefix="0" xfId="0">
      <alignment vertical="top" wrapText="1"/>
    </xf>
    <xf numFmtId="0" fontId="3" fillId="3" borderId="0" applyAlignment="1" pivotButton="0" quotePrefix="0" xfId="0">
      <alignment vertical="top" wrapText="1"/>
    </xf>
    <xf numFmtId="0" fontId="0" fillId="4" borderId="0" applyAlignment="1" pivotButton="0" quotePrefix="0" xfId="0">
      <alignment vertical="top" wrapText="1"/>
    </xf>
    <xf numFmtId="0" fontId="4" fillId="5" borderId="0" applyAlignment="1" pivotButton="0" quotePrefix="0" xfId="0">
      <alignment vertical="top" wrapText="1"/>
    </xf>
    <xf numFmtId="0" fontId="0" fillId="0" borderId="0" applyAlignment="1" pivotButton="0" quotePrefix="0" xfId="0">
      <alignment vertical="top" wrapText="1"/>
    </xf>
    <xf numFmtId="0" fontId="3" fillId="6" borderId="1" applyAlignment="1" pivotButton="0" quotePrefix="0" xfId="0">
      <alignment vertical="center" wrapText="1"/>
    </xf>
    <xf numFmtId="0" fontId="0" fillId="0" borderId="0" applyAlignment="1" pivotButton="0" quotePrefix="0" xfId="0">
      <alignment vertical="center" wrapText="1"/>
    </xf>
    <xf numFmtId="0" fontId="5" fillId="7" borderId="0" applyAlignment="1" pivotButton="0" quotePrefix="0" xfId="0">
      <alignment vertical="center" wrapText="1"/>
    </xf>
    <xf numFmtId="0" fontId="3" fillId="8" borderId="0" applyAlignment="1" pivotButton="0" quotePrefix="0" xfId="0">
      <alignment vertical="top" wrapText="1"/>
    </xf>
    <xf numFmtId="0" fontId="5" fillId="0" borderId="0" applyAlignment="1" pivotButton="0" quotePrefix="0" xfId="0">
      <alignment vertical="top" wrapText="1"/>
    </xf>
    <xf numFmtId="0" fontId="3" fillId="9" borderId="0" applyAlignment="1" pivotButton="0" quotePrefix="0" xfId="0">
      <alignment vertical="top" wrapText="1"/>
    </xf>
    <xf numFmtId="0" fontId="0" fillId="10" borderId="0" applyAlignment="1" pivotButton="0" quotePrefix="0" xfId="0">
      <alignment vertical="top" wrapText="1"/>
    </xf>
    <xf numFmtId="0" fontId="6" fillId="0" borderId="0" applyAlignment="1" pivotButton="0" quotePrefix="0" xfId="0">
      <alignment vertical="top" wrapText="1"/>
    </xf>
    <xf numFmtId="0" fontId="7" fillId="7" borderId="0" applyAlignment="1" pivotButton="0" quotePrefix="0" xfId="0">
      <alignment vertical="top" wrapText="1"/>
    </xf>
    <xf numFmtId="0" fontId="7" fillId="0" borderId="0" applyAlignment="1" pivotButton="0" quotePrefix="0" xfId="0">
      <alignment vertical="top" wrapText="1"/>
    </xf>
    <xf numFmtId="0" fontId="8" fillId="0" borderId="0" applyAlignment="1" pivotButton="0" quotePrefix="0" xfId="0">
      <alignment vertical="top" wrapText="1"/>
    </xf>
    <xf numFmtId="0" fontId="9" fillId="0" borderId="0" applyAlignment="1" pivotButton="0" quotePrefix="0" xfId="0">
      <alignment vertical="top" wrapText="1"/>
    </xf>
    <xf numFmtId="0" fontId="7" fillId="10" borderId="0" applyAlignment="1" pivotButton="0" quotePrefix="0" xfId="0">
      <alignment vertical="top" wrapText="1"/>
    </xf>
    <xf numFmtId="0" fontId="7" fillId="11" borderId="0" applyAlignment="1" pivotButton="0" quotePrefix="0" xfId="0">
      <alignment vertical="top" wrapText="1"/>
    </xf>
    <xf numFmtId="0" fontId="0" fillId="12" borderId="0" applyAlignment="1" pivotButton="0" quotePrefix="0" xfId="0">
      <alignment vertical="top" wrapText="1"/>
    </xf>
    <xf numFmtId="0" fontId="7" fillId="12" borderId="0" applyAlignment="1" pivotButton="0" quotePrefix="0" xfId="0">
      <alignment vertical="top" wrapText="1"/>
    </xf>
    <xf numFmtId="0" fontId="0" fillId="11" borderId="0" applyAlignment="1" pivotButton="0" quotePrefix="0" xfId="0">
      <alignment vertical="top" wrapText="1"/>
    </xf>
    <xf numFmtId="0" fontId="0" fillId="13" borderId="0" applyAlignment="1" pivotButton="0" quotePrefix="0" xfId="0">
      <alignment vertical="top" wrapText="1"/>
    </xf>
    <xf numFmtId="0" fontId="0" fillId="5" borderId="0" applyAlignment="1" pivotButton="0" quotePrefix="0" xfId="0">
      <alignment vertical="top" wrapText="1"/>
    </xf>
    <xf numFmtId="0" fontId="3" fillId="6" borderId="1" applyAlignment="1" pivotButton="0" quotePrefix="0" xfId="0">
      <alignment vertical="top" wrapText="1"/>
    </xf>
    <xf numFmtId="0" fontId="10" fillId="14" borderId="0" applyAlignment="1" pivotButton="0" quotePrefix="0" xfId="0">
      <alignment horizontal="center" vertical="center"/>
    </xf>
    <xf numFmtId="0" fontId="11" fillId="15" borderId="0" applyAlignment="1" pivotButton="0" quotePrefix="0" xfId="0">
      <alignment vertical="center" wrapText="1"/>
    </xf>
    <xf numFmtId="0" fontId="12" fillId="14" borderId="2" applyAlignment="1" pivotButton="0" quotePrefix="0" xfId="0">
      <alignment horizontal="center" vertical="center" wrapText="1"/>
    </xf>
    <xf numFmtId="0" fontId="14" fillId="16" borderId="2" applyAlignment="1" pivotButton="0" quotePrefix="0" xfId="0">
      <alignment horizontal="center" vertical="top"/>
    </xf>
    <xf numFmtId="0" fontId="14" fillId="16" borderId="2" applyAlignment="1" pivotButton="0" quotePrefix="0" xfId="0">
      <alignment horizontal="left" vertical="top" wrapText="1"/>
    </xf>
    <xf numFmtId="0" fontId="15" fillId="17" borderId="2" applyAlignment="1" pivotButton="0" quotePrefix="0" xfId="0">
      <alignment horizontal="left" vertical="top" wrapText="1"/>
    </xf>
    <xf numFmtId="0" fontId="13" fillId="0" borderId="2" applyAlignment="1" pivotButton="0" quotePrefix="0" xfId="0">
      <alignment horizontal="left" vertical="top" wrapText="1"/>
    </xf>
    <xf numFmtId="0" fontId="13" fillId="18" borderId="2" applyAlignment="1" pivotButton="0" quotePrefix="0" xfId="0">
      <alignment horizontal="left" vertical="top" wrapText="1"/>
    </xf>
    <xf numFmtId="0" fontId="13" fillId="18" borderId="2" applyAlignment="1" pivotButton="0" quotePrefix="0" xfId="0">
      <alignment horizontal="center" vertical="top"/>
    </xf>
    <xf numFmtId="0" fontId="15" fillId="19" borderId="2" applyAlignment="1" pivotButton="0" quotePrefix="0" xfId="0">
      <alignment horizontal="left" vertical="top" wrapText="1"/>
    </xf>
    <xf numFmtId="0" fontId="15" fillId="20" borderId="2" applyAlignment="1" pivotButton="0" quotePrefix="0" xfId="0">
      <alignment horizontal="left" vertical="top" wrapText="1"/>
    </xf>
    <xf numFmtId="0" fontId="16" fillId="21" borderId="2" applyAlignment="1" pivotButton="0" quotePrefix="0" xfId="0">
      <alignment horizontal="center" vertical="top"/>
    </xf>
    <xf numFmtId="0" fontId="16" fillId="21" borderId="2" applyAlignment="1" pivotButton="0" quotePrefix="0" xfId="0">
      <alignment horizontal="left" vertical="top" wrapText="1"/>
    </xf>
    <xf numFmtId="0" fontId="17" fillId="22" borderId="2" applyAlignment="1" pivotButton="0" quotePrefix="0" xfId="0">
      <alignment horizontal="center" vertical="top"/>
    </xf>
    <xf numFmtId="0" fontId="17" fillId="22" borderId="2" applyAlignment="1" pivotButton="0" quotePrefix="0" xfId="0">
      <alignment horizontal="left" vertical="top" wrapText="1"/>
    </xf>
    <xf numFmtId="0" fontId="5" fillId="23" borderId="0" applyAlignment="1" pivotButton="0" quotePrefix="0" xfId="0">
      <alignment vertical="top" wrapText="1"/>
    </xf>
    <xf numFmtId="0" fontId="13" fillId="0" borderId="2"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tables/table1.xml><?xml version="1.0" encoding="utf-8"?>
<table xmlns="http://schemas.openxmlformats.org/spreadsheetml/2006/main" id="1" name="TablaOperativa186" displayName="TablaOperativa186" ref="A4:R190" headerRowCount="1">
  <autoFilter ref="A4:R190"/>
  <tableColumns count="18">
    <tableColumn id="1" name="Módulo"/>
    <tableColumn id="2" name="ID vigente"/>
    <tableColumn id="3" name="Flujo / Subflujo"/>
    <tableColumn id="4" name="Variante / Escenario"/>
    <tableColumn id="5" name="Condición / Disparador"/>
    <tableColumn id="6" name="Comportamiento / Obligación"/>
    <tableColumn id="7" name="Dependencia real / owner"/>
    <tableColumn id="8" name="Gate primario Walvy"/>
    <tableColumn id="9" name="QA funcional local"/>
    <tableColumn id="10" name="Fixture cross-contract"/>
    <tableColumn id="11" name="M02/M03 / superficie"/>
    <tableColumn id="12" name="E2E real"/>
    <tableColumn id="13" name="Regresión final"/>
    <tableColumn id="14" name="Fase Miguel (HTML)"/>
    <tableColumn id="15" name="Excepción vs Miguel"/>
    <tableColumn id="16" name="Criterio / por qué"/>
    <tableColumn id="17" name="Fuente vigente"/>
    <tableColumn id="18" name="Conteo ID"/>
  </tableColumns>
  <tableStyleInfo name="TableStyleMedium2" showFirstColumn="0" showLastColumn="0" showRowStripes="1" showColumnStripes="0"/>
</table>
</file>

<file path=xl/tables/table2.xml><?xml version="1.0" encoding="utf-8"?>
<table xmlns="http://schemas.openxmlformats.org/spreadsheetml/2006/main" id="2" name="TablaExcepcionesMiguel" displayName="TablaExcepcionesMiguel" ref="A4:J27" headerRowCount="1">
  <autoFilter ref="A4:J27"/>
  <tableColumns count="10">
    <tableColumn id="1" name="Módulo"/>
    <tableColumn id="2" name="ID / rango Miguel"/>
    <tableColumn id="3" name="Miguel"/>
    <tableColumn id="4" name="Walvy recomendado"/>
    <tableColumn id="5" name="Tipo de corrección"/>
    <tableColumn id="6" name="Por qué"/>
    <tableColumn id="7" name="Acción para Miguel"/>
    <tableColumn id="8" name="Certeza"/>
    <tableColumn id="9" name="Fuente"/>
    <tableColumn id="10" name="Revisión"/>
  </tableColumns>
  <tableStyleInfo name="TableStyleMedium2" showFirstColumn="0" showLastColumn="0" showRowStripes="1" showColumnStripes="0"/>
</table>
</file>

<file path=xl/tables/table3.xml><?xml version="1.0" encoding="utf-8"?>
<table xmlns="http://schemas.openxmlformats.org/spreadsheetml/2006/main" id="3" name="TablaCrosswalkM04Legacy" displayName="TablaCrosswalkM04Legacy" ref="A4:H97" headerRowCount="1">
  <autoFilter ref="A4:H97"/>
  <tableColumns count="8">
    <tableColumn id="1" name="ID legacy Miguel"/>
    <tableColumn id="2" name="Fase Miguel (HTML)"/>
    <tableColumn id="3" name="Lineage localizado"/>
    <tableColumn id="4" name="RN / reglas relacionadas"/>
    <tableColumn id="5" name="Referencia cliente / P4"/>
    <tableColumn id="6" name="Tratamiento histórico"/>
    <tableColumn id="7" name="Posible referencia vigente"/>
    <tableColumn id="8" name="Estado crosswalk"/>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table" Target="/xl/tables/table1.xml" Id="rId1" /></Relationships>
</file>

<file path=xl/worksheets/_rels/sheet3.xml.rels><Relationships xmlns="http://schemas.openxmlformats.org/package/2006/relationships"><Relationship Type="http://schemas.openxmlformats.org/officeDocument/2006/relationships/table" Target="/xl/tables/table2.xml" Id="rId1" /></Relationships>
</file>

<file path=xl/worksheets/_rels/sheet4.xml.rels><Relationships xmlns="http://schemas.openxmlformats.org/package/2006/relationships"><Relationship Type="http://schemas.openxmlformats.org/officeDocument/2006/relationships/table" Target="/xl/tables/table3.xml" Id="rId1" /></Relationships>
</file>

<file path=xl/worksheets/sheet1.xml><?xml version="1.0" encoding="utf-8"?>
<worksheet xmlns="http://schemas.openxmlformats.org/spreadsheetml/2006/main">
  <sheetPr>
    <outlinePr summaryBelow="1" summaryRight="1"/>
    <pageSetUpPr fitToPage="1"/>
  </sheetPr>
  <dimension ref="A1:J32"/>
  <sheetViews>
    <sheetView showGridLines="0" workbookViewId="0">
      <selection activeCell="A1" sqref="A1"/>
    </sheetView>
  </sheetViews>
  <sheetFormatPr baseColWidth="8" defaultRowHeight="15"/>
  <cols>
    <col width="18" customWidth="1" min="1" max="1"/>
    <col width="18" customWidth="1" min="2" max="2"/>
    <col width="18" customWidth="1" min="3" max="3"/>
    <col width="18" customWidth="1" min="4" max="4"/>
    <col width="12" customWidth="1" min="5" max="5"/>
    <col width="12" customWidth="1" min="6" max="6"/>
    <col width="16" customWidth="1" min="7" max="7"/>
    <col width="16" customWidth="1" min="8" max="8"/>
    <col width="16" customWidth="1" min="9" max="9"/>
    <col width="16" customWidth="1" min="10" max="10"/>
  </cols>
  <sheetData>
    <row r="1" ht="26" customHeight="1">
      <c r="A1" s="1" t="inlineStr">
        <is>
          <t>Walvy · Plan QA por fases · respuesta PMO · v1.1</t>
        </is>
      </c>
    </row>
    <row r="2" ht="32" customHeight="1">
      <c r="A2" s="2" t="inlineStr">
        <is>
          <t>Solución operativa para Miguel/Kabeli. La matriz separa PASS funcional, fixture cross-contract, superficies M02/M03, E2E real y regresión final.</t>
        </is>
      </c>
    </row>
    <row r="4">
      <c r="A4" s="3" t="inlineStr">
        <is>
          <t>Hallazgo rector</t>
        </is>
      </c>
      <c r="B4" s="4" t="inlineStr">
        <is>
          <t>No tratar “produce algo para otro módulo” como dependencia de entrada. Un productor puede hacer QA funcional antes y reservar la integración real para E2E.</t>
        </is>
      </c>
    </row>
    <row r="6">
      <c r="A6" s="5" t="inlineStr">
        <is>
          <t>Universo actual</t>
        </is>
      </c>
      <c r="B6" s="6" t="inlineStr">
        <is>
          <t>186 unidades contractuales vigentes = 93 Trace M04 + 34 variantes M05 + 59 variantes M06</t>
        </is>
      </c>
    </row>
    <row r="7">
      <c r="A7" s="5" t="inlineStr">
        <is>
          <t>Corrección M04</t>
        </is>
      </c>
      <c r="B7" s="6" t="inlineStr">
        <is>
          <t>M04 vigente usa TR-M04-044…136. El HTML de Miguel usa M4-Vxx; no existe crosswalk autoritativo 1:1 para V87–V93. No se fabricó ese mapeo.</t>
        </is>
      </c>
    </row>
    <row r="8">
      <c r="A8" s="5" t="inlineStr">
        <is>
          <t>Propuesta Miguel</t>
        </is>
      </c>
      <c r="B8" s="6" t="inlineStr">
        <is>
          <t>El HTML declara 152 totales, pero sus propios módulos suman 186; las fases declaradas suman 159. El plan requiere reconciliación antes de operar.</t>
        </is>
      </c>
    </row>
    <row r="9">
      <c r="A9" s="5" t="inlineStr">
        <is>
          <t>Qué conserva</t>
        </is>
      </c>
      <c r="B9" s="6" t="inlineStr">
        <is>
          <t>La intención: paralelizar QA. Se reemplaza la partición rígida por gates acumulativos: F1/F2/F3 son primer PASS; F4/F5 son reejecución E2E/regresión.</t>
        </is>
      </c>
    </row>
    <row r="10">
      <c r="A10" t="inlineStr">
        <is>
          <t>Revisión v1.1</t>
        </is>
      </c>
      <c r="B10" t="inlineStr">
        <is>
          <t>23/23 excepciones revisadas: 22 aprobadas sin cambios y 1 ajustada (M5-V20). La matriz primaria de 186 casos y sus conteos permanecen sin cambio.</t>
        </is>
      </c>
    </row>
    <row r="12" ht="34" customHeight="1">
      <c r="A12" s="7" t="inlineStr">
        <is>
          <t>Módulo</t>
        </is>
      </c>
      <c r="B12" s="7" t="inlineStr">
        <is>
          <t>F1 · local</t>
        </is>
      </c>
      <c r="C12" s="7" t="inlineStr">
        <is>
          <t>F2 · fixture cross</t>
        </is>
      </c>
      <c r="D12" s="7" t="inlineStr">
        <is>
          <t>F3 · M02/M03</t>
        </is>
      </c>
      <c r="E12" s="7" t="inlineStr">
        <is>
          <t>Total</t>
        </is>
      </c>
      <c r="F12" s="7" t="inlineStr">
        <is>
          <t>Check</t>
        </is>
      </c>
    </row>
    <row r="13">
      <c r="A13" s="8" t="inlineStr">
        <is>
          <t>M04</t>
        </is>
      </c>
      <c r="B13" s="8">
        <f>COUNTIFS('01_MATRIZ_OPERATIVA_186'!$A:$A,$A13,'01_MATRIZ_OPERATIVA_186'!$H:$H,"F1*")</f>
        <v/>
      </c>
      <c r="C13" s="8">
        <f>COUNTIFS('01_MATRIZ_OPERATIVA_186'!$A:$A,$A13,'01_MATRIZ_OPERATIVA_186'!$H:$H,"F2*")</f>
        <v/>
      </c>
      <c r="D13" s="8">
        <f>COUNTIFS('01_MATRIZ_OPERATIVA_186'!$A:$A,$A13,'01_MATRIZ_OPERATIVA_186'!$H:$H,"F3*")</f>
        <v/>
      </c>
      <c r="E13" s="8">
        <f>SUM(B13:D13)</f>
        <v/>
      </c>
      <c r="F13" s="8">
        <f>IF(E13=93,"PASS","FAIL")</f>
        <v/>
      </c>
    </row>
    <row r="14">
      <c r="A14" s="8" t="inlineStr">
        <is>
          <t>M05</t>
        </is>
      </c>
      <c r="B14" s="8">
        <f>COUNTIFS('01_MATRIZ_OPERATIVA_186'!$A:$A,$A14,'01_MATRIZ_OPERATIVA_186'!$H:$H,"F1*")</f>
        <v/>
      </c>
      <c r="C14" s="8">
        <f>COUNTIFS('01_MATRIZ_OPERATIVA_186'!$A:$A,$A14,'01_MATRIZ_OPERATIVA_186'!$H:$H,"F2*")</f>
        <v/>
      </c>
      <c r="D14" s="8">
        <f>COUNTIFS('01_MATRIZ_OPERATIVA_186'!$A:$A,$A14,'01_MATRIZ_OPERATIVA_186'!$H:$H,"F3*")</f>
        <v/>
      </c>
      <c r="E14" s="8">
        <f>SUM(B14:D14)</f>
        <v/>
      </c>
      <c r="F14" s="8">
        <f>IF(E14=34,"PASS","FAIL")</f>
        <v/>
      </c>
    </row>
    <row r="15">
      <c r="A15" s="8" t="inlineStr">
        <is>
          <t>M06</t>
        </is>
      </c>
      <c r="B15" s="8">
        <f>COUNTIFS('01_MATRIZ_OPERATIVA_186'!$A:$A,$A15,'01_MATRIZ_OPERATIVA_186'!$H:$H,"F1*")</f>
        <v/>
      </c>
      <c r="C15" s="8">
        <f>COUNTIFS('01_MATRIZ_OPERATIVA_186'!$A:$A,$A15,'01_MATRIZ_OPERATIVA_186'!$H:$H,"F2*")</f>
        <v/>
      </c>
      <c r="D15" s="8">
        <f>COUNTIFS('01_MATRIZ_OPERATIVA_186'!$A:$A,$A15,'01_MATRIZ_OPERATIVA_186'!$H:$H,"F3*")</f>
        <v/>
      </c>
      <c r="E15" s="8">
        <f>SUM(B15:D15)</f>
        <v/>
      </c>
      <c r="F15" s="8">
        <f>IF(E15=59,"PASS","FAIL")</f>
        <v/>
      </c>
    </row>
    <row r="16">
      <c r="A16" s="9" t="inlineStr">
        <is>
          <t>TOTAL</t>
        </is>
      </c>
      <c r="B16" s="9">
        <f>SUM(B13:B15)</f>
        <v/>
      </c>
      <c r="C16" s="9">
        <f>SUM(C13:C15)</f>
        <v/>
      </c>
      <c r="D16" s="9">
        <f>SUM(D13:D15)</f>
        <v/>
      </c>
      <c r="E16" s="9">
        <f>SUM(E13:E15)</f>
        <v/>
      </c>
      <c r="F16" s="9">
        <f>IF(E16=186,"PASS","FAIL")</f>
        <v/>
      </c>
    </row>
    <row r="19">
      <c r="A19" s="10" t="inlineStr">
        <is>
          <t>Lectura de las fases</t>
        </is>
      </c>
    </row>
    <row r="20">
      <c r="A20" s="10" t="inlineStr">
        <is>
          <t>F1</t>
        </is>
      </c>
      <c r="B20" s="11" t="inlineStr">
        <is>
          <t>QA funcional local</t>
        </is>
      </c>
      <c r="C20" s="6" t="inlineStr">
        <is>
          <t>PASS del comportamiento propio del módulo. Si además produce un payload downstream, se valida aquí el payload; la entrega real se prueba después.</t>
        </is>
      </c>
    </row>
    <row r="21">
      <c r="A21" s="3" t="inlineStr">
        <is>
          <t>F2</t>
        </is>
      </c>
      <c r="B21" s="11" t="inlineStr">
        <is>
          <t>Fixture cross-contract</t>
        </is>
      </c>
      <c r="C21" s="6" t="inlineStr">
        <is>
          <t>El resultado consume input de otro módulo. Se usa payload/fixture canónico del contrato cerrado; PASS funcional, todavía no E2E.</t>
        </is>
      </c>
    </row>
    <row r="22">
      <c r="A22" s="10" t="inlineStr">
        <is>
          <t>F3</t>
        </is>
      </c>
      <c r="B22" s="11" t="inlineStr">
        <is>
          <t>M02/M03 / superficie</t>
        </is>
      </c>
      <c r="C22" s="6" t="inlineStr">
        <is>
          <t>El criterio de aceptación completo vive en Home, Perfil, avisos/canales u otra superficie M02/M03. El productor puede tener QA parcial previo.</t>
        </is>
      </c>
    </row>
    <row r="23">
      <c r="A23" s="3" t="inlineStr">
        <is>
          <t>F4</t>
        </is>
      </c>
      <c r="B23" s="11" t="inlineStr">
        <is>
          <t>E2E real</t>
        </is>
      </c>
      <c r="C23" s="6" t="inlineStr">
        <is>
          <t>Reejecución de interfaces M04↔M05↔M06 con productor/consumidor reales. No es una nueva bolsa de IDs.</t>
        </is>
      </c>
    </row>
    <row r="24">
      <c r="A24" s="10" t="inlineStr">
        <is>
          <t>F5</t>
        </is>
      </c>
      <c r="B24" s="11" t="inlineStr">
        <is>
          <t>Regresión final</t>
        </is>
      </c>
      <c r="C24" s="6" t="inlineStr">
        <is>
          <t>Smoke contractual + journeys críticos sobre el release candidato. No crea nuevas variantes ni reabre Producto.</t>
        </is>
      </c>
    </row>
    <row r="27">
      <c r="A27" s="12" t="inlineStr">
        <is>
          <t>Mensaje operativo para Miguel</t>
        </is>
      </c>
    </row>
    <row r="28">
      <c r="A28" s="13" t="inlineStr">
        <is>
          <t>El enfoque de separar por dependencias se mantiene, pero proponemos distinguir PASS funcional de integración. F1 valida lo owner-local; F2 valida consumidores cross-module con fixtures canónicos; F3 valida M02/M03/superficies; F4 reejecuta E2E real y F5 hace regresión final. Esto permite adelantar productores que hoy están en F3/F4/F5 sin declarar una integración como aprobada antes de tiempo. Para M04 hay además que corregir el esquema de IDs: el contrato vigente tiene 93 Trace IDs TR-M04-044…136 y el HTML usa M4-V; no fabricamos V89–V93.</t>
        </is>
      </c>
    </row>
    <row r="29"/>
    <row r="30"/>
    <row r="31"/>
    <row r="32"/>
  </sheetData>
  <mergeCells count="13">
    <mergeCell ref="B7:J7"/>
    <mergeCell ref="A1:J1"/>
    <mergeCell ref="C21:J21"/>
    <mergeCell ref="C20:J20"/>
    <mergeCell ref="C24:J24"/>
    <mergeCell ref="B9:J9"/>
    <mergeCell ref="B8:J8"/>
    <mergeCell ref="B4:J4"/>
    <mergeCell ref="A2:J2"/>
    <mergeCell ref="C22:J22"/>
    <mergeCell ref="A28:J32"/>
    <mergeCell ref="C23:J23"/>
    <mergeCell ref="B6:J6"/>
  </mergeCells>
  <pageMargins left="0.75" right="0.75" top="1" bottom="1" header="0.5" footer="0.5"/>
  <pageSetup orientation="landscape" fitToHeight="0" fitToWidth="1"/>
  <headerFooter>
    <oddHeader/>
    <oddFooter>&amp;CWalvy · QA fases PMO · v1.0&amp;RPágina &amp;P de &amp;N</oddFooter>
    <evenHeader/>
    <evenFooter/>
    <firstHeader/>
    <firstFooter/>
  </headerFooter>
</worksheet>
</file>

<file path=xl/worksheets/sheet2.xml><?xml version="1.0" encoding="utf-8"?>
<worksheet xmlns="http://schemas.openxmlformats.org/spreadsheetml/2006/main">
  <sheetPr>
    <outlinePr summaryBelow="1" summaryRight="1"/>
    <pageSetUpPr fitToPage="1"/>
  </sheetPr>
  <dimension ref="A1:R190"/>
  <sheetViews>
    <sheetView showGridLines="0" workbookViewId="0">
      <pane ySplit="4" topLeftCell="A5" activePane="bottomLeft" state="frozen"/>
      <selection pane="bottomLeft" activeCell="A1" sqref="A1"/>
    </sheetView>
  </sheetViews>
  <sheetFormatPr baseColWidth="8" defaultRowHeight="15"/>
  <cols>
    <col width="9" customWidth="1" min="1" max="1"/>
    <col width="15" customWidth="1" min="2" max="2"/>
    <col width="25" customWidth="1" min="3" max="3"/>
    <col width="34" customWidth="1" min="4" max="4"/>
    <col width="35" customWidth="1" min="5" max="5"/>
    <col width="55" customWidth="1" min="6" max="6"/>
    <col width="34" customWidth="1" min="7" max="7"/>
    <col width="25" customWidth="1" min="8" max="8"/>
    <col width="21" customWidth="1" min="9" max="9"/>
    <col width="28" customWidth="1" min="10" max="10"/>
    <col width="20" customWidth="1" min="11" max="11"/>
    <col width="20" customWidth="1" min="12" max="12"/>
    <col width="24" customWidth="1" min="13" max="13"/>
    <col width="19" customWidth="1" min="14" max="14"/>
    <col width="19" customWidth="1" min="15" max="15"/>
    <col width="52" customWidth="1" min="16" max="16"/>
    <col width="45" customWidth="1" min="17" max="17"/>
    <col width="11" customWidth="1" min="18" max="18"/>
  </cols>
  <sheetData>
    <row r="1" ht="26" customHeight="1">
      <c r="A1" s="1" t="inlineStr">
        <is>
          <t>Matriz operativa QA · 186 unidades vigentes</t>
        </is>
      </c>
    </row>
    <row r="2" ht="32" customHeight="1">
      <c r="A2" s="2" t="inlineStr">
        <is>
          <t>F1/F2/F3 = primer PASS. F4/F5 = overlays de integración/regresión. M04 se conserva con sus Trace IDs vigentes; ver crosswalk legacy.</t>
        </is>
      </c>
    </row>
    <row r="4" ht="34" customHeight="1">
      <c r="A4" s="7" t="inlineStr">
        <is>
          <t>Módulo</t>
        </is>
      </c>
      <c r="B4" s="7" t="inlineStr">
        <is>
          <t>ID vigente</t>
        </is>
      </c>
      <c r="C4" s="7" t="inlineStr">
        <is>
          <t>Flujo / Subflujo</t>
        </is>
      </c>
      <c r="D4" s="7" t="inlineStr">
        <is>
          <t>Variante / Escenario</t>
        </is>
      </c>
      <c r="E4" s="7" t="inlineStr">
        <is>
          <t>Condición / Disparador</t>
        </is>
      </c>
      <c r="F4" s="7" t="inlineStr">
        <is>
          <t>Comportamiento / Obligación</t>
        </is>
      </c>
      <c r="G4" s="7" t="inlineStr">
        <is>
          <t>Dependencia real / owner</t>
        </is>
      </c>
      <c r="H4" s="7" t="inlineStr">
        <is>
          <t>Gate primario Walvy</t>
        </is>
      </c>
      <c r="I4" s="7" t="inlineStr">
        <is>
          <t>QA funcional local</t>
        </is>
      </c>
      <c r="J4" s="7" t="inlineStr">
        <is>
          <t>Fixture cross-contract</t>
        </is>
      </c>
      <c r="K4" s="7" t="inlineStr">
        <is>
          <t>M02/M03 / superficie</t>
        </is>
      </c>
      <c r="L4" s="7" t="inlineStr">
        <is>
          <t>E2E real</t>
        </is>
      </c>
      <c r="M4" s="7" t="inlineStr">
        <is>
          <t>Regresión final</t>
        </is>
      </c>
      <c r="N4" s="7" t="inlineStr">
        <is>
          <t>Fase Miguel (HTML)</t>
        </is>
      </c>
      <c r="O4" s="7" t="inlineStr">
        <is>
          <t>Excepción vs Miguel</t>
        </is>
      </c>
      <c r="P4" s="7" t="inlineStr">
        <is>
          <t>Criterio / por qué</t>
        </is>
      </c>
      <c r="Q4" s="7" t="inlineStr">
        <is>
          <t>Fuente vigente</t>
        </is>
      </c>
      <c r="R4" s="7" t="inlineStr">
        <is>
          <t>Conteo ID</t>
        </is>
      </c>
    </row>
    <row r="5">
      <c r="A5" s="14" t="inlineStr">
        <is>
          <t>M04</t>
        </is>
      </c>
      <c r="B5" s="14" t="inlineStr">
        <is>
          <t>TR-M04-044</t>
        </is>
      </c>
      <c r="C5" s="14" t="inlineStr">
        <is>
          <t>FLOW-M04-001 · Entrada contextual</t>
        </is>
      </c>
      <c r="D5" s="14" t="inlineStr">
        <is>
          <t>Existe candidato/proyección M04 accionable ya resuelto por el módulo dueño; Home solo consume el contrato.</t>
        </is>
      </c>
      <c r="E5" s="14" t="inlineStr">
        <is>
          <t>Home | CTA contextual</t>
        </is>
      </c>
      <c r="F5" s="14" t="inlineStr">
        <is>
          <t>Home representa el candidato M04 y deriva a su destino sin recalcular estado, reason ni Ruta; la selección del ganador global queda fuera de M04.</t>
        </is>
      </c>
      <c r="G5" s="6" t="inlineStr">
        <is>
          <t>M04 | M03/Home</t>
        </is>
      </c>
      <c r="H5" s="15" t="inlineStr">
        <is>
          <t>F3 · M02/M03 / superficie</t>
        </is>
      </c>
      <c r="I5" s="16" t="inlineStr">
        <is>
          <t>No como PASS completo</t>
        </is>
      </c>
      <c r="J5" s="16" t="inlineStr">
        <is>
          <t>Parcial · productor/oráculo sí; no sustituye PASS superficie</t>
        </is>
      </c>
      <c r="K5" s="16" t="inlineStr">
        <is>
          <t>Sí</t>
        </is>
      </c>
      <c r="L5" s="16" t="inlineStr">
        <is>
          <t>Sí · F3/F5</t>
        </is>
      </c>
      <c r="M5" s="16" t="inlineStr">
        <is>
          <t>Sí · F5 journey crítico</t>
        </is>
      </c>
      <c r="N5" s="17" t="inlineStr">
        <is>
          <t>No comparable 1:1 · Miguel usa M4-V; vigente usa TR-M04</t>
        </is>
      </c>
      <c r="O5" s="4" t="inlineStr">
        <is>
          <t>CROSSWALK</t>
        </is>
      </c>
      <c r="P5" s="16" t="inlineStr">
        <is>
          <t>El criterio de aceptación completo vive en Home/Perfil/avisos o en una superficie M02/M03; el productor puede probarse antes, pero no reemplaza el PASS de superficie.</t>
        </is>
      </c>
      <c r="Q5" s="14" t="inlineStr">
        <is>
          <t>Walvy_M04_Matriz_Trazabilidad_Cliente_v1.3.xlsx · 01_Matriz_Trazabilidad · TR-M04-044</t>
        </is>
      </c>
      <c r="R5" s="18">
        <f>COUNTIF($B$5:$B$190,B5)</f>
        <v/>
      </c>
    </row>
    <row r="6">
      <c r="A6" s="14" t="inlineStr">
        <is>
          <t>M04</t>
        </is>
      </c>
      <c r="B6" s="14" t="inlineStr">
        <is>
          <t>TR-M04-045</t>
        </is>
      </c>
      <c r="C6" s="14" t="inlineStr">
        <is>
          <t>FLOW-M04-001 · Entrada contextual</t>
        </is>
      </c>
      <c r="D6" s="14" t="inlineStr">
        <is>
          <t>Señal corresponde a pago próximo/al día/vencimiento simple con capacidad</t>
        </is>
      </c>
      <c r="E6" s="14" t="inlineStr">
        <is>
          <t>Home | CTA contextual</t>
        </is>
      </c>
      <c r="F6" s="14" t="inlineStr">
        <is>
          <t>Home deriva a M06/Pagos-Alertas; no a Ruta.</t>
        </is>
      </c>
      <c r="G6" s="6" t="inlineStr">
        <is>
          <t>M06 | M06/Pagos</t>
        </is>
      </c>
      <c r="H6" s="15" t="inlineStr">
        <is>
          <t>F3 · M02/M03 / superficie</t>
        </is>
      </c>
      <c r="I6" s="16" t="inlineStr">
        <is>
          <t>No como PASS completo</t>
        </is>
      </c>
      <c r="J6" s="16" t="inlineStr">
        <is>
          <t>Parcial · productor/oráculo sí; no sustituye PASS superficie</t>
        </is>
      </c>
      <c r="K6" s="16" t="inlineStr">
        <is>
          <t>Sí</t>
        </is>
      </c>
      <c r="L6" s="16" t="inlineStr">
        <is>
          <t>Sí · F3/F5</t>
        </is>
      </c>
      <c r="M6" s="16" t="inlineStr">
        <is>
          <t>Sí · F5 journey crítico</t>
        </is>
      </c>
      <c r="N6" s="17" t="inlineStr">
        <is>
          <t>No comparable 1:1 · Miguel usa M4-V; vigente usa TR-M04</t>
        </is>
      </c>
      <c r="O6" s="4" t="inlineStr">
        <is>
          <t>CROSSWALK</t>
        </is>
      </c>
      <c r="P6" s="16" t="inlineStr">
        <is>
          <t>El criterio de aceptación completo vive en Home/Perfil/avisos o en una superficie M02/M03; el productor puede probarse antes, pero no reemplaza el PASS de superficie.</t>
        </is>
      </c>
      <c r="Q6" s="14" t="inlineStr">
        <is>
          <t>Walvy_M04_Matriz_Trazabilidad_Cliente_v1.3.xlsx · 01_Matriz_Trazabilidad · TR-M04-045</t>
        </is>
      </c>
      <c r="R6" s="18">
        <f>COUNTIF($B$5:$B$190,B6)</f>
        <v/>
      </c>
    </row>
    <row r="7">
      <c r="A7" s="14" t="inlineStr">
        <is>
          <t>M04</t>
        </is>
      </c>
      <c r="B7" s="14" t="inlineStr">
        <is>
          <t>TR-M04-046</t>
        </is>
      </c>
      <c r="C7" s="14" t="inlineStr">
        <is>
          <t>FLOW-M04-001 · Entrada contextual</t>
        </is>
      </c>
      <c r="D7" s="14" t="inlineStr">
        <is>
          <t>Existe deuda confirmada con faltante material accionable; si aún no está confirmada, precede F2.</t>
        </is>
      </c>
      <c r="E7" s="14" t="inlineStr">
        <is>
          <t>Home | Completar</t>
        </is>
      </c>
      <c r="F7" s="14" t="inlineStr">
        <is>
          <t>Proyectar F1/completitud hacia revisión; no plan activo. Consolidar pendings de calidad por deuda y preservar reasons secundarios.</t>
        </is>
      </c>
      <c r="G7" s="6" t="inlineStr">
        <is>
          <t>M04 | M03/Home</t>
        </is>
      </c>
      <c r="H7" s="15" t="inlineStr">
        <is>
          <t>F3 · M02/M03 / superficie</t>
        </is>
      </c>
      <c r="I7" s="16" t="inlineStr">
        <is>
          <t>No como PASS completo</t>
        </is>
      </c>
      <c r="J7" s="16" t="inlineStr">
        <is>
          <t>Parcial · productor/oráculo sí; no sustituye PASS superficie</t>
        </is>
      </c>
      <c r="K7" s="16" t="inlineStr">
        <is>
          <t>Sí</t>
        </is>
      </c>
      <c r="L7" s="16" t="inlineStr">
        <is>
          <t>Sí · F3/F5</t>
        </is>
      </c>
      <c r="M7" s="16" t="inlineStr">
        <is>
          <t>Sí · F5 journey crítico</t>
        </is>
      </c>
      <c r="N7" s="17" t="inlineStr">
        <is>
          <t>No comparable 1:1 · Miguel usa M4-V; vigente usa TR-M04</t>
        </is>
      </c>
      <c r="O7" s="4" t="inlineStr">
        <is>
          <t>CROSSWALK</t>
        </is>
      </c>
      <c r="P7" s="16" t="inlineStr">
        <is>
          <t>El criterio de aceptación completo vive en Home/Perfil/avisos o en una superficie M02/M03; el productor puede probarse antes, pero no reemplaza el PASS de superficie.</t>
        </is>
      </c>
      <c r="Q7" s="14" t="inlineStr">
        <is>
          <t>Walvy_M04_Matriz_Trazabilidad_Cliente_v1.3.xlsx · 01_Matriz_Trazabilidad · TR-M04-046</t>
        </is>
      </c>
      <c r="R7" s="18">
        <f>COUNTIF($B$5:$B$190,B7)</f>
        <v/>
      </c>
    </row>
    <row r="8">
      <c r="A8" s="14" t="inlineStr">
        <is>
          <t>M04</t>
        </is>
      </c>
      <c r="B8" s="14" t="inlineStr">
        <is>
          <t>TR-M04-047</t>
        </is>
      </c>
      <c r="C8" s="14" t="inlineStr">
        <is>
          <t>FLOW-M04-001 · Entrada contextual</t>
        </is>
      </c>
      <c r="D8" s="14" t="inlineStr">
        <is>
          <t>Existe estado/proyección M04 consumible por Perfil (Salud, Ruta, calidad u orientación permitida).</t>
        </is>
      </c>
      <c r="E8" s="14" t="inlineStr">
        <is>
          <t>Perfil Financiero | CTA/lectura contextual</t>
        </is>
      </c>
      <c r="F8" s="14" t="inlineStr">
        <is>
          <t>Perfil representa estado/CTA compacto heredado del owner M04; no recalcula ni crea state machine o señal paralela.</t>
        </is>
      </c>
      <c r="G8" s="6" t="inlineStr">
        <is>
          <t>M04</t>
        </is>
      </c>
      <c r="H8" s="15" t="inlineStr">
        <is>
          <t>F3 · M02/M03 / superficie</t>
        </is>
      </c>
      <c r="I8" s="16" t="inlineStr">
        <is>
          <t>No como PASS completo</t>
        </is>
      </c>
      <c r="J8" s="16" t="inlineStr">
        <is>
          <t>Parcial · productor/oráculo sí; no sustituye PASS superficie</t>
        </is>
      </c>
      <c r="K8" s="16" t="inlineStr">
        <is>
          <t>Sí</t>
        </is>
      </c>
      <c r="L8" s="16" t="inlineStr">
        <is>
          <t>Sí · F3/F5</t>
        </is>
      </c>
      <c r="M8" s="16" t="inlineStr">
        <is>
          <t>Sí · F5 journey crítico</t>
        </is>
      </c>
      <c r="N8" s="17" t="inlineStr">
        <is>
          <t>No comparable 1:1 · Miguel usa M4-V; vigente usa TR-M04</t>
        </is>
      </c>
      <c r="O8" s="4" t="inlineStr">
        <is>
          <t>CROSSWALK</t>
        </is>
      </c>
      <c r="P8" s="16" t="inlineStr">
        <is>
          <t>El criterio de aceptación completo vive en Home/Perfil/avisos o en una superficie M02/M03; el productor puede probarse antes, pero no reemplaza el PASS de superficie.</t>
        </is>
      </c>
      <c r="Q8" s="14" t="inlineStr">
        <is>
          <t>Walvy_M04_Matriz_Trazabilidad_Cliente_v1.3.xlsx · 01_Matriz_Trazabilidad · TR-M04-047</t>
        </is>
      </c>
      <c r="R8" s="18">
        <f>COUNTIF($B$5:$B$190,B8)</f>
        <v/>
      </c>
    </row>
    <row r="9">
      <c r="A9" s="14" t="inlineStr">
        <is>
          <t>M04</t>
        </is>
      </c>
      <c r="B9" s="14" t="inlineStr">
        <is>
          <t>TR-M04-048</t>
        </is>
      </c>
      <c r="C9" s="14" t="inlineStr">
        <is>
          <t>FLOW-M04-002 · Onboarding 1 · Carga</t>
        </is>
      </c>
      <c r="D9" s="14" t="inlineStr">
        <is>
          <t>Usuario selecciona documento de deuda permitido</t>
        </is>
      </c>
      <c r="E9" s="14" t="inlineStr">
        <is>
          <t>OD-01 Agrega tus deudas | Cargar documentos</t>
        </is>
      </c>
      <c r="F9" s="14" t="inlineStr">
        <is>
          <t>El archivo entra a procesamiento documental manual y queda pendiente hasta lectura/revisión.</t>
        </is>
      </c>
      <c r="G9" s="6" t="inlineStr">
        <is>
          <t>M04 | Procesamiento documental</t>
        </is>
      </c>
      <c r="H9" s="19" t="inlineStr">
        <is>
          <t>F1 · QA funcional local</t>
        </is>
      </c>
      <c r="I9" s="16" t="inlineStr">
        <is>
          <t>Sí</t>
        </is>
      </c>
      <c r="J9" s="16" t="inlineStr">
        <is>
          <t>No requerido para PASS primario</t>
        </is>
      </c>
      <c r="K9" s="16" t="inlineStr">
        <is>
          <t>No para PASS primario</t>
        </is>
      </c>
      <c r="L9" s="16" t="inlineStr">
        <is>
          <t>No obligatorio fuera de regresión</t>
        </is>
      </c>
      <c r="M9" s="16" t="inlineStr">
        <is>
          <t>Sí · F5 smoke contractual</t>
        </is>
      </c>
      <c r="N9" s="17" t="inlineStr">
        <is>
          <t>No comparable 1:1 · Miguel usa M4-V; vigente usa TR-M04</t>
        </is>
      </c>
      <c r="O9" s="4" t="inlineStr">
        <is>
          <t>CROSSWALK</t>
        </is>
      </c>
      <c r="P9" s="16" t="inlineStr">
        <is>
          <t>El resultado primario se determina en M04 con sus estados/reglas; una salida downstream no se trata como dependencia de entrada.</t>
        </is>
      </c>
      <c r="Q9" s="14" t="inlineStr">
        <is>
          <t>Walvy_M04_Matriz_Trazabilidad_Cliente_v1.3.xlsx · 01_Matriz_Trazabilidad · TR-M04-048</t>
        </is>
      </c>
      <c r="R9" s="18">
        <f>COUNTIF($B$5:$B$190,B9)</f>
        <v/>
      </c>
    </row>
    <row r="10">
      <c r="A10" s="14" t="inlineStr">
        <is>
          <t>M04</t>
        </is>
      </c>
      <c r="B10" s="14" t="inlineStr">
        <is>
          <t>TR-M04-049</t>
        </is>
      </c>
      <c r="C10" s="14" t="inlineStr">
        <is>
          <t>FLOW-M04-002 · Onboarding 1 · Carga</t>
        </is>
      </c>
      <c r="D10" s="14" t="inlineStr">
        <is>
          <t>Archivo es Informe de Deudas CMF cargado manualmente</t>
        </is>
      </c>
      <c r="E10" s="14" t="inlineStr">
        <is>
          <t>OD-01 Agrega tus deudas | Cargar documentos</t>
        </is>
      </c>
      <c r="F10" s="14" t="inlineStr">
        <is>
          <t>Se trata como documento manual bajo las mismas reglas de ingesta; no inicia conexión/consulta/sincronización CMF/SFA.</t>
        </is>
      </c>
      <c r="G10" s="6" t="inlineStr">
        <is>
          <t>M04 | CMF/SFA externo</t>
        </is>
      </c>
      <c r="H10" s="19" t="inlineStr">
        <is>
          <t>F1 · QA funcional local</t>
        </is>
      </c>
      <c r="I10" s="16" t="inlineStr">
        <is>
          <t>Sí</t>
        </is>
      </c>
      <c r="J10" s="16" t="inlineStr">
        <is>
          <t>No requerido para PASS primario</t>
        </is>
      </c>
      <c r="K10" s="16" t="inlineStr">
        <is>
          <t>No para PASS primario</t>
        </is>
      </c>
      <c r="L10" s="16" t="inlineStr">
        <is>
          <t>No obligatorio fuera de regresión</t>
        </is>
      </c>
      <c r="M10" s="16" t="inlineStr">
        <is>
          <t>Sí · F5 smoke contractual</t>
        </is>
      </c>
      <c r="N10" s="17" t="inlineStr">
        <is>
          <t>No comparable 1:1 · Miguel usa M4-V; vigente usa TR-M04</t>
        </is>
      </c>
      <c r="O10" s="4" t="inlineStr">
        <is>
          <t>CROSSWALK</t>
        </is>
      </c>
      <c r="P10" s="16" t="inlineStr">
        <is>
          <t>El resultado primario se determina en M04 con sus estados/reglas; una salida downstream no se trata como dependencia de entrada.</t>
        </is>
      </c>
      <c r="Q10" s="14" t="inlineStr">
        <is>
          <t>Walvy_M04_Matriz_Trazabilidad_Cliente_v1.3.xlsx · 01_Matriz_Trazabilidad · TR-M04-049</t>
        </is>
      </c>
      <c r="R10" s="18">
        <f>COUNTIF($B$5:$B$190,B10)</f>
        <v/>
      </c>
    </row>
    <row r="11">
      <c r="A11" s="14" t="inlineStr">
        <is>
          <t>M04</t>
        </is>
      </c>
      <c r="B11" s="14" t="inlineStr">
        <is>
          <t>TR-M04-050</t>
        </is>
      </c>
      <c r="C11" s="14" t="inlineStr">
        <is>
          <t>FLOW-M04-002 · Onboarding 1 · Carga</t>
        </is>
      </c>
      <c r="D11" s="14" t="inlineStr">
        <is>
          <t>Procesamiento aún no termina</t>
        </is>
      </c>
      <c r="E11" s="14" t="inlineStr">
        <is>
          <t>Procesamiento documental | Estado de procesamiento</t>
        </is>
      </c>
      <c r="F11" s="14" t="inlineStr">
        <is>
          <t>Mantener processing pending; no producir deuda confirmada ni Ruta completa.</t>
        </is>
      </c>
      <c r="G11" s="6" t="inlineStr">
        <is>
          <t>M04 | Procesamiento documental</t>
        </is>
      </c>
      <c r="H11" s="19" t="inlineStr">
        <is>
          <t>F1 · QA funcional local</t>
        </is>
      </c>
      <c r="I11" s="16" t="inlineStr">
        <is>
          <t>Sí</t>
        </is>
      </c>
      <c r="J11" s="16" t="inlineStr">
        <is>
          <t>No requerido para PASS primario</t>
        </is>
      </c>
      <c r="K11" s="16" t="inlineStr">
        <is>
          <t>No para PASS primario</t>
        </is>
      </c>
      <c r="L11" s="16" t="inlineStr">
        <is>
          <t>No obligatorio fuera de regresión</t>
        </is>
      </c>
      <c r="M11" s="16" t="inlineStr">
        <is>
          <t>Sí · F5 smoke contractual</t>
        </is>
      </c>
      <c r="N11" s="17" t="inlineStr">
        <is>
          <t>No comparable 1:1 · Miguel usa M4-V; vigente usa TR-M04</t>
        </is>
      </c>
      <c r="O11" s="4" t="inlineStr">
        <is>
          <t>CROSSWALK</t>
        </is>
      </c>
      <c r="P11" s="16" t="inlineStr">
        <is>
          <t>El resultado primario se determina en M04 con sus estados/reglas; una salida downstream no se trata como dependencia de entrada.</t>
        </is>
      </c>
      <c r="Q11" s="14" t="inlineStr">
        <is>
          <t>Walvy_M04_Matriz_Trazabilidad_Cliente_v1.3.xlsx · 01_Matriz_Trazabilidad · TR-M04-050</t>
        </is>
      </c>
      <c r="R11" s="18">
        <f>COUNTIF($B$5:$B$190,B11)</f>
        <v/>
      </c>
    </row>
    <row r="12">
      <c r="A12" s="14" t="inlineStr">
        <is>
          <t>M04</t>
        </is>
      </c>
      <c r="B12" s="14" t="inlineStr">
        <is>
          <t>TR-M04-051</t>
        </is>
      </c>
      <c r="C12" s="14" t="inlineStr">
        <is>
          <t>FLOW-M04-003 · Onboarding 1 · Carga</t>
        </is>
      </c>
      <c r="D12" s="14" t="inlineStr">
        <is>
          <t>Registro manual formal con campos de registro básico</t>
        </is>
      </c>
      <c r="E12" s="14" t="inlineStr">
        <is>
          <t>OD-01 / sheet deuda manual | Guardar deuda</t>
        </is>
      </c>
      <c r="F12" s="14" t="inlineStr">
        <is>
          <t>Guardar la deuda declarada manualmente y marcarla como confirmada respecto de su existencia/pertenencia; reevaluar la completitud de forma independiente. El registro no implica Presion ni Ruta.</t>
        </is>
      </c>
      <c r="G12" s="6" t="inlineStr">
        <is>
          <t>M04</t>
        </is>
      </c>
      <c r="H12" s="19" t="inlineStr">
        <is>
          <t>F1 · QA funcional local</t>
        </is>
      </c>
      <c r="I12" s="16" t="inlineStr">
        <is>
          <t>Sí</t>
        </is>
      </c>
      <c r="J12" s="16" t="inlineStr">
        <is>
          <t>No requerido para PASS primario</t>
        </is>
      </c>
      <c r="K12" s="16" t="inlineStr">
        <is>
          <t>No para PASS primario</t>
        </is>
      </c>
      <c r="L12" s="16" t="inlineStr">
        <is>
          <t>No obligatorio fuera de regresión</t>
        </is>
      </c>
      <c r="M12" s="16" t="inlineStr">
        <is>
          <t>Sí · F5 smoke contractual</t>
        </is>
      </c>
      <c r="N12" s="17" t="inlineStr">
        <is>
          <t>No comparable 1:1 · Miguel usa M4-V; vigente usa TR-M04</t>
        </is>
      </c>
      <c r="O12" s="4" t="inlineStr">
        <is>
          <t>CROSSWALK</t>
        </is>
      </c>
      <c r="P12" s="16" t="inlineStr">
        <is>
          <t>El resultado primario se determina en M04 con sus estados/reglas; una salida downstream no se trata como dependencia de entrada.</t>
        </is>
      </c>
      <c r="Q12" s="14" t="inlineStr">
        <is>
          <t>Walvy_M04_Matriz_Trazabilidad_Cliente_v1.3.xlsx · 01_Matriz_Trazabilidad · TR-M04-051</t>
        </is>
      </c>
      <c r="R12" s="18">
        <f>COUNTIF($B$5:$B$190,B12)</f>
        <v/>
      </c>
    </row>
    <row r="13">
      <c r="A13" s="14" t="inlineStr">
        <is>
          <t>M04</t>
        </is>
      </c>
      <c r="B13" s="14" t="inlineStr">
        <is>
          <t>TR-M04-052</t>
        </is>
      </c>
      <c r="C13" s="14" t="inlineStr">
        <is>
          <t>FLOW-M04-003 · Onboarding 1 · Carga</t>
        </is>
      </c>
      <c r="D13" s="14" t="inlineStr">
        <is>
          <t>Registro es préstamo personal o compromiso informal con monto/frecuencia</t>
        </is>
      </c>
      <c r="E13" s="14" t="inlineStr">
        <is>
          <t>OD-01 / sheet deuda manual | Guardar deuda</t>
        </is>
      </c>
      <c r="F13" s="14" t="inlineStr">
        <is>
          <t>Guardar como deuda manual/informal sin tratamiento estigmatizante; evaluar luego según mismas reglas de presión.</t>
        </is>
      </c>
      <c r="G13" s="6" t="inlineStr">
        <is>
          <t>M04</t>
        </is>
      </c>
      <c r="H13" s="19" t="inlineStr">
        <is>
          <t>F1 · QA funcional local</t>
        </is>
      </c>
      <c r="I13" s="16" t="inlineStr">
        <is>
          <t>Sí</t>
        </is>
      </c>
      <c r="J13" s="16" t="inlineStr">
        <is>
          <t>No requerido para PASS primario</t>
        </is>
      </c>
      <c r="K13" s="16" t="inlineStr">
        <is>
          <t>No para PASS primario</t>
        </is>
      </c>
      <c r="L13" s="16" t="inlineStr">
        <is>
          <t>No obligatorio fuera de regresión</t>
        </is>
      </c>
      <c r="M13" s="16" t="inlineStr">
        <is>
          <t>Sí · F5 smoke contractual</t>
        </is>
      </c>
      <c r="N13" s="17" t="inlineStr">
        <is>
          <t>No comparable 1:1 · Miguel usa M4-V; vigente usa TR-M04</t>
        </is>
      </c>
      <c r="O13" s="4" t="inlineStr">
        <is>
          <t>CROSSWALK</t>
        </is>
      </c>
      <c r="P13" s="16" t="inlineStr">
        <is>
          <t>El resultado primario se determina en M04 con sus estados/reglas; una salida downstream no se trata como dependencia de entrada.</t>
        </is>
      </c>
      <c r="Q13" s="14" t="inlineStr">
        <is>
          <t>Walvy_M04_Matriz_Trazabilidad_Cliente_v1.3.xlsx · 01_Matriz_Trazabilidad · TR-M04-052</t>
        </is>
      </c>
      <c r="R13" s="18">
        <f>COUNTIF($B$5:$B$190,B13)</f>
        <v/>
      </c>
    </row>
    <row r="14">
      <c r="A14" s="14" t="inlineStr">
        <is>
          <t>M04</t>
        </is>
      </c>
      <c r="B14" s="14" t="inlineStr">
        <is>
          <t>TR-M04-053</t>
        </is>
      </c>
      <c r="C14" s="14" t="inlineStr">
        <is>
          <t>FLOW-M04-003 · Onboarding 1 · Carga</t>
        </is>
      </c>
      <c r="D14" s="14" t="inlineStr">
        <is>
          <t>Faltan datos para presión/Ruta</t>
        </is>
      </c>
      <c r="E14" s="14" t="inlineStr">
        <is>
          <t>OD-01 / sheet deuda manual | Guardar deuda</t>
        </is>
      </c>
      <c r="F14" s="14" t="inlineStr">
        <is>
          <t>Conservar la deuda manual como confirmada respecto de su existencia/pertenencia, pero pendiente/incompleta para el uso afectado; no evaluar presion fuerte, priorizacion ni cronograma mientras falten datos materiales requeridos.</t>
        </is>
      </c>
      <c r="G14" s="6" t="inlineStr">
        <is>
          <t>M04</t>
        </is>
      </c>
      <c r="H14" s="19" t="inlineStr">
        <is>
          <t>F1 · QA funcional local</t>
        </is>
      </c>
      <c r="I14" s="16" t="inlineStr">
        <is>
          <t>Sí</t>
        </is>
      </c>
      <c r="J14" s="16" t="inlineStr">
        <is>
          <t>No requerido para PASS primario</t>
        </is>
      </c>
      <c r="K14" s="16" t="inlineStr">
        <is>
          <t>No para PASS primario</t>
        </is>
      </c>
      <c r="L14" s="16" t="inlineStr">
        <is>
          <t>No obligatorio fuera de regresión</t>
        </is>
      </c>
      <c r="M14" s="16" t="inlineStr">
        <is>
          <t>Sí · F5 smoke contractual</t>
        </is>
      </c>
      <c r="N14" s="17" t="inlineStr">
        <is>
          <t>No comparable 1:1 · Miguel usa M4-V; vigente usa TR-M04</t>
        </is>
      </c>
      <c r="O14" s="4" t="inlineStr">
        <is>
          <t>CROSSWALK</t>
        </is>
      </c>
      <c r="P14" s="16" t="inlineStr">
        <is>
          <t>El resultado primario se determina en M04 con sus estados/reglas; una salida downstream no se trata como dependencia de entrada.</t>
        </is>
      </c>
      <c r="Q14" s="14" t="inlineStr">
        <is>
          <t>Walvy_M04_Matriz_Trazabilidad_Cliente_v1.3.xlsx · 01_Matriz_Trazabilidad · TR-M04-053</t>
        </is>
      </c>
      <c r="R14" s="18">
        <f>COUNTIF($B$5:$B$190,B14)</f>
        <v/>
      </c>
    </row>
    <row r="15">
      <c r="A15" s="14" t="inlineStr">
        <is>
          <t>M04</t>
        </is>
      </c>
      <c r="B15" s="14" t="inlineStr">
        <is>
          <t>TR-M04-054</t>
        </is>
      </c>
      <c r="C15" s="14" t="inlineStr">
        <is>
          <t>FLOW-M04-004 · Onboarding 1 · Documento protegido</t>
        </is>
      </c>
      <c r="D15" s="14" t="inlineStr">
        <is>
          <t>Documento está protegido con contraseña</t>
        </is>
      </c>
      <c r="E15" s="14" t="inlineStr">
        <is>
          <t>Carga documental | Detectar protección</t>
        </is>
      </c>
      <c r="F15" s="14" t="inlineStr">
        <is>
          <t>Mostrar estado recuperable y solicitar clave solo cuando sea necesaria.</t>
        </is>
      </c>
      <c r="G15" s="6" t="inlineStr">
        <is>
          <t>M04 | Documento protegido</t>
        </is>
      </c>
      <c r="H15" s="19" t="inlineStr">
        <is>
          <t>F1 · QA funcional local</t>
        </is>
      </c>
      <c r="I15" s="16" t="inlineStr">
        <is>
          <t>Sí</t>
        </is>
      </c>
      <c r="J15" s="16" t="inlineStr">
        <is>
          <t>No requerido para PASS primario</t>
        </is>
      </c>
      <c r="K15" s="16" t="inlineStr">
        <is>
          <t>No para PASS primario</t>
        </is>
      </c>
      <c r="L15" s="16" t="inlineStr">
        <is>
          <t>No obligatorio fuera de regresión</t>
        </is>
      </c>
      <c r="M15" s="16" t="inlineStr">
        <is>
          <t>Sí · F5 smoke contractual</t>
        </is>
      </c>
      <c r="N15" s="17" t="inlineStr">
        <is>
          <t>No comparable 1:1 · Miguel usa M4-V; vigente usa TR-M04</t>
        </is>
      </c>
      <c r="O15" s="4" t="inlineStr">
        <is>
          <t>CROSSWALK</t>
        </is>
      </c>
      <c r="P15" s="16" t="inlineStr">
        <is>
          <t>El resultado primario se determina en M04 con sus estados/reglas; una salida downstream no se trata como dependencia de entrada.</t>
        </is>
      </c>
      <c r="Q15" s="14" t="inlineStr">
        <is>
          <t>Walvy_M04_Matriz_Trazabilidad_Cliente_v1.3.xlsx · 01_Matriz_Trazabilidad · TR-M04-054</t>
        </is>
      </c>
      <c r="R15" s="18">
        <f>COUNTIF($B$5:$B$190,B15)</f>
        <v/>
      </c>
    </row>
    <row r="16">
      <c r="A16" s="14" t="inlineStr">
        <is>
          <t>M04</t>
        </is>
      </c>
      <c r="B16" s="14" t="inlineStr">
        <is>
          <t>TR-M04-055</t>
        </is>
      </c>
      <c r="C16" s="14" t="inlineStr">
        <is>
          <t>FLOW-M04-004 · Onboarding 1 · Documento protegido</t>
        </is>
      </c>
      <c r="D16" s="14" t="inlineStr">
        <is>
          <t>Clave correcta</t>
        </is>
      </c>
      <c r="E16" s="14" t="inlineStr">
        <is>
          <t>Estado requiere clave | Continuar revisión</t>
        </is>
      </c>
      <c r="F16" s="14" t="inlineStr">
        <is>
          <t>Procesar documento y continuar a revisión; clave no se persiste como atributo de deuda.</t>
        </is>
      </c>
      <c r="G16" s="6" t="inlineStr">
        <is>
          <t>M04 | Documento protegido</t>
        </is>
      </c>
      <c r="H16" s="19" t="inlineStr">
        <is>
          <t>F1 · QA funcional local</t>
        </is>
      </c>
      <c r="I16" s="16" t="inlineStr">
        <is>
          <t>Sí</t>
        </is>
      </c>
      <c r="J16" s="16" t="inlineStr">
        <is>
          <t>No requerido para PASS primario</t>
        </is>
      </c>
      <c r="K16" s="16" t="inlineStr">
        <is>
          <t>No para PASS primario</t>
        </is>
      </c>
      <c r="L16" s="16" t="inlineStr">
        <is>
          <t>No obligatorio fuera de regresión</t>
        </is>
      </c>
      <c r="M16" s="16" t="inlineStr">
        <is>
          <t>Sí · F5 smoke contractual</t>
        </is>
      </c>
      <c r="N16" s="17" t="inlineStr">
        <is>
          <t>No comparable 1:1 · Miguel usa M4-V; vigente usa TR-M04</t>
        </is>
      </c>
      <c r="O16" s="4" t="inlineStr">
        <is>
          <t>CROSSWALK</t>
        </is>
      </c>
      <c r="P16" s="16" t="inlineStr">
        <is>
          <t>El resultado primario se determina en M04 con sus estados/reglas; una salida downstream no se trata como dependencia de entrada.</t>
        </is>
      </c>
      <c r="Q16" s="14" t="inlineStr">
        <is>
          <t>Walvy_M04_Matriz_Trazabilidad_Cliente_v1.3.xlsx · 01_Matriz_Trazabilidad · TR-M04-055</t>
        </is>
      </c>
      <c r="R16" s="18">
        <f>COUNTIF($B$5:$B$190,B16)</f>
        <v/>
      </c>
    </row>
    <row r="17">
      <c r="A17" s="14" t="inlineStr">
        <is>
          <t>M04</t>
        </is>
      </c>
      <c r="B17" s="14" t="inlineStr">
        <is>
          <t>TR-M04-056</t>
        </is>
      </c>
      <c r="C17" s="14" t="inlineStr">
        <is>
          <t>FLOW-M04-004 · Onboarding 1 · Documento protegido</t>
        </is>
      </c>
      <c r="D17" s="14" t="inlineStr">
        <is>
          <t>Clave incorrecta</t>
        </is>
      </c>
      <c r="E17" s="14" t="inlineStr">
        <is>
          <t>Estado requiere clave | Reintentar</t>
        </is>
      </c>
      <c r="F17" s="14" t="inlineStr">
        <is>
          <t>Mantener recuperación; permitir reintento u otro documento sin confirmar deuda.</t>
        </is>
      </c>
      <c r="G17" s="6" t="inlineStr">
        <is>
          <t>M04 | Documento protegido</t>
        </is>
      </c>
      <c r="H17" s="19" t="inlineStr">
        <is>
          <t>F1 · QA funcional local</t>
        </is>
      </c>
      <c r="I17" s="16" t="inlineStr">
        <is>
          <t>Sí</t>
        </is>
      </c>
      <c r="J17" s="16" t="inlineStr">
        <is>
          <t>No requerido para PASS primario</t>
        </is>
      </c>
      <c r="K17" s="16" t="inlineStr">
        <is>
          <t>No para PASS primario</t>
        </is>
      </c>
      <c r="L17" s="16" t="inlineStr">
        <is>
          <t>No obligatorio fuera de regresión</t>
        </is>
      </c>
      <c r="M17" s="16" t="inlineStr">
        <is>
          <t>Sí · F5 smoke contractual</t>
        </is>
      </c>
      <c r="N17" s="17" t="inlineStr">
        <is>
          <t>No comparable 1:1 · Miguel usa M4-V; vigente usa TR-M04</t>
        </is>
      </c>
      <c r="O17" s="4" t="inlineStr">
        <is>
          <t>CROSSWALK</t>
        </is>
      </c>
      <c r="P17" s="16" t="inlineStr">
        <is>
          <t>El resultado primario se determina en M04 con sus estados/reglas; una salida downstream no se trata como dependencia de entrada.</t>
        </is>
      </c>
      <c r="Q17" s="14" t="inlineStr">
        <is>
          <t>Walvy_M04_Matriz_Trazabilidad_Cliente_v1.3.xlsx · 01_Matriz_Trazabilidad · TR-M04-056</t>
        </is>
      </c>
      <c r="R17" s="18">
        <f>COUNTIF($B$5:$B$190,B17)</f>
        <v/>
      </c>
    </row>
    <row r="18">
      <c r="A18" s="14" t="inlineStr">
        <is>
          <t>M04</t>
        </is>
      </c>
      <c r="B18" s="14" t="inlineStr">
        <is>
          <t>TR-M04-057</t>
        </is>
      </c>
      <c r="C18" s="14" t="inlineStr">
        <is>
          <t>FLOW-M04-004 · Onboarding 1 · Documento protegido</t>
        </is>
      </c>
      <c r="D18" s="14" t="inlineStr">
        <is>
          <t>Usuario no dispone de clave</t>
        </is>
      </c>
      <c r="E18" s="14" t="inlineStr">
        <is>
          <t>Estado requiere clave | Alternativa</t>
        </is>
      </c>
      <c r="F18" s="14" t="inlineStr">
        <is>
          <t>Permitir subir otro documento o registrar manualmente; flujo M04 no queda bloqueado.</t>
        </is>
      </c>
      <c r="G18" s="6" t="inlineStr">
        <is>
          <t>M04 | Documento protegido</t>
        </is>
      </c>
      <c r="H18" s="19" t="inlineStr">
        <is>
          <t>F1 · QA funcional local</t>
        </is>
      </c>
      <c r="I18" s="16" t="inlineStr">
        <is>
          <t>Sí</t>
        </is>
      </c>
      <c r="J18" s="16" t="inlineStr">
        <is>
          <t>No requerido para PASS primario</t>
        </is>
      </c>
      <c r="K18" s="16" t="inlineStr">
        <is>
          <t>No para PASS primario</t>
        </is>
      </c>
      <c r="L18" s="16" t="inlineStr">
        <is>
          <t>No obligatorio fuera de regresión</t>
        </is>
      </c>
      <c r="M18" s="16" t="inlineStr">
        <is>
          <t>Sí · F5 smoke contractual</t>
        </is>
      </c>
      <c r="N18" s="17" t="inlineStr">
        <is>
          <t>No comparable 1:1 · Miguel usa M4-V; vigente usa TR-M04</t>
        </is>
      </c>
      <c r="O18" s="4" t="inlineStr">
        <is>
          <t>CROSSWALK</t>
        </is>
      </c>
      <c r="P18" s="16" t="inlineStr">
        <is>
          <t>El resultado primario se determina en M04 con sus estados/reglas; una salida downstream no se trata como dependencia de entrada.</t>
        </is>
      </c>
      <c r="Q18" s="14" t="inlineStr">
        <is>
          <t>Walvy_M04_Matriz_Trazabilidad_Cliente_v1.3.xlsx · 01_Matriz_Trazabilidad · TR-M04-057</t>
        </is>
      </c>
      <c r="R18" s="18">
        <f>COUNTIF($B$5:$B$190,B18)</f>
        <v/>
      </c>
    </row>
    <row r="19">
      <c r="A19" s="14" t="inlineStr">
        <is>
          <t>M04</t>
        </is>
      </c>
      <c r="B19" s="14" t="inlineStr">
        <is>
          <t>TR-M04-058</t>
        </is>
      </c>
      <c r="C19" s="14" t="inlineStr">
        <is>
          <t>FLOW-M04-005 · Onboarding 1 · Error documento</t>
        </is>
      </c>
      <c r="D19" s="14" t="inlineStr">
        <is>
          <t>Documento no procesable o sin datos suficientes</t>
        </is>
      </c>
      <c r="E19" s="14" t="inlineStr">
        <is>
          <t>Carga/Analizando | Error de procesamiento</t>
        </is>
      </c>
      <c r="F19" s="14" t="inlineStr">
        <is>
          <t>Ofrecer otro documento o carga manual; no producir deuda confirmada ni lectura fuerte.</t>
        </is>
      </c>
      <c r="G19" s="6" t="inlineStr">
        <is>
          <t>M04 | Procesamiento documental</t>
        </is>
      </c>
      <c r="H19" s="19" t="inlineStr">
        <is>
          <t>F1 · QA funcional local</t>
        </is>
      </c>
      <c r="I19" s="16" t="inlineStr">
        <is>
          <t>Sí</t>
        </is>
      </c>
      <c r="J19" s="16" t="inlineStr">
        <is>
          <t>No requerido para PASS primario</t>
        </is>
      </c>
      <c r="K19" s="16" t="inlineStr">
        <is>
          <t>No para PASS primario</t>
        </is>
      </c>
      <c r="L19" s="16" t="inlineStr">
        <is>
          <t>No obligatorio fuera de regresión</t>
        </is>
      </c>
      <c r="M19" s="16" t="inlineStr">
        <is>
          <t>Sí · F5 smoke contractual</t>
        </is>
      </c>
      <c r="N19" s="17" t="inlineStr">
        <is>
          <t>No comparable 1:1 · Miguel usa M4-V; vigente usa TR-M04</t>
        </is>
      </c>
      <c r="O19" s="4" t="inlineStr">
        <is>
          <t>CROSSWALK</t>
        </is>
      </c>
      <c r="P19" s="16" t="inlineStr">
        <is>
          <t>El resultado primario se determina en M04 con sus estados/reglas; una salida downstream no se trata como dependencia de entrada.</t>
        </is>
      </c>
      <c r="Q19" s="14" t="inlineStr">
        <is>
          <t>Walvy_M04_Matriz_Trazabilidad_Cliente_v1.3.xlsx · 01_Matriz_Trazabilidad · TR-M04-058</t>
        </is>
      </c>
      <c r="R19" s="18">
        <f>COUNTIF($B$5:$B$190,B19)</f>
        <v/>
      </c>
    </row>
    <row r="20">
      <c r="A20" s="14" t="inlineStr">
        <is>
          <t>M04</t>
        </is>
      </c>
      <c r="B20" s="14" t="inlineStr">
        <is>
          <t>TR-M04-059</t>
        </is>
      </c>
      <c r="C20" s="14" t="inlineStr">
        <is>
          <t>FLOW-M04-006 · Onboarding 2 · Revisión</t>
        </is>
      </c>
      <c r="D20" s="14" t="inlineStr">
        <is>
          <t>Deuda detectada con datos suficientes y sin confirmación</t>
        </is>
      </c>
      <c r="E20" s="14" t="inlineStr">
        <is>
          <t>OD-02 | Confirmar deuda</t>
        </is>
      </c>
      <c r="F20" s="14" t="inlineStr">
        <is>
          <t>Cambiar confirmation_status a confirmed; mantener separación entre confirmar y activar Ruta.</t>
        </is>
      </c>
      <c r="G20" s="6" t="inlineStr">
        <is>
          <t>M04</t>
        </is>
      </c>
      <c r="H20" s="19" t="inlineStr">
        <is>
          <t>F1 · QA funcional local</t>
        </is>
      </c>
      <c r="I20" s="16" t="inlineStr">
        <is>
          <t>Sí</t>
        </is>
      </c>
      <c r="J20" s="16" t="inlineStr">
        <is>
          <t>No requerido para PASS primario</t>
        </is>
      </c>
      <c r="K20" s="16" t="inlineStr">
        <is>
          <t>No para PASS primario</t>
        </is>
      </c>
      <c r="L20" s="16" t="inlineStr">
        <is>
          <t>No obligatorio fuera de regresión</t>
        </is>
      </c>
      <c r="M20" s="16" t="inlineStr">
        <is>
          <t>Sí · F5 smoke contractual</t>
        </is>
      </c>
      <c r="N20" s="17" t="inlineStr">
        <is>
          <t>No comparable 1:1 · Miguel usa M4-V; vigente usa TR-M04</t>
        </is>
      </c>
      <c r="O20" s="4" t="inlineStr">
        <is>
          <t>CROSSWALK</t>
        </is>
      </c>
      <c r="P20" s="16" t="inlineStr">
        <is>
          <t>El resultado primario se determina en M04 con sus estados/reglas; una salida downstream no se trata como dependencia de entrada.</t>
        </is>
      </c>
      <c r="Q20" s="14" t="inlineStr">
        <is>
          <t>Walvy_M04_Matriz_Trazabilidad_Cliente_v1.3.xlsx · 01_Matriz_Trazabilidad · TR-M04-059</t>
        </is>
      </c>
      <c r="R20" s="18">
        <f>COUNTIF($B$5:$B$190,B20)</f>
        <v/>
      </c>
    </row>
    <row r="21">
      <c r="A21" s="14" t="inlineStr">
        <is>
          <t>M04</t>
        </is>
      </c>
      <c r="B21" s="14" t="inlineStr">
        <is>
          <t>TR-M04-060</t>
        </is>
      </c>
      <c r="C21" s="14" t="inlineStr">
        <is>
          <t>FLOW-M04-007 · Onboarding 2 · Revisión</t>
        </is>
      </c>
      <c r="D21" s="14" t="inlineStr">
        <is>
          <t>Falta dato crítico identificable</t>
        </is>
      </c>
      <c r="E21" s="14" t="inlineStr">
        <is>
          <t>OD-02 | Completar información</t>
        </is>
      </c>
      <c r="F21" s="14" t="inlineStr">
        <is>
          <t>Mostrar exactamente que dato falta y una accion concreta de completitud; separar tipo/origen/validacion y conservar cualquier dato parcial valido ya declarado. Un derivado no calculable no autoriza a descartar el dato fuente.</t>
        </is>
      </c>
      <c r="G21" s="6" t="inlineStr">
        <is>
          <t>M04</t>
        </is>
      </c>
      <c r="H21" s="19" t="inlineStr">
        <is>
          <t>F1 · QA funcional local</t>
        </is>
      </c>
      <c r="I21" s="16" t="inlineStr">
        <is>
          <t>Sí</t>
        </is>
      </c>
      <c r="J21" s="16" t="inlineStr">
        <is>
          <t>No requerido para PASS primario</t>
        </is>
      </c>
      <c r="K21" s="16" t="inlineStr">
        <is>
          <t>No para PASS primario</t>
        </is>
      </c>
      <c r="L21" s="16" t="inlineStr">
        <is>
          <t>No obligatorio fuera de regresión</t>
        </is>
      </c>
      <c r="M21" s="16" t="inlineStr">
        <is>
          <t>Sí · F5 smoke contractual</t>
        </is>
      </c>
      <c r="N21" s="17" t="inlineStr">
        <is>
          <t>No comparable 1:1 · Miguel usa M4-V; vigente usa TR-M04</t>
        </is>
      </c>
      <c r="O21" s="4" t="inlineStr">
        <is>
          <t>CROSSWALK</t>
        </is>
      </c>
      <c r="P21" s="16" t="inlineStr">
        <is>
          <t>El resultado primario se determina en M04 con sus estados/reglas; una salida downstream no se trata como dependencia de entrada.</t>
        </is>
      </c>
      <c r="Q21" s="14" t="inlineStr">
        <is>
          <t>Walvy_M04_Matriz_Trazabilidad_Cliente_v1.3.xlsx · 01_Matriz_Trazabilidad · TR-M04-060</t>
        </is>
      </c>
      <c r="R21" s="18">
        <f>COUNTIF($B$5:$B$190,B21)</f>
        <v/>
      </c>
    </row>
    <row r="22">
      <c r="A22" s="14" t="inlineStr">
        <is>
          <t>M04</t>
        </is>
      </c>
      <c r="B22" s="14" t="inlineStr">
        <is>
          <t>TR-M04-061</t>
        </is>
      </c>
      <c r="C22" s="14" t="inlineStr">
        <is>
          <t>FLOW-M04-007 · Onboarding 2 · Revisión</t>
        </is>
      </c>
      <c r="D22" s="14" t="inlineStr">
        <is>
          <t>Usuario completa dato crítico</t>
        </is>
      </c>
      <c r="E22" s="14" t="inlineStr">
        <is>
          <t>Sheet completar | Guardar</t>
        </is>
      </c>
      <c r="F22" s="14" t="inlineStr">
        <is>
          <t>Persistir dato y reevaluar frescura, completitud y el contrato P4; si el gate queda completo, dejar Ruta elegible sin activarla.</t>
        </is>
      </c>
      <c r="G22" s="6" t="inlineStr">
        <is>
          <t>P4-CNT-001; P4-CNT-007; P4-CNT-018 · M04</t>
        </is>
      </c>
      <c r="H22" s="20" t="inlineStr">
        <is>
          <t>F2 · Fixture cross-contract</t>
        </is>
      </c>
      <c r="I22" s="16" t="inlineStr">
        <is>
          <t>No como PASS completo</t>
        </is>
      </c>
      <c r="J22" s="16" t="inlineStr">
        <is>
          <t>Sí · fixture/payload canónico</t>
        </is>
      </c>
      <c r="K22" s="16" t="inlineStr">
        <is>
          <t>No para PASS primario</t>
        </is>
      </c>
      <c r="L22" s="16" t="inlineStr">
        <is>
          <t>Sí · F4</t>
        </is>
      </c>
      <c r="M22" s="16" t="inlineStr">
        <is>
          <t>Sí · F5 journey crítico</t>
        </is>
      </c>
      <c r="N22" s="17" t="inlineStr">
        <is>
          <t>No comparable 1:1 · Miguel usa M4-V; vigente usa TR-M04</t>
        </is>
      </c>
      <c r="O22" s="4" t="inlineStr">
        <is>
          <t>CROSSWALK</t>
        </is>
      </c>
      <c r="P22" s="16" t="inlineStr">
        <is>
          <t>El resultado CONSUME un contrato upstream; el contrato está cerrado y admite fixture/oráculo reproducible antes del E2E real.</t>
        </is>
      </c>
      <c r="Q22" s="14" t="inlineStr">
        <is>
          <t>Walvy_M04_Matriz_Trazabilidad_Cliente_v1.3.xlsx · 01_Matriz_Trazabilidad · TR-M04-061</t>
        </is>
      </c>
      <c r="R22" s="18">
        <f>COUNTIF($B$5:$B$190,B22)</f>
        <v/>
      </c>
    </row>
    <row r="23">
      <c r="A23" s="14" t="inlineStr">
        <is>
          <t>M04</t>
        </is>
      </c>
      <c r="B23" s="14" t="inlineStr">
        <is>
          <t>TR-M04-062</t>
        </is>
      </c>
      <c r="C23" s="14" t="inlineStr">
        <is>
          <t>FLOW-M04-007 · Onboarding 2 · Revisión</t>
        </is>
      </c>
      <c r="D23" s="14" t="inlineStr">
        <is>
          <t>Usuario no conoce dato crítico</t>
        </is>
      </c>
      <c r="E23" s="14" t="inlineStr">
        <is>
          <t>OD-02 | Guardar pendiente</t>
        </is>
      </c>
      <c r="F23" s="14" t="inlineStr">
        <is>
          <t>Conservar la deuda y los datos parciales conocidos como pendiente/incompleta para el uso afectado; dejar derivados no calculables cuando falte un insumo y excluir solo la conclusion que dependa de ese faltante.</t>
        </is>
      </c>
      <c r="G23" s="6" t="inlineStr">
        <is>
          <t>M04</t>
        </is>
      </c>
      <c r="H23" s="19" t="inlineStr">
        <is>
          <t>F1 · QA funcional local</t>
        </is>
      </c>
      <c r="I23" s="16" t="inlineStr">
        <is>
          <t>Sí</t>
        </is>
      </c>
      <c r="J23" s="16" t="inlineStr">
        <is>
          <t>No requerido para PASS primario</t>
        </is>
      </c>
      <c r="K23" s="16" t="inlineStr">
        <is>
          <t>No para PASS primario</t>
        </is>
      </c>
      <c r="L23" s="16" t="inlineStr">
        <is>
          <t>No obligatorio fuera de regresión</t>
        </is>
      </c>
      <c r="M23" s="16" t="inlineStr">
        <is>
          <t>Sí · F5 smoke contractual</t>
        </is>
      </c>
      <c r="N23" s="17" t="inlineStr">
        <is>
          <t>No comparable 1:1 · Miguel usa M4-V; vigente usa TR-M04</t>
        </is>
      </c>
      <c r="O23" s="4" t="inlineStr">
        <is>
          <t>CROSSWALK</t>
        </is>
      </c>
      <c r="P23" s="16" t="inlineStr">
        <is>
          <t>El resultado primario se determina en M04 con sus estados/reglas; una salida downstream no se trata como dependencia de entrada.</t>
        </is>
      </c>
      <c r="Q23" s="14" t="inlineStr">
        <is>
          <t>Walvy_M04_Matriz_Trazabilidad_Cliente_v1.3.xlsx · 01_Matriz_Trazabilidad · TR-M04-062</t>
        </is>
      </c>
      <c r="R23" s="18">
        <f>COUNTIF($B$5:$B$190,B23)</f>
        <v/>
      </c>
    </row>
    <row r="24">
      <c r="A24" s="14" t="inlineStr">
        <is>
          <t>M04</t>
        </is>
      </c>
      <c r="B24" s="14" t="inlineStr">
        <is>
          <t>TR-M04-063</t>
        </is>
      </c>
      <c r="C24" s="14" t="inlineStr">
        <is>
          <t>FLOW-M04-007 · Onboarding 2 · Revisión</t>
        </is>
      </c>
      <c r="D24" s="14" t="inlineStr">
        <is>
          <t>Documento identifica deuda/pago pero datos son parciales</t>
        </is>
      </c>
      <c r="E24" s="14" t="inlineStr">
        <is>
          <t>OD-02 | Revisar/Completar</t>
        </is>
      </c>
      <c r="F24" s="14" t="inlineStr">
        <is>
          <t>Crear deuda pendiente con origen parcial; si el quality gate no permite una evaluación confiable, mantener resultado parcial/no calculable y orientar a completar/revisar; si está confirmada pero imprecisa, conservar lectura condicionada.</t>
        </is>
      </c>
      <c r="G24" s="6" t="inlineStr">
        <is>
          <t>M04 | Documento parcial</t>
        </is>
      </c>
      <c r="H24" s="19" t="inlineStr">
        <is>
          <t>F1 · QA funcional local</t>
        </is>
      </c>
      <c r="I24" s="16" t="inlineStr">
        <is>
          <t>Sí</t>
        </is>
      </c>
      <c r="J24" s="16" t="inlineStr">
        <is>
          <t>No requerido para PASS primario</t>
        </is>
      </c>
      <c r="K24" s="16" t="inlineStr">
        <is>
          <t>No para PASS primario</t>
        </is>
      </c>
      <c r="L24" s="16" t="inlineStr">
        <is>
          <t>No obligatorio fuera de regresión</t>
        </is>
      </c>
      <c r="M24" s="16" t="inlineStr">
        <is>
          <t>Sí · F5 smoke contractual</t>
        </is>
      </c>
      <c r="N24" s="17" t="inlineStr">
        <is>
          <t>No comparable 1:1 · Miguel usa M4-V; vigente usa TR-M04</t>
        </is>
      </c>
      <c r="O24" s="4" t="inlineStr">
        <is>
          <t>CROSSWALK</t>
        </is>
      </c>
      <c r="P24" s="16" t="inlineStr">
        <is>
          <t>El resultado primario se determina en M04 con sus estados/reglas; una salida downstream no se trata como dependencia de entrada.</t>
        </is>
      </c>
      <c r="Q24" s="14" t="inlineStr">
        <is>
          <t>Walvy_M04_Matriz_Trazabilidad_Cliente_v1.3.xlsx · 01_Matriz_Trazabilidad · TR-M04-063</t>
        </is>
      </c>
      <c r="R24" s="18">
        <f>COUNTIF($B$5:$B$190,B24)</f>
        <v/>
      </c>
    </row>
    <row r="25">
      <c r="A25" s="14" t="inlineStr">
        <is>
          <t>M04</t>
        </is>
      </c>
      <c r="B25" s="14" t="inlineStr">
        <is>
          <t>TR-M04-064</t>
        </is>
      </c>
      <c r="C25" s="14" t="inlineStr">
        <is>
          <t>FLOW-M04-008 · Onboarding 2 · Revisión</t>
        </is>
      </c>
      <c r="D25" s="14" t="inlineStr">
        <is>
          <t>Deuda ya confirmada</t>
        </is>
      </c>
      <c r="E25" s="14" t="inlineStr">
        <is>
          <t>OD-02 | Continuar/Revisar</t>
        </is>
      </c>
      <c r="F25" s="14" t="inlineStr">
        <is>
          <t>Mantener estado confirmado y continuar resolución del resto de instancias.</t>
        </is>
      </c>
      <c r="G25" s="6" t="inlineStr">
        <is>
          <t>M04</t>
        </is>
      </c>
      <c r="H25" s="19" t="inlineStr">
        <is>
          <t>F1 · QA funcional local</t>
        </is>
      </c>
      <c r="I25" s="16" t="inlineStr">
        <is>
          <t>Sí</t>
        </is>
      </c>
      <c r="J25" s="16" t="inlineStr">
        <is>
          <t>No requerido para PASS primario</t>
        </is>
      </c>
      <c r="K25" s="16" t="inlineStr">
        <is>
          <t>No para PASS primario</t>
        </is>
      </c>
      <c r="L25" s="16" t="inlineStr">
        <is>
          <t>No obligatorio fuera de regresión</t>
        </is>
      </c>
      <c r="M25" s="16" t="inlineStr">
        <is>
          <t>Sí · F5 smoke contractual</t>
        </is>
      </c>
      <c r="N25" s="17" t="inlineStr">
        <is>
          <t>No comparable 1:1 · Miguel usa M4-V; vigente usa TR-M04</t>
        </is>
      </c>
      <c r="O25" s="4" t="inlineStr">
        <is>
          <t>CROSSWALK</t>
        </is>
      </c>
      <c r="P25" s="16" t="inlineStr">
        <is>
          <t>El resultado primario se determina en M04 con sus estados/reglas; una salida downstream no se trata como dependencia de entrada.</t>
        </is>
      </c>
      <c r="Q25" s="14" t="inlineStr">
        <is>
          <t>Walvy_M04_Matriz_Trazabilidad_Cliente_v1.3.xlsx · 01_Matriz_Trazabilidad · TR-M04-064</t>
        </is>
      </c>
      <c r="R25" s="18">
        <f>COUNTIF($B$5:$B$190,B25)</f>
        <v/>
      </c>
    </row>
    <row r="26">
      <c r="A26" s="14" t="inlineStr">
        <is>
          <t>M04</t>
        </is>
      </c>
      <c r="B26" s="14" t="inlineStr">
        <is>
          <t>TR-M04-065</t>
        </is>
      </c>
      <c r="C26" s="14" t="inlineStr">
        <is>
          <t>FLOW-M04-008 · Onboarding 2 · Revisión</t>
        </is>
      </c>
      <c r="D26" s="14" t="inlineStr">
        <is>
          <t>Todas las instancias relevantes están resueltas</t>
        </is>
      </c>
      <c r="E26" s="14" t="inlineStr">
        <is>
          <t>OD-02 | Finalizar revisión</t>
        </is>
      </c>
      <c r="F26" s="14" t="inlineStr">
        <is>
          <t>Cerrar revisión por lote y derivar a evaluación/resultado.</t>
        </is>
      </c>
      <c r="G26" s="6" t="inlineStr">
        <is>
          <t>M04</t>
        </is>
      </c>
      <c r="H26" s="19" t="inlineStr">
        <is>
          <t>F1 · QA funcional local</t>
        </is>
      </c>
      <c r="I26" s="16" t="inlineStr">
        <is>
          <t>Sí</t>
        </is>
      </c>
      <c r="J26" s="16" t="inlineStr">
        <is>
          <t>No requerido para PASS primario</t>
        </is>
      </c>
      <c r="K26" s="16" t="inlineStr">
        <is>
          <t>No para PASS primario</t>
        </is>
      </c>
      <c r="L26" s="16" t="inlineStr">
        <is>
          <t>No obligatorio fuera de regresión</t>
        </is>
      </c>
      <c r="M26" s="16" t="inlineStr">
        <is>
          <t>Sí · F5 smoke contractual</t>
        </is>
      </c>
      <c r="N26" s="17" t="inlineStr">
        <is>
          <t>No comparable 1:1 · Miguel usa M4-V; vigente usa TR-M04</t>
        </is>
      </c>
      <c r="O26" s="4" t="inlineStr">
        <is>
          <t>CROSSWALK</t>
        </is>
      </c>
      <c r="P26" s="16" t="inlineStr">
        <is>
          <t>El resultado primario se determina en M04 con sus estados/reglas; una salida downstream no se trata como dependencia de entrada.</t>
        </is>
      </c>
      <c r="Q26" s="14" t="inlineStr">
        <is>
          <t>Walvy_M04_Matriz_Trazabilidad_Cliente_v1.3.xlsx · 01_Matriz_Trazabilidad · TR-M04-065</t>
        </is>
      </c>
      <c r="R26" s="18">
        <f>COUNTIF($B$5:$B$190,B26)</f>
        <v/>
      </c>
    </row>
    <row r="27">
      <c r="A27" s="14" t="inlineStr">
        <is>
          <t>M04</t>
        </is>
      </c>
      <c r="B27" s="14" t="inlineStr">
        <is>
          <t>TR-M04-066</t>
        </is>
      </c>
      <c r="C27" s="14" t="inlineStr">
        <is>
          <t>FLOW-M04-009 · Onboarding 2 · Revisión</t>
        </is>
      </c>
      <c r="D27" s="14" t="inlineStr">
        <is>
          <t>Usuario no reconoce deuda</t>
        </is>
      </c>
      <c r="E27" s="14" t="inlineStr">
        <is>
          <t>OD-02 deuda detectada | No corresponde</t>
        </is>
      </c>
      <c r="F27" s="14" t="inlineStr">
        <is>
          <t>Excluir de Salud/Ruta; conservar provenance mínima de origen/decisión.</t>
        </is>
      </c>
      <c r="G27" s="6" t="inlineStr">
        <is>
          <t>M04</t>
        </is>
      </c>
      <c r="H27" s="19" t="inlineStr">
        <is>
          <t>F1 · QA funcional local</t>
        </is>
      </c>
      <c r="I27" s="16" t="inlineStr">
        <is>
          <t>Sí</t>
        </is>
      </c>
      <c r="J27" s="16" t="inlineStr">
        <is>
          <t>No requerido para PASS primario</t>
        </is>
      </c>
      <c r="K27" s="16" t="inlineStr">
        <is>
          <t>No para PASS primario</t>
        </is>
      </c>
      <c r="L27" s="16" t="inlineStr">
        <is>
          <t>No obligatorio fuera de regresión</t>
        </is>
      </c>
      <c r="M27" s="16" t="inlineStr">
        <is>
          <t>Sí · F5 smoke contractual</t>
        </is>
      </c>
      <c r="N27" s="17" t="inlineStr">
        <is>
          <t>No comparable 1:1 · Miguel usa M4-V; vigente usa TR-M04</t>
        </is>
      </c>
      <c r="O27" s="4" t="inlineStr">
        <is>
          <t>CROSSWALK</t>
        </is>
      </c>
      <c r="P27" s="16" t="inlineStr">
        <is>
          <t>El resultado primario se determina en M04 con sus estados/reglas; una salida downstream no se trata como dependencia de entrada.</t>
        </is>
      </c>
      <c r="Q27" s="14" t="inlineStr">
        <is>
          <t>Walvy_M04_Matriz_Trazabilidad_Cliente_v1.3.xlsx · 01_Matriz_Trazabilidad · TR-M04-066</t>
        </is>
      </c>
      <c r="R27" s="18">
        <f>COUNTIF($B$5:$B$190,B27)</f>
        <v/>
      </c>
    </row>
    <row r="28">
      <c r="A28" s="14" t="inlineStr">
        <is>
          <t>M04</t>
        </is>
      </c>
      <c r="B28" s="14" t="inlineStr">
        <is>
          <t>TR-M04-067</t>
        </is>
      </c>
      <c r="C28" s="14" t="inlineStr">
        <is>
          <t>FLOW-M04-010 · Onboarding 2 · Revisión</t>
        </is>
      </c>
      <c r="D28" s="14" t="inlineStr">
        <is>
          <t>Existe duplicado probable</t>
        </is>
      </c>
      <c r="E28" s="14" t="inlineStr">
        <is>
          <t>OD-02 deuda detectada/registrada | Revisar coincidencia</t>
        </is>
      </c>
      <c r="F28" s="14" t="inlineStr">
        <is>
          <t>Solicitar revisión; no fusionar automáticamente ni doble contabilizar.</t>
        </is>
      </c>
      <c r="G28" s="6" t="inlineStr">
        <is>
          <t>M04</t>
        </is>
      </c>
      <c r="H28" s="19" t="inlineStr">
        <is>
          <t>F1 · QA funcional local</t>
        </is>
      </c>
      <c r="I28" s="16" t="inlineStr">
        <is>
          <t>Sí</t>
        </is>
      </c>
      <c r="J28" s="16" t="inlineStr">
        <is>
          <t>No requerido para PASS primario</t>
        </is>
      </c>
      <c r="K28" s="16" t="inlineStr">
        <is>
          <t>No para PASS primario</t>
        </is>
      </c>
      <c r="L28" s="16" t="inlineStr">
        <is>
          <t>No obligatorio fuera de regresión</t>
        </is>
      </c>
      <c r="M28" s="16" t="inlineStr">
        <is>
          <t>Sí · F5 smoke contractual</t>
        </is>
      </c>
      <c r="N28" s="17" t="inlineStr">
        <is>
          <t>No comparable 1:1 · Miguel usa M4-V; vigente usa TR-M04</t>
        </is>
      </c>
      <c r="O28" s="4" t="inlineStr">
        <is>
          <t>CROSSWALK</t>
        </is>
      </c>
      <c r="P28" s="16" t="inlineStr">
        <is>
          <t>El resultado primario se determina en M04 con sus estados/reglas; una salida downstream no se trata como dependencia de entrada.</t>
        </is>
      </c>
      <c r="Q28" s="14" t="inlineStr">
        <is>
          <t>Walvy_M04_Matriz_Trazabilidad_Cliente_v1.3.xlsx · 01_Matriz_Trazabilidad · TR-M04-067</t>
        </is>
      </c>
      <c r="R28" s="18">
        <f>COUNTIF($B$5:$B$190,B28)</f>
        <v/>
      </c>
    </row>
    <row r="29">
      <c r="A29" s="14" t="inlineStr">
        <is>
          <t>M04</t>
        </is>
      </c>
      <c r="B29" s="14" t="inlineStr">
        <is>
          <t>TR-M04-068</t>
        </is>
      </c>
      <c r="C29" s="14" t="inlineStr">
        <is>
          <t>FLOW-M04-011 · Onboarding 2 · Revisión</t>
        </is>
      </c>
      <c r="D29" s="14" t="inlineStr">
        <is>
          <t>Documento contiene múltiples posibles deudas</t>
        </is>
      </c>
      <c r="E29" s="14" t="inlineStr">
        <is>
          <t>OD-02 lote | Revisar pendientes</t>
        </is>
      </c>
      <c r="F29" s="14" t="inlineStr">
        <is>
          <t>Separar instancias y revisar individualmente; no consolidar lote por defecto.</t>
        </is>
      </c>
      <c r="G29" s="6" t="inlineStr">
        <is>
          <t>M04</t>
        </is>
      </c>
      <c r="H29" s="19" t="inlineStr">
        <is>
          <t>F1 · QA funcional local</t>
        </is>
      </c>
      <c r="I29" s="16" t="inlineStr">
        <is>
          <t>Sí</t>
        </is>
      </c>
      <c r="J29" s="16" t="inlineStr">
        <is>
          <t>No requerido para PASS primario</t>
        </is>
      </c>
      <c r="K29" s="16" t="inlineStr">
        <is>
          <t>No para PASS primario</t>
        </is>
      </c>
      <c r="L29" s="16" t="inlineStr">
        <is>
          <t>No obligatorio fuera de regresión</t>
        </is>
      </c>
      <c r="M29" s="16" t="inlineStr">
        <is>
          <t>Sí · F5 smoke contractual</t>
        </is>
      </c>
      <c r="N29" s="17" t="inlineStr">
        <is>
          <t>No comparable 1:1 · Miguel usa M4-V; vigente usa TR-M04</t>
        </is>
      </c>
      <c r="O29" s="4" t="inlineStr">
        <is>
          <t>CROSSWALK</t>
        </is>
      </c>
      <c r="P29" s="16" t="inlineStr">
        <is>
          <t>El resultado primario se determina en M04 con sus estados/reglas; una salida downstream no se trata como dependencia de entrada.</t>
        </is>
      </c>
      <c r="Q29" s="14" t="inlineStr">
        <is>
          <t>Walvy_M04_Matriz_Trazabilidad_Cliente_v1.3.xlsx · 01_Matriz_Trazabilidad · TR-M04-068</t>
        </is>
      </c>
      <c r="R29" s="18">
        <f>COUNTIF($B$5:$B$190,B29)</f>
        <v/>
      </c>
    </row>
    <row r="30">
      <c r="A30" s="14" t="inlineStr">
        <is>
          <t>M04</t>
        </is>
      </c>
      <c r="B30" s="14" t="inlineStr">
        <is>
          <t>TR-M04-069</t>
        </is>
      </c>
      <c r="C30" s="14" t="inlineStr">
        <is>
          <t>FLOW-M04-011 · Onboarding 2 · Revisión</t>
        </is>
      </c>
      <c r="D30" s="14" t="inlineStr">
        <is>
          <t>Solo parte del lote está resuelta</t>
        </is>
      </c>
      <c r="E30" s="14" t="inlineStr">
        <is>
          <t>OD-02 lote | Continuar revisión</t>
        </is>
      </c>
      <c r="F30" s="14" t="inlineStr">
        <is>
          <t>Mantener pendientes visibles y fuera de lectura concluyente hasta resolverlas.</t>
        </is>
      </c>
      <c r="G30" s="6" t="inlineStr">
        <is>
          <t>M04</t>
        </is>
      </c>
      <c r="H30" s="19" t="inlineStr">
        <is>
          <t>F1 · QA funcional local</t>
        </is>
      </c>
      <c r="I30" s="16" t="inlineStr">
        <is>
          <t>Sí</t>
        </is>
      </c>
      <c r="J30" s="16" t="inlineStr">
        <is>
          <t>No requerido para PASS primario</t>
        </is>
      </c>
      <c r="K30" s="16" t="inlineStr">
        <is>
          <t>No para PASS primario</t>
        </is>
      </c>
      <c r="L30" s="16" t="inlineStr">
        <is>
          <t>No obligatorio fuera de regresión</t>
        </is>
      </c>
      <c r="M30" s="16" t="inlineStr">
        <is>
          <t>Sí · F5 smoke contractual</t>
        </is>
      </c>
      <c r="N30" s="17" t="inlineStr">
        <is>
          <t>No comparable 1:1 · Miguel usa M4-V; vigente usa TR-M04</t>
        </is>
      </c>
      <c r="O30" s="4" t="inlineStr">
        <is>
          <t>CROSSWALK</t>
        </is>
      </c>
      <c r="P30" s="16" t="inlineStr">
        <is>
          <t>El resultado primario se determina en M04 con sus estados/reglas; una salida downstream no se trata como dependencia de entrada.</t>
        </is>
      </c>
      <c r="Q30" s="14" t="inlineStr">
        <is>
          <t>Walvy_M04_Matriz_Trazabilidad_Cliente_v1.3.xlsx · 01_Matriz_Trazabilidad · TR-M04-069</t>
        </is>
      </c>
      <c r="R30" s="18">
        <f>COUNTIF($B$5:$B$190,B30)</f>
        <v/>
      </c>
    </row>
    <row r="31">
      <c r="A31" s="14" t="inlineStr">
        <is>
          <t>M04</t>
        </is>
      </c>
      <c r="B31" s="14" t="inlineStr">
        <is>
          <t>TR-M04-070</t>
        </is>
      </c>
      <c r="C31" s="14" t="inlineStr">
        <is>
          <t>FLOW-M04-012 · Onboarding 2→3</t>
        </is>
      </c>
      <c r="D31" s="14" t="inlineStr">
        <is>
          <t>Base completa para evaluación</t>
        </is>
      </c>
      <c r="E31" s="14" t="inlineStr">
        <is>
          <t>OD-02→OD-03 | Siguiente/Validar</t>
        </is>
      </c>
      <c r="F31" s="14" t="inlineStr">
        <is>
          <t>Evaluar confirmación, suficiencia, frescura y Presión P4 antes de producir resultado.</t>
        </is>
      </c>
      <c r="G31" s="6" t="inlineStr">
        <is>
          <t>P4-CNT-001; P4-CNT-007; P4-CNT-008 · M04</t>
        </is>
      </c>
      <c r="H31" s="20" t="inlineStr">
        <is>
          <t>F2 · Fixture cross-contract</t>
        </is>
      </c>
      <c r="I31" s="16" t="inlineStr">
        <is>
          <t>No como PASS completo</t>
        </is>
      </c>
      <c r="J31" s="16" t="inlineStr">
        <is>
          <t>Sí · fixture/payload canónico</t>
        </is>
      </c>
      <c r="K31" s="16" t="inlineStr">
        <is>
          <t>No para PASS primario</t>
        </is>
      </c>
      <c r="L31" s="16" t="inlineStr">
        <is>
          <t>Sí · F4</t>
        </is>
      </c>
      <c r="M31" s="16" t="inlineStr">
        <is>
          <t>Sí · F5 journey crítico</t>
        </is>
      </c>
      <c r="N31" s="17" t="inlineStr">
        <is>
          <t>No comparable 1:1 · Miguel usa M4-V; vigente usa TR-M04</t>
        </is>
      </c>
      <c r="O31" s="4" t="inlineStr">
        <is>
          <t>CROSSWALK</t>
        </is>
      </c>
      <c r="P31" s="16" t="inlineStr">
        <is>
          <t>El resultado CONSUME un contrato upstream; el contrato está cerrado y admite fixture/oráculo reproducible antes del E2E real.</t>
        </is>
      </c>
      <c r="Q31" s="14" t="inlineStr">
        <is>
          <t>Walvy_M04_Matriz_Trazabilidad_Cliente_v1.3.xlsx · 01_Matriz_Trazabilidad · TR-M04-070</t>
        </is>
      </c>
      <c r="R31" s="18">
        <f>COUNTIF($B$5:$B$190,B31)</f>
        <v/>
      </c>
    </row>
    <row r="32">
      <c r="A32" s="14" t="inlineStr">
        <is>
          <t>M04</t>
        </is>
      </c>
      <c r="B32" s="14" t="inlineStr">
        <is>
          <t>TR-M04-071</t>
        </is>
      </c>
      <c r="C32" s="14" t="inlineStr">
        <is>
          <t>FLOW-M04-012 · Onboarding 2→3</t>
        </is>
      </c>
      <c r="D32" s="14" t="inlineStr">
        <is>
          <t>Base permite lectura cualitativa pero precisión es limitada</t>
        </is>
      </c>
      <c r="E32" s="14" t="inlineStr">
        <is>
          <t>OD-02→OD-03 | Siguiente/Validar</t>
        </is>
      </c>
      <c r="F32" s="14" t="inlineStr">
        <is>
          <t>Degradar la lectura cuando la calidad es insuficiente; un faltante material bloquea En Control, sin borrar evidencia adversa independientemente suficiente.</t>
        </is>
      </c>
      <c r="G32" s="6" t="inlineStr">
        <is>
          <t>P4-CNT-001 · M04</t>
        </is>
      </c>
      <c r="H32" s="20" t="inlineStr">
        <is>
          <t>F2 · Fixture cross-contract</t>
        </is>
      </c>
      <c r="I32" s="16" t="inlineStr">
        <is>
          <t>No como PASS completo</t>
        </is>
      </c>
      <c r="J32" s="16" t="inlineStr">
        <is>
          <t>Sí · fixture/payload canónico</t>
        </is>
      </c>
      <c r="K32" s="16" t="inlineStr">
        <is>
          <t>No para PASS primario</t>
        </is>
      </c>
      <c r="L32" s="16" t="inlineStr">
        <is>
          <t>Sí · F4</t>
        </is>
      </c>
      <c r="M32" s="16" t="inlineStr">
        <is>
          <t>Sí · F5 journey crítico</t>
        </is>
      </c>
      <c r="N32" s="17" t="inlineStr">
        <is>
          <t>No comparable 1:1 · Miguel usa M4-V; vigente usa TR-M04</t>
        </is>
      </c>
      <c r="O32" s="4" t="inlineStr">
        <is>
          <t>CROSSWALK</t>
        </is>
      </c>
      <c r="P32" s="16" t="inlineStr">
        <is>
          <t>El resultado CONSUME un contrato upstream; el contrato está cerrado y admite fixture/oráculo reproducible antes del E2E real.</t>
        </is>
      </c>
      <c r="Q32" s="14" t="inlineStr">
        <is>
          <t>Walvy_M04_Matriz_Trazabilidad_Cliente_v1.3.xlsx · 01_Matriz_Trazabilidad · TR-M04-071</t>
        </is>
      </c>
      <c r="R32" s="18">
        <f>COUNTIF($B$5:$B$190,B32)</f>
        <v/>
      </c>
    </row>
    <row r="33">
      <c r="A33" s="14" t="inlineStr">
        <is>
          <t>M04</t>
        </is>
      </c>
      <c r="B33" s="14" t="inlineStr">
        <is>
          <t>TR-M04-072</t>
        </is>
      </c>
      <c r="C33" s="14" t="inlineStr">
        <is>
          <t>FLOW-M04-012 · Onboarding 2→3</t>
        </is>
      </c>
      <c r="D33" s="14" t="inlineStr">
        <is>
          <t>Falta dato crítico o confirmación</t>
        </is>
      </c>
      <c r="E33" s="14" t="inlineStr">
        <is>
          <t>OD-02→OD-03 | Siguiente/Validar</t>
        </is>
      </c>
      <c r="F33" s="14" t="inlineStr">
        <is>
          <t>Bloquear conclusión fuerte favorable y devolver a completitud/confirmación cuando falte dato material o confirmación.</t>
        </is>
      </c>
      <c r="G33" s="6" t="inlineStr">
        <is>
          <t>P4-CNT-001; P4-CNT-018 · M04</t>
        </is>
      </c>
      <c r="H33" s="20" t="inlineStr">
        <is>
          <t>F2 · Fixture cross-contract</t>
        </is>
      </c>
      <c r="I33" s="16" t="inlineStr">
        <is>
          <t>No como PASS completo</t>
        </is>
      </c>
      <c r="J33" s="16" t="inlineStr">
        <is>
          <t>Sí · fixture/payload canónico</t>
        </is>
      </c>
      <c r="K33" s="16" t="inlineStr">
        <is>
          <t>No para PASS primario</t>
        </is>
      </c>
      <c r="L33" s="16" t="inlineStr">
        <is>
          <t>Sí · F4</t>
        </is>
      </c>
      <c r="M33" s="16" t="inlineStr">
        <is>
          <t>Sí · F5 journey crítico</t>
        </is>
      </c>
      <c r="N33" s="17" t="inlineStr">
        <is>
          <t>No comparable 1:1 · Miguel usa M4-V; vigente usa TR-M04</t>
        </is>
      </c>
      <c r="O33" s="4" t="inlineStr">
        <is>
          <t>CROSSWALK</t>
        </is>
      </c>
      <c r="P33" s="16" t="inlineStr">
        <is>
          <t>El resultado CONSUME un contrato upstream; el contrato está cerrado y admite fixture/oráculo reproducible antes del E2E real.</t>
        </is>
      </c>
      <c r="Q33" s="14" t="inlineStr">
        <is>
          <t>Walvy_M04_Matriz_Trazabilidad_Cliente_v1.3.xlsx · 01_Matriz_Trazabilidad · TR-M04-072</t>
        </is>
      </c>
      <c r="R33" s="18">
        <f>COUNTIF($B$5:$B$190,B33)</f>
        <v/>
      </c>
    </row>
    <row r="34">
      <c r="A34" s="14" t="inlineStr">
        <is>
          <t>M04</t>
        </is>
      </c>
      <c r="B34" s="14" t="inlineStr">
        <is>
          <t>TR-M04-073</t>
        </is>
      </c>
      <c r="C34" s="14" t="inlineStr">
        <is>
          <t>FLOW-M04-013 · Onboarding 3 · Resultado</t>
        </is>
      </c>
      <c r="D34" s="14" t="inlineStr">
        <is>
          <t>Deuda confirmada con Presión final En Control y datos suficientes</t>
        </is>
      </c>
      <c r="E34" s="14" t="inlineStr">
        <is>
          <t>OD-03 Resultado | Ver detalle/Revisar pagos</t>
        </is>
      </c>
      <c r="F34" s="14" t="inlineStr">
        <is>
          <t>Mostrar En Control/seguimiento y mantener Ruta inactiva; el CTA operativo puede derivar a M06 sin cambiar ownership.</t>
        </is>
      </c>
      <c r="G34" s="6" t="inlineStr">
        <is>
          <t>P4-CNT-007 · M04 | M06 pagos</t>
        </is>
      </c>
      <c r="H34" s="20" t="inlineStr">
        <is>
          <t>F2 · Fixture cross-contract</t>
        </is>
      </c>
      <c r="I34" s="16" t="inlineStr">
        <is>
          <t>No como PASS completo</t>
        </is>
      </c>
      <c r="J34" s="16" t="inlineStr">
        <is>
          <t>Sí · fixture/payload canónico</t>
        </is>
      </c>
      <c r="K34" s="16" t="inlineStr">
        <is>
          <t>No para PASS primario</t>
        </is>
      </c>
      <c r="L34" s="16" t="inlineStr">
        <is>
          <t>Sí · F4</t>
        </is>
      </c>
      <c r="M34" s="16" t="inlineStr">
        <is>
          <t>Sí · F5 journey crítico</t>
        </is>
      </c>
      <c r="N34" s="17" t="inlineStr">
        <is>
          <t>No comparable 1:1 · Miguel usa M4-V; vigente usa TR-M04</t>
        </is>
      </c>
      <c r="O34" s="4" t="inlineStr">
        <is>
          <t>CROSSWALK</t>
        </is>
      </c>
      <c r="P34" s="16" t="inlineStr">
        <is>
          <t>El resultado CONSUME un contrato upstream; el contrato está cerrado y admite fixture/oráculo reproducible antes del E2E real.</t>
        </is>
      </c>
      <c r="Q34" s="14" t="inlineStr">
        <is>
          <t>Walvy_M04_Matriz_Trazabilidad_Cliente_v1.3.xlsx · 01_Matriz_Trazabilidad · TR-M04-073</t>
        </is>
      </c>
      <c r="R34" s="18">
        <f>COUNTIF($B$5:$B$190,B34)</f>
        <v/>
      </c>
    </row>
    <row r="35">
      <c r="A35" s="14" t="inlineStr">
        <is>
          <t>M04</t>
        </is>
      </c>
      <c r="B35" s="14" t="inlineStr">
        <is>
          <t>TR-M04-074</t>
        </is>
      </c>
      <c r="C35" s="14" t="inlineStr">
        <is>
          <t>FLOW-M04-013 · Onboarding 3 · Resultado</t>
        </is>
      </c>
      <c r="D35" s="14" t="inlineStr">
        <is>
          <t>Estado En Control M04 con acción operativa de pagos perteneciente a M06.</t>
        </is>
      </c>
      <c r="E35" s="14" t="inlineStr">
        <is>
          <t>OD-03 Resultado | Revisar mis pagos</t>
        </is>
      </c>
      <c r="F35" s="14" t="inlineStr">
        <is>
          <t>CTA observado deriva a M06/Pagos manteniendo owner M06.</t>
        </is>
      </c>
      <c r="G35" s="6" t="inlineStr">
        <is>
          <t>M06 | M06/Pagos</t>
        </is>
      </c>
      <c r="H35" s="19" t="inlineStr">
        <is>
          <t>F1 · QA funcional local</t>
        </is>
      </c>
      <c r="I35" s="16" t="inlineStr">
        <is>
          <t>Sí</t>
        </is>
      </c>
      <c r="J35" s="16" t="inlineStr">
        <is>
          <t>No requerido para PASS primario</t>
        </is>
      </c>
      <c r="K35" s="16" t="inlineStr">
        <is>
          <t>No para PASS primario</t>
        </is>
      </c>
      <c r="L35" s="16" t="inlineStr">
        <is>
          <t>Sí · F3/F4</t>
        </is>
      </c>
      <c r="M35" s="16" t="inlineStr">
        <is>
          <t>Sí · F5 journey crítico</t>
        </is>
      </c>
      <c r="N35" s="17" t="inlineStr">
        <is>
          <t>No comparable 1:1 · Miguel usa M4-V; vigente usa TR-M04</t>
        </is>
      </c>
      <c r="O35" s="4" t="inlineStr">
        <is>
          <t>CROSSWALK</t>
        </is>
      </c>
      <c r="P35" s="16" t="inlineStr">
        <is>
          <t>El resultado primario se determina en M04 con sus estados/reglas; una salida downstream no se trata como dependencia de entrada.</t>
        </is>
      </c>
      <c r="Q35" s="14" t="inlineStr">
        <is>
          <t>Walvy_M04_Matriz_Trazabilidad_Cliente_v1.3.xlsx · 01_Matriz_Trazabilidad · TR-M04-074</t>
        </is>
      </c>
      <c r="R35" s="18">
        <f>COUNTIF($B$5:$B$190,B35)</f>
        <v/>
      </c>
    </row>
    <row r="36">
      <c r="A36" s="14" t="inlineStr">
        <is>
          <t>M04</t>
        </is>
      </c>
      <c r="B36" s="14" t="inlineStr">
        <is>
          <t>TR-M04-075</t>
        </is>
      </c>
      <c r="C36" s="14" t="inlineStr">
        <is>
          <t>FLOW-M04-013 · Onboarding 3 · Resultado</t>
        </is>
      </c>
      <c r="D36" s="14" t="inlineStr">
        <is>
          <t>Tarjeta con total facturado pagado dentro del ciclo</t>
        </is>
      </c>
      <c r="E36" s="14" t="inlineStr">
        <is>
          <t>OD-03 Resultado | Lectura de ciclo</t>
        </is>
      </c>
      <c r="F36" s="14" t="inlineStr">
        <is>
          <t>Ciclo con total facturado cubierto: D0 por este comportamiento. La Presión final se determina por el contrato P4 completo; no escalar por el ciclo pagado.</t>
        </is>
      </c>
      <c r="G36" s="6" t="inlineStr">
        <is>
          <t>P4-CNT-015 · M04</t>
        </is>
      </c>
      <c r="H36" s="20" t="inlineStr">
        <is>
          <t>F2 · Fixture cross-contract</t>
        </is>
      </c>
      <c r="I36" s="16" t="inlineStr">
        <is>
          <t>No como PASS completo</t>
        </is>
      </c>
      <c r="J36" s="16" t="inlineStr">
        <is>
          <t>Sí · fixture/payload canónico</t>
        </is>
      </c>
      <c r="K36" s="16" t="inlineStr">
        <is>
          <t>No para PASS primario</t>
        </is>
      </c>
      <c r="L36" s="16" t="inlineStr">
        <is>
          <t>Sí · F4</t>
        </is>
      </c>
      <c r="M36" s="16" t="inlineStr">
        <is>
          <t>Sí · F5 journey crítico</t>
        </is>
      </c>
      <c r="N36" s="17" t="inlineStr">
        <is>
          <t>No comparable 1:1 · Miguel usa M4-V; vigente usa TR-M04</t>
        </is>
      </c>
      <c r="O36" s="4" t="inlineStr">
        <is>
          <t>CROSSWALK</t>
        </is>
      </c>
      <c r="P36" s="16" t="inlineStr">
        <is>
          <t>El resultado CONSUME un contrato upstream; el contrato está cerrado y admite fixture/oráculo reproducible antes del E2E real.</t>
        </is>
      </c>
      <c r="Q36" s="14" t="inlineStr">
        <is>
          <t>Walvy_M04_Matriz_Trazabilidad_Cliente_v1.3.xlsx · 01_Matriz_Trazabilidad · TR-M04-075</t>
        </is>
      </c>
      <c r="R36" s="18">
        <f>COUNTIF($B$5:$B$190,B36)</f>
        <v/>
      </c>
    </row>
    <row r="37">
      <c r="A37" s="14" t="inlineStr">
        <is>
          <t>M04</t>
        </is>
      </c>
      <c r="B37" s="14" t="inlineStr">
        <is>
          <t>TR-M04-076</t>
        </is>
      </c>
      <c r="C37" s="14" t="inlineStr">
        <is>
          <t>FLOW-M04-013 · Onboarding 3 · Resultado</t>
        </is>
      </c>
      <c r="D37" s="14" t="inlineStr">
        <is>
          <t>Compras en cuotas al día</t>
        </is>
      </c>
      <c r="E37" s="14" t="inlineStr">
        <is>
          <t>OD-03 Resultado | Lectura de cuotas</t>
        </is>
      </c>
      <c r="F37" s="14" t="inlineStr">
        <is>
          <t>Compras en cuotas al día: D0 por ese comportamiento; la cuota sí integra C cuando corresponda y no activa Ruta por existir.</t>
        </is>
      </c>
      <c r="G37" s="6" t="inlineStr">
        <is>
          <t>P4-CNT-002; P4-CNT-015 · M04</t>
        </is>
      </c>
      <c r="H37" s="20" t="inlineStr">
        <is>
          <t>F2 · Fixture cross-contract</t>
        </is>
      </c>
      <c r="I37" s="16" t="inlineStr">
        <is>
          <t>No como PASS completo</t>
        </is>
      </c>
      <c r="J37" s="16" t="inlineStr">
        <is>
          <t>Sí · fixture/payload canónico</t>
        </is>
      </c>
      <c r="K37" s="16" t="inlineStr">
        <is>
          <t>No para PASS primario</t>
        </is>
      </c>
      <c r="L37" s="16" t="inlineStr">
        <is>
          <t>Sí · F4</t>
        </is>
      </c>
      <c r="M37" s="16" t="inlineStr">
        <is>
          <t>Sí · F5 journey crítico</t>
        </is>
      </c>
      <c r="N37" s="17" t="inlineStr">
        <is>
          <t>No comparable 1:1 · Miguel usa M4-V; vigente usa TR-M04</t>
        </is>
      </c>
      <c r="O37" s="4" t="inlineStr">
        <is>
          <t>CROSSWALK</t>
        </is>
      </c>
      <c r="P37" s="16" t="inlineStr">
        <is>
          <t>El resultado CONSUME un contrato upstream; el contrato está cerrado y admite fixture/oráculo reproducible antes del E2E real.</t>
        </is>
      </c>
      <c r="Q37" s="14" t="inlineStr">
        <is>
          <t>Walvy_M04_Matriz_Trazabilidad_Cliente_v1.3.xlsx · 01_Matriz_Trazabilidad · TR-M04-076</t>
        </is>
      </c>
      <c r="R37" s="18">
        <f>COUNTIF($B$5:$B$190,B37)</f>
        <v/>
      </c>
    </row>
    <row r="38">
      <c r="A38" s="14" t="inlineStr">
        <is>
          <t>M04</t>
        </is>
      </c>
      <c r="B38" s="14" t="inlineStr">
        <is>
          <t>TR-M04-077</t>
        </is>
      </c>
      <c r="C38" s="14" t="inlineStr">
        <is>
          <t>FLOW-M04-014 · Onboarding 3 · Resultado</t>
        </is>
      </c>
      <c r="D38" s="14" t="inlineStr">
        <is>
          <t>Capacidad ajustada/baja según K canónico</t>
        </is>
      </c>
      <c r="E38" s="14" t="inlineStr">
        <is>
          <t>OD-03 Resultado | Revisar</t>
        </is>
      </c>
      <c r="F38" s="14" t="inlineStr">
        <is>
          <t>No aplicar un floor independiente de 5%. Consumir K canónico y dejar que C×K×D determine Presión.</t>
        </is>
      </c>
      <c r="G38" s="6" t="inlineStr">
        <is>
          <t>P4-CNT-004; P4-CNT-005 · M04</t>
        </is>
      </c>
      <c r="H38" s="20" t="inlineStr">
        <is>
          <t>F2 · Fixture cross-contract</t>
        </is>
      </c>
      <c r="I38" s="16" t="inlineStr">
        <is>
          <t>No como PASS completo</t>
        </is>
      </c>
      <c r="J38" s="16" t="inlineStr">
        <is>
          <t>Sí · fixture/payload canónico</t>
        </is>
      </c>
      <c r="K38" s="16" t="inlineStr">
        <is>
          <t>No para PASS primario</t>
        </is>
      </c>
      <c r="L38" s="16" t="inlineStr">
        <is>
          <t>Sí · F4</t>
        </is>
      </c>
      <c r="M38" s="16" t="inlineStr">
        <is>
          <t>Sí · F5 journey crítico</t>
        </is>
      </c>
      <c r="N38" s="17" t="inlineStr">
        <is>
          <t>No comparable 1:1 · Miguel usa M4-V; vigente usa TR-M04</t>
        </is>
      </c>
      <c r="O38" s="4" t="inlineStr">
        <is>
          <t>CROSSWALK</t>
        </is>
      </c>
      <c r="P38" s="16" t="inlineStr">
        <is>
          <t>El resultado CONSUME un contrato upstream; el contrato está cerrado y admite fixture/oráculo reproducible antes del E2E real.</t>
        </is>
      </c>
      <c r="Q38" s="14" t="inlineStr">
        <is>
          <t>Walvy_M04_Matriz_Trazabilidad_Cliente_v1.3.xlsx · 01_Matriz_Trazabilidad · TR-M04-077</t>
        </is>
      </c>
      <c r="R38" s="18">
        <f>COUNTIF($B$5:$B$190,B38)</f>
        <v/>
      </c>
    </row>
    <row r="39">
      <c r="A39" s="14" t="inlineStr">
        <is>
          <t>M04</t>
        </is>
      </c>
      <c r="B39" s="14" t="inlineStr">
        <is>
          <t>TR-M04-078</t>
        </is>
      </c>
      <c r="C39" s="14" t="inlineStr">
        <is>
          <t>FLOW-M04-014 · Onboarding 3 · Resultado</t>
        </is>
      </c>
      <c r="D39" s="14" t="inlineStr">
        <is>
          <t>4+ cuotas y ratio agregado &gt;=8% del ingreso</t>
        </is>
      </c>
      <c r="E39" s="14" t="inlineStr">
        <is>
          <t>OD-03 Resultado | Revisar deudas</t>
        </is>
      </c>
      <c r="F39" s="14" t="inlineStr">
        <is>
          <t>Registrar detector contextual de fragmentación. No altera por sí solo la banda de Presión ni la elegibilidad de Ruta.</t>
        </is>
      </c>
      <c r="G39" s="6" t="inlineStr">
        <is>
          <t>M04</t>
        </is>
      </c>
      <c r="H39" s="19" t="inlineStr">
        <is>
          <t>F1 · QA funcional local</t>
        </is>
      </c>
      <c r="I39" s="16" t="inlineStr">
        <is>
          <t>Sí</t>
        </is>
      </c>
      <c r="J39" s="16" t="inlineStr">
        <is>
          <t>No requerido para PASS primario</t>
        </is>
      </c>
      <c r="K39" s="16" t="inlineStr">
        <is>
          <t>No para PASS primario</t>
        </is>
      </c>
      <c r="L39" s="16" t="inlineStr">
        <is>
          <t>No obligatorio fuera de regresión</t>
        </is>
      </c>
      <c r="M39" s="16" t="inlineStr">
        <is>
          <t>Sí · F5 journey crítico</t>
        </is>
      </c>
      <c r="N39" s="17" t="inlineStr">
        <is>
          <t>No comparable 1:1 · Miguel usa M4-V; vigente usa TR-M04</t>
        </is>
      </c>
      <c r="O39" s="4" t="inlineStr">
        <is>
          <t>CROSSWALK</t>
        </is>
      </c>
      <c r="P39" s="16" t="inlineStr">
        <is>
          <t>El resultado primario se determina en M04 con sus estados/reglas; una salida downstream no se trata como dependencia de entrada.</t>
        </is>
      </c>
      <c r="Q39" s="14" t="inlineStr">
        <is>
          <t>Walvy_M04_Matriz_Trazabilidad_Cliente_v1.3.xlsx · 01_Matriz_Trazabilidad · TR-M04-078</t>
        </is>
      </c>
      <c r="R39" s="18">
        <f>COUNTIF($B$5:$B$190,B39)</f>
        <v/>
      </c>
    </row>
    <row r="40">
      <c r="A40" s="14" t="inlineStr">
        <is>
          <t>M04</t>
        </is>
      </c>
      <c r="B40" s="14" t="inlineStr">
        <is>
          <t>TR-M04-079</t>
        </is>
      </c>
      <c r="C40" s="14" t="inlineStr">
        <is>
          <t>FLOW-M04-014 · Onboarding 3 · Resultado</t>
        </is>
      </c>
      <c r="D40" s="14" t="inlineStr">
        <is>
          <t>Liquidez financiada puntual para flujo ordinario, justificable como descalce y no recurrente</t>
        </is>
      </c>
      <c r="E40" s="14" t="inlineStr">
        <is>
          <t>OD-03 Resultado | Revisar deudas</t>
        </is>
      </c>
      <c r="F40" s="14" t="inlineStr">
        <is>
          <t>Mantener contexto sin floor en el primer ciclo; si reaparece en ciclos consecutivos comparables, reevaluar bajo recurrencia RGL-021.</t>
        </is>
      </c>
      <c r="G40" s="6" t="inlineStr">
        <is>
          <t>P4-CNT-011; P4-CNT-012; P4-CNT-013 · M04</t>
        </is>
      </c>
      <c r="H40" s="20" t="inlineStr">
        <is>
          <t>F2 · Fixture cross-contract</t>
        </is>
      </c>
      <c r="I40" s="16" t="inlineStr">
        <is>
          <t>No como PASS completo</t>
        </is>
      </c>
      <c r="J40" s="16" t="inlineStr">
        <is>
          <t>Sí · fixture/payload canónico</t>
        </is>
      </c>
      <c r="K40" s="16" t="inlineStr">
        <is>
          <t>No para PASS primario</t>
        </is>
      </c>
      <c r="L40" s="16" t="inlineStr">
        <is>
          <t>Sí · F4</t>
        </is>
      </c>
      <c r="M40" s="16" t="inlineStr">
        <is>
          <t>Sí · F5 journey crítico</t>
        </is>
      </c>
      <c r="N40" s="17" t="inlineStr">
        <is>
          <t>No comparable 1:1 · Miguel usa M4-V; vigente usa TR-M04</t>
        </is>
      </c>
      <c r="O40" s="4" t="inlineStr">
        <is>
          <t>CROSSWALK</t>
        </is>
      </c>
      <c r="P40" s="16" t="inlineStr">
        <is>
          <t>El resultado CONSUME un contrato upstream; el contrato está cerrado y admite fixture/oráculo reproducible antes del E2E real.</t>
        </is>
      </c>
      <c r="Q40" s="14" t="inlineStr">
        <is>
          <t>Walvy_M04_Matriz_Trazabilidad_Cliente_v1.3.xlsx · 01_Matriz_Trazabilidad · TR-M04-079</t>
        </is>
      </c>
      <c r="R40" s="18">
        <f>COUNTIF($B$5:$B$190,B40)</f>
        <v/>
      </c>
    </row>
    <row r="41">
      <c r="A41" s="14" t="inlineStr">
        <is>
          <t>M04</t>
        </is>
      </c>
      <c r="B41" s="14" t="inlineStr">
        <is>
          <t>TR-M04-080</t>
        </is>
      </c>
      <c r="C41" s="14" t="inlineStr">
        <is>
          <t>FLOW-M04-014 · Onboarding 3 · Resultado</t>
        </is>
      </c>
      <c r="D41" s="14" t="inlineStr">
        <is>
          <t>Cuotas con intereses/CAE/comisiones sin presión fuerte</t>
        </is>
      </c>
      <c r="E41" s="14" t="inlineStr">
        <is>
          <t>OD-03 Resultado | Revisar</t>
        </is>
      </c>
      <c r="F41" s="14" t="inlineStr">
        <is>
          <t>Interés, CAE o comisión financiera ordinaria no genera D por sí sola. Si está incorporada en la cuota/servicio, impacta C sin doble conteo.</t>
        </is>
      </c>
      <c r="G41" s="6" t="inlineStr">
        <is>
          <t>P4-CNT-002; P4-CNT-015 · M04</t>
        </is>
      </c>
      <c r="H41" s="20" t="inlineStr">
        <is>
          <t>F2 · Fixture cross-contract</t>
        </is>
      </c>
      <c r="I41" s="16" t="inlineStr">
        <is>
          <t>No como PASS completo</t>
        </is>
      </c>
      <c r="J41" s="16" t="inlineStr">
        <is>
          <t>Sí · fixture/payload canónico</t>
        </is>
      </c>
      <c r="K41" s="16" t="inlineStr">
        <is>
          <t>No para PASS primario</t>
        </is>
      </c>
      <c r="L41" s="16" t="inlineStr">
        <is>
          <t>Sí · F4</t>
        </is>
      </c>
      <c r="M41" s="16" t="inlineStr">
        <is>
          <t>Sí · F5 journey crítico</t>
        </is>
      </c>
      <c r="N41" s="17" t="inlineStr">
        <is>
          <t>No comparable 1:1 · Miguel usa M4-V; vigente usa TR-M04</t>
        </is>
      </c>
      <c r="O41" s="4" t="inlineStr">
        <is>
          <t>CROSSWALK</t>
        </is>
      </c>
      <c r="P41" s="16" t="inlineStr">
        <is>
          <t>El resultado CONSUME un contrato upstream; el contrato está cerrado y admite fixture/oráculo reproducible antes del E2E real.</t>
        </is>
      </c>
      <c r="Q41" s="14" t="inlineStr">
        <is>
          <t>Walvy_M04_Matriz_Trazabilidad_Cliente_v1.3.xlsx · 01_Matriz_Trazabilidad · TR-M04-080</t>
        </is>
      </c>
      <c r="R41" s="18">
        <f>COUNTIF($B$5:$B$190,B41)</f>
        <v/>
      </c>
    </row>
    <row r="42">
      <c r="A42" s="14" t="inlineStr">
        <is>
          <t>M04</t>
        </is>
      </c>
      <c r="B42" s="14" t="inlineStr">
        <is>
          <t>TR-M04-081</t>
        </is>
      </c>
      <c r="C42" s="14" t="inlineStr">
        <is>
          <t>FLOW-M04-014 · Onboarding 3 · Resultado</t>
        </is>
      </c>
      <c r="D42" s="14" t="inlineStr">
        <is>
          <t>Dato crítico no vigente o confianza insuficiente</t>
        </is>
      </c>
      <c r="E42" s="14" t="inlineStr">
        <is>
          <t>OD-03 Resultado | Corregir</t>
        </is>
      </c>
      <c r="F42" s="14" t="inlineStr">
        <is>
          <t>Degradar lectura y pedir corrección cuando un dato material no sea vigente/confiable; faltantes materiales bloquean En Control.</t>
        </is>
      </c>
      <c r="G42" s="6" t="inlineStr">
        <is>
          <t>P4-CNT-001 · M04</t>
        </is>
      </c>
      <c r="H42" s="20" t="inlineStr">
        <is>
          <t>F2 · Fixture cross-contract</t>
        </is>
      </c>
      <c r="I42" s="16" t="inlineStr">
        <is>
          <t>No como PASS completo</t>
        </is>
      </c>
      <c r="J42" s="16" t="inlineStr">
        <is>
          <t>Sí · fixture/payload canónico</t>
        </is>
      </c>
      <c r="K42" s="16" t="inlineStr">
        <is>
          <t>No para PASS primario</t>
        </is>
      </c>
      <c r="L42" s="16" t="inlineStr">
        <is>
          <t>Sí · F4</t>
        </is>
      </c>
      <c r="M42" s="16" t="inlineStr">
        <is>
          <t>Sí · F5 journey crítico</t>
        </is>
      </c>
      <c r="N42" s="17" t="inlineStr">
        <is>
          <t>No comparable 1:1 · Miguel usa M4-V; vigente usa TR-M04</t>
        </is>
      </c>
      <c r="O42" s="4" t="inlineStr">
        <is>
          <t>CROSSWALK</t>
        </is>
      </c>
      <c r="P42" s="16" t="inlineStr">
        <is>
          <t>El resultado CONSUME un contrato upstream; el contrato está cerrado y admite fixture/oráculo reproducible antes del E2E real.</t>
        </is>
      </c>
      <c r="Q42" s="14" t="inlineStr">
        <is>
          <t>Walvy_M04_Matriz_Trazabilidad_Cliente_v1.3.xlsx · 01_Matriz_Trazabilidad · TR-M04-081</t>
        </is>
      </c>
      <c r="R42" s="18">
        <f>COUNTIF($B$5:$B$190,B42)</f>
        <v/>
      </c>
    </row>
    <row r="43">
      <c r="A43" s="14" t="inlineStr">
        <is>
          <t>M04</t>
        </is>
      </c>
      <c r="B43" s="14" t="inlineStr">
        <is>
          <t>TR-M04-082</t>
        </is>
      </c>
      <c r="C43" s="14" t="inlineStr">
        <is>
          <t>FLOW-M04-014 · Onboarding 3 · Resultado</t>
        </is>
      </c>
      <c r="D43" s="14" t="inlineStr">
        <is>
          <t>Pago parcial antes de cierre + evidencia posterior suficiente</t>
        </is>
      </c>
      <c r="E43" s="14" t="inlineStr">
        <is>
          <t>OD-03 Resultado | Mantener seguimiento/validar ciclo</t>
        </is>
      </c>
      <c r="F43" s="14" t="inlineStr">
        <is>
          <t>Pago parcial antes del cierre no determina D todavía. Reconciliar el ciclo; si luego queda totalmente cubierto, D0; si queda shortfall confirmado, D1 o D2 según recurrencia M06.</t>
        </is>
      </c>
      <c r="G43" s="6" t="inlineStr">
        <is>
          <t>P4-CNT-015 · M04</t>
        </is>
      </c>
      <c r="H43" s="20" t="inlineStr">
        <is>
          <t>F2 · Fixture cross-contract</t>
        </is>
      </c>
      <c r="I43" s="16" t="inlineStr">
        <is>
          <t>No como PASS completo</t>
        </is>
      </c>
      <c r="J43" s="16" t="inlineStr">
        <is>
          <t>Sí · fixture/payload canónico</t>
        </is>
      </c>
      <c r="K43" s="16" t="inlineStr">
        <is>
          <t>No para PASS primario</t>
        </is>
      </c>
      <c r="L43" s="16" t="inlineStr">
        <is>
          <t>Sí · F4</t>
        </is>
      </c>
      <c r="M43" s="16" t="inlineStr">
        <is>
          <t>Sí · F5 journey crítico</t>
        </is>
      </c>
      <c r="N43" s="17" t="inlineStr">
        <is>
          <t>No comparable 1:1 · Miguel usa M4-V; vigente usa TR-M04</t>
        </is>
      </c>
      <c r="O43" s="4" t="inlineStr">
        <is>
          <t>CROSSWALK</t>
        </is>
      </c>
      <c r="P43" s="16" t="inlineStr">
        <is>
          <t>El resultado CONSUME un contrato upstream; el contrato está cerrado y admite fixture/oráculo reproducible antes del E2E real.</t>
        </is>
      </c>
      <c r="Q43" s="14" t="inlineStr">
        <is>
          <t>Walvy_M04_Matriz_Trazabilidad_Cliente_v1.3.xlsx · 01_Matriz_Trazabilidad · TR-M04-082</t>
        </is>
      </c>
      <c r="R43" s="18">
        <f>COUNTIF($B$5:$B$190,B43)</f>
        <v/>
      </c>
    </row>
    <row r="44">
      <c r="A44" s="14" t="inlineStr">
        <is>
          <t>M04</t>
        </is>
      </c>
      <c r="B44" s="14" t="inlineStr">
        <is>
          <t>TR-M04-083</t>
        </is>
      </c>
      <c r="C44" s="14" t="inlineStr">
        <is>
          <t>FLOW-M04-014 · Onboarding 3 · Resultado</t>
        </is>
      </c>
      <c r="D44" s="14" t="inlineStr">
        <is>
          <t>Coexisten confirmación pendiente, dato faltante y/o dato no vigente sobre una deuda, con o sin evidencia adversa suficiente.</t>
        </is>
      </c>
      <c r="E44" s="14" t="inlineStr">
        <is>
          <t>OD-03 Resultado | Confirmar/Completar</t>
        </is>
      </c>
      <c r="F44" s="14" t="inlineStr">
        <is>
          <t>Conservar todos los facts pero exponer un único work item de calidad por deuda con precedencia F2 confirmar→F1 completar→F3 actualizar; evidencia adversa suficiente puede mantener estado, sin habilitar Ruta hasta gate.</t>
        </is>
      </c>
      <c r="G44" s="6" t="inlineStr">
        <is>
          <t>M04</t>
        </is>
      </c>
      <c r="H44" s="19" t="inlineStr">
        <is>
          <t>F1 · QA funcional local</t>
        </is>
      </c>
      <c r="I44" s="16" t="inlineStr">
        <is>
          <t>Sí</t>
        </is>
      </c>
      <c r="J44" s="16" t="inlineStr">
        <is>
          <t>No requerido para PASS primario</t>
        </is>
      </c>
      <c r="K44" s="16" t="inlineStr">
        <is>
          <t>No para PASS primario</t>
        </is>
      </c>
      <c r="L44" s="16" t="inlineStr">
        <is>
          <t>No obligatorio fuera de regresión</t>
        </is>
      </c>
      <c r="M44" s="16" t="inlineStr">
        <is>
          <t>Sí · F5 journey crítico</t>
        </is>
      </c>
      <c r="N44" s="17" t="inlineStr">
        <is>
          <t>No comparable 1:1 · Miguel usa M4-V; vigente usa TR-M04</t>
        </is>
      </c>
      <c r="O44" s="4" t="inlineStr">
        <is>
          <t>CROSSWALK</t>
        </is>
      </c>
      <c r="P44" s="16" t="inlineStr">
        <is>
          <t>El resultado primario se determina en M04 con sus estados/reglas; una salida downstream no se trata como dependencia de entrada.</t>
        </is>
      </c>
      <c r="Q44" s="14" t="inlineStr">
        <is>
          <t>Walvy_M04_Matriz_Trazabilidad_Cliente_v1.3.xlsx · 01_Matriz_Trazabilidad · TR-M04-083</t>
        </is>
      </c>
      <c r="R44" s="18">
        <f>COUNTIF($B$5:$B$190,B44)</f>
        <v/>
      </c>
    </row>
    <row r="45">
      <c r="A45" s="14" t="inlineStr">
        <is>
          <t>M04</t>
        </is>
      </c>
      <c r="B45" s="14" t="inlineStr">
        <is>
          <t>TR-M04-084</t>
        </is>
      </c>
      <c r="C45" s="14" t="inlineStr">
        <is>
          <t>FLOW-M04-015 · Onboarding 3 · Resultado</t>
        </is>
      </c>
      <c r="D45" s="14" t="inlineStr">
        <is>
          <t>Evento deuda→deuda causalmente confirmado; K2</t>
        </is>
      </c>
      <c r="E45" s="14" t="inlineStr">
        <is>
          <t>OD-03 Resultado | Ver Ruta Despeje</t>
        </is>
      </c>
      <c r="F45" s="14" t="inlineStr">
        <is>
          <t>Registrar contexto sin floor adicional; nunca degradar una Presión ya más severa.</t>
        </is>
      </c>
      <c r="G45" s="6" t="inlineStr">
        <is>
          <t>P4-CNT-009 · M04</t>
        </is>
      </c>
      <c r="H45" s="20" t="inlineStr">
        <is>
          <t>F2 · Fixture cross-contract</t>
        </is>
      </c>
      <c r="I45" s="16" t="inlineStr">
        <is>
          <t>No como PASS completo</t>
        </is>
      </c>
      <c r="J45" s="16" t="inlineStr">
        <is>
          <t>Sí · fixture/payload canónico</t>
        </is>
      </c>
      <c r="K45" s="16" t="inlineStr">
        <is>
          <t>No para PASS primario</t>
        </is>
      </c>
      <c r="L45" s="16" t="inlineStr">
        <is>
          <t>Sí · F4</t>
        </is>
      </c>
      <c r="M45" s="16" t="inlineStr">
        <is>
          <t>Sí · F5 journey crítico</t>
        </is>
      </c>
      <c r="N45" s="17" t="inlineStr">
        <is>
          <t>No comparable 1:1 · Miguel usa M4-V; vigente usa TR-M04</t>
        </is>
      </c>
      <c r="O45" s="4" t="inlineStr">
        <is>
          <t>CROSSWALK</t>
        </is>
      </c>
      <c r="P45" s="16" t="inlineStr">
        <is>
          <t>El resultado CONSUME un contrato upstream; el contrato está cerrado y admite fixture/oráculo reproducible antes del E2E real.</t>
        </is>
      </c>
      <c r="Q45" s="14" t="inlineStr">
        <is>
          <t>Walvy_M04_Matriz_Trazabilidad_Cliente_v1.3.xlsx · 01_Matriz_Trazabilidad · TR-M04-084</t>
        </is>
      </c>
      <c r="R45" s="18">
        <f>COUNTIF($B$5:$B$190,B45)</f>
        <v/>
      </c>
    </row>
    <row r="46">
      <c r="A46" s="14" t="inlineStr">
        <is>
          <t>M04</t>
        </is>
      </c>
      <c r="B46" s="14" t="inlineStr">
        <is>
          <t>TR-M04-085</t>
        </is>
      </c>
      <c r="C46" s="14" t="inlineStr">
        <is>
          <t>FLOW-M04-015 · Onboarding 3 · Resultado</t>
        </is>
      </c>
      <c r="D46" s="14" t="inlineStr">
        <is>
          <t>Evento deuda→deuda adverso K1/K0 o recurrencia confirmada</t>
        </is>
      </c>
      <c r="E46" s="14" t="inlineStr">
        <is>
          <t>OD-03 Resultado | Ruta Despeje prioritaria</t>
        </is>
      </c>
      <c r="F46" s="14" t="inlineStr">
        <is>
          <t>K1 establece floor Atención; K0 establece floor Riesgo; recurrencia confirmada establece floor Riesgo + condición estructural/persistente.</t>
        </is>
      </c>
      <c r="G46" s="6" t="inlineStr">
        <is>
          <t>P4-CNT-009; P4-CNT-010 · M04</t>
        </is>
      </c>
      <c r="H46" s="20" t="inlineStr">
        <is>
          <t>F2 · Fixture cross-contract</t>
        </is>
      </c>
      <c r="I46" s="16" t="inlineStr">
        <is>
          <t>No como PASS completo</t>
        </is>
      </c>
      <c r="J46" s="16" t="inlineStr">
        <is>
          <t>Sí · fixture/payload canónico</t>
        </is>
      </c>
      <c r="K46" s="16" t="inlineStr">
        <is>
          <t>No para PASS primario</t>
        </is>
      </c>
      <c r="L46" s="16" t="inlineStr">
        <is>
          <t>Sí · F4</t>
        </is>
      </c>
      <c r="M46" s="16" t="inlineStr">
        <is>
          <t>Sí · F5 journey crítico</t>
        </is>
      </c>
      <c r="N46" s="17" t="inlineStr">
        <is>
          <t>No comparable 1:1 · Miguel usa M4-V; vigente usa TR-M04</t>
        </is>
      </c>
      <c r="O46" s="4" t="inlineStr">
        <is>
          <t>CROSSWALK</t>
        </is>
      </c>
      <c r="P46" s="16" t="inlineStr">
        <is>
          <t>El resultado CONSUME un contrato upstream; el contrato está cerrado y admite fixture/oráculo reproducible antes del E2E real.</t>
        </is>
      </c>
      <c r="Q46" s="14" t="inlineStr">
        <is>
          <t>Walvy_M04_Matriz_Trazabilidad_Cliente_v1.3.xlsx · 01_Matriz_Trazabilidad · TR-M04-085</t>
        </is>
      </c>
      <c r="R46" s="18">
        <f>COUNTIF($B$5:$B$190,B46)</f>
        <v/>
      </c>
    </row>
    <row r="47">
      <c r="A47" s="14" t="inlineStr">
        <is>
          <t>M04</t>
        </is>
      </c>
      <c r="B47" s="14" t="inlineStr">
        <is>
          <t>TR-M04-086</t>
        </is>
      </c>
      <c r="C47" s="14" t="inlineStr">
        <is>
          <t>FLOW-M04-015 · Onboarding 3 · Resultado</t>
        </is>
      </c>
      <c r="D47" s="14" t="inlineStr">
        <is>
          <t>Liquidez financiada confirmada destinada a gasto/compromiso ordinario no financiero en un ciclo</t>
        </is>
      </c>
      <c r="E47" s="14" t="inlineStr">
        <is>
          <t>OD-03 Resultado | Ver Ruta Despeje</t>
        </is>
      </c>
      <c r="F47" s="14" t="inlineStr">
        <is>
          <t>Aplicar floor Atención. Si el destino es deuda, delegar exclusivamente a RGL-020; finalidad desconocida no aplica floor.</t>
        </is>
      </c>
      <c r="G47" s="6" t="inlineStr">
        <is>
          <t>P4-CNT-011 · M04</t>
        </is>
      </c>
      <c r="H47" s="20" t="inlineStr">
        <is>
          <t>F2 · Fixture cross-contract</t>
        </is>
      </c>
      <c r="I47" s="16" t="inlineStr">
        <is>
          <t>No como PASS completo</t>
        </is>
      </c>
      <c r="J47" s="16" t="inlineStr">
        <is>
          <t>Sí · fixture/payload canónico</t>
        </is>
      </c>
      <c r="K47" s="16" t="inlineStr">
        <is>
          <t>No para PASS primario</t>
        </is>
      </c>
      <c r="L47" s="16" t="inlineStr">
        <is>
          <t>Sí · F4</t>
        </is>
      </c>
      <c r="M47" s="16" t="inlineStr">
        <is>
          <t>Sí · F5 journey crítico</t>
        </is>
      </c>
      <c r="N47" s="17" t="inlineStr">
        <is>
          <t>No comparable 1:1 · Miguel usa M4-V; vigente usa TR-M04</t>
        </is>
      </c>
      <c r="O47" s="4" t="inlineStr">
        <is>
          <t>CROSSWALK</t>
        </is>
      </c>
      <c r="P47" s="16" t="inlineStr">
        <is>
          <t>El resultado CONSUME un contrato upstream; el contrato está cerrado y admite fixture/oráculo reproducible antes del E2E real.</t>
        </is>
      </c>
      <c r="Q47" s="14" t="inlineStr">
        <is>
          <t>Walvy_M04_Matriz_Trazabilidad_Cliente_v1.3.xlsx · 01_Matriz_Trazabilidad · TR-M04-086</t>
        </is>
      </c>
      <c r="R47" s="18">
        <f>COUNTIF($B$5:$B$190,B47)</f>
        <v/>
      </c>
    </row>
    <row r="48">
      <c r="A48" s="14" t="inlineStr">
        <is>
          <t>M04</t>
        </is>
      </c>
      <c r="B48" s="14" t="inlineStr">
        <is>
          <t>TR-M04-087</t>
        </is>
      </c>
      <c r="C48" s="14" t="inlineStr">
        <is>
          <t>FLOW-M04-015 · Onboarding 3 · Resultado</t>
        </is>
      </c>
      <c r="D48" s="14" t="inlineStr">
        <is>
          <t>2+ ciclos mensuales consecutivos y comparables con liquidez financiada para flujo ordinario no financiero</t>
        </is>
      </c>
      <c r="E48" s="14" t="inlineStr">
        <is>
          <t>OD-03 Resultado | Ruta Despeje prioritaria</t>
        </is>
      </c>
      <c r="F48" s="14" t="inlineStr">
        <is>
          <t>Aplicar floor Riesgo + condición estructural/persistente; K no neutraliza la recurrencia. Finalidad desconocida no cuenta.</t>
        </is>
      </c>
      <c r="G48" s="6" t="inlineStr">
        <is>
          <t>P4-CNT-012 · M04</t>
        </is>
      </c>
      <c r="H48" s="20" t="inlineStr">
        <is>
          <t>F2 · Fixture cross-contract</t>
        </is>
      </c>
      <c r="I48" s="16" t="inlineStr">
        <is>
          <t>No como PASS completo</t>
        </is>
      </c>
      <c r="J48" s="16" t="inlineStr">
        <is>
          <t>Sí · fixture/payload canónico</t>
        </is>
      </c>
      <c r="K48" s="16" t="inlineStr">
        <is>
          <t>No para PASS primario</t>
        </is>
      </c>
      <c r="L48" s="16" t="inlineStr">
        <is>
          <t>Sí · F4</t>
        </is>
      </c>
      <c r="M48" s="16" t="inlineStr">
        <is>
          <t>Sí · F5 journey crítico</t>
        </is>
      </c>
      <c r="N48" s="17" t="inlineStr">
        <is>
          <t>No comparable 1:1 · Miguel usa M4-V; vigente usa TR-M04</t>
        </is>
      </c>
      <c r="O48" s="4" t="inlineStr">
        <is>
          <t>CROSSWALK</t>
        </is>
      </c>
      <c r="P48" s="16" t="inlineStr">
        <is>
          <t>El resultado CONSUME un contrato upstream; el contrato está cerrado y admite fixture/oráculo reproducible antes del E2E real.</t>
        </is>
      </c>
      <c r="Q48" s="14" t="inlineStr">
        <is>
          <t>Walvy_M04_Matriz_Trazabilidad_Cliente_v1.3.xlsx · 01_Matriz_Trazabilidad · TR-M04-087</t>
        </is>
      </c>
      <c r="R48" s="18">
        <f>COUNTIF($B$5:$B$190,B48)</f>
        <v/>
      </c>
    </row>
    <row r="49">
      <c r="A49" s="14" t="inlineStr">
        <is>
          <t>M04</t>
        </is>
      </c>
      <c r="B49" s="14" t="inlineStr">
        <is>
          <t>TR-M04-088</t>
        </is>
      </c>
      <c r="C49" s="14" t="inlineStr">
        <is>
          <t>FLOW-M04-015 · Onboarding 3 · Resultado</t>
        </is>
      </c>
      <c r="D49" s="14" t="inlineStr">
        <is>
          <t>Pago solo mínimo, parcial final o saldo arrastrado en ciclo reconciliado</t>
        </is>
      </c>
      <c r="E49" s="14" t="inlineStr">
        <is>
          <t>OD-03 Resultado | Ver Ruta Despeje</t>
        </is>
      </c>
      <c r="F49" s="14" t="inlineStr">
        <is>
          <t>Evento aislado confirmado → D1. Recurrencia/persistencia confirmada por M06 → D2. Varias etiquetas del mismo ciclo no se suman.</t>
        </is>
      </c>
      <c r="G49" s="6" t="inlineStr">
        <is>
          <t>P4-CNT-006; P4-CNT-015 · M04</t>
        </is>
      </c>
      <c r="H49" s="20" t="inlineStr">
        <is>
          <t>F2 · Fixture cross-contract</t>
        </is>
      </c>
      <c r="I49" s="16" t="inlineStr">
        <is>
          <t>No como PASS completo</t>
        </is>
      </c>
      <c r="J49" s="16" t="inlineStr">
        <is>
          <t>Sí · fixture/payload canónico</t>
        </is>
      </c>
      <c r="K49" s="16" t="inlineStr">
        <is>
          <t>No para PASS primario</t>
        </is>
      </c>
      <c r="L49" s="16" t="inlineStr">
        <is>
          <t>Sí · F4</t>
        </is>
      </c>
      <c r="M49" s="16" t="inlineStr">
        <is>
          <t>Sí · F5 journey crítico</t>
        </is>
      </c>
      <c r="N49" s="17" t="inlineStr">
        <is>
          <t>No comparable 1:1 · Miguel usa M4-V; vigente usa TR-M04</t>
        </is>
      </c>
      <c r="O49" s="4" t="inlineStr">
        <is>
          <t>CROSSWALK</t>
        </is>
      </c>
      <c r="P49" s="16" t="inlineStr">
        <is>
          <t>El resultado CONSUME un contrato upstream; el contrato está cerrado y admite fixture/oráculo reproducible antes del E2E real.</t>
        </is>
      </c>
      <c r="Q49" s="14" t="inlineStr">
        <is>
          <t>Walvy_M04_Matriz_Trazabilidad_Cliente_v1.3.xlsx · 01_Matriz_Trazabilidad · TR-M04-088</t>
        </is>
      </c>
      <c r="R49" s="18">
        <f>COUNTIF($B$5:$B$190,B49)</f>
        <v/>
      </c>
    </row>
    <row r="50">
      <c r="A50" s="14" t="inlineStr">
        <is>
          <t>M04</t>
        </is>
      </c>
      <c r="B50" s="14" t="inlineStr">
        <is>
          <t>TR-M04-089</t>
        </is>
      </c>
      <c r="C50" s="14" t="inlineStr">
        <is>
          <t>FLOW-M04-015 · Onboarding 3 · Resultado</t>
        </is>
      </c>
      <c r="D50" s="14" t="inlineStr">
        <is>
          <t>Vencimiento crítico sin capacidad clara/atraso relevante/mora</t>
        </is>
      </c>
      <c r="E50" s="14" t="inlineStr">
        <is>
          <t>OD-03 Resultado | Ver Ruta Despeje</t>
        </is>
      </c>
      <c r="F50" s="14" t="inlineStr">
        <is>
          <t>Un vencimiento/atraso relevante consumido desde M06 alimenta aging y/o D según evidencia; M04 no crea un threshold temporal paralelo.</t>
        </is>
      </c>
      <c r="G50" s="6" t="inlineStr">
        <is>
          <t>P4-CNT-006; P4-CNT-017 · M06/M04</t>
        </is>
      </c>
      <c r="H50" s="20" t="inlineStr">
        <is>
          <t>F2 · Fixture cross-contract</t>
        </is>
      </c>
      <c r="I50" s="16" t="inlineStr">
        <is>
          <t>No como PASS completo</t>
        </is>
      </c>
      <c r="J50" s="16" t="inlineStr">
        <is>
          <t>Sí · fixture/payload canónico</t>
        </is>
      </c>
      <c r="K50" s="16" t="inlineStr">
        <is>
          <t>No para PASS primario</t>
        </is>
      </c>
      <c r="L50" s="16" t="inlineStr">
        <is>
          <t>Sí · F4</t>
        </is>
      </c>
      <c r="M50" s="16" t="inlineStr">
        <is>
          <t>Sí · F5 journey crítico</t>
        </is>
      </c>
      <c r="N50" s="17" t="inlineStr">
        <is>
          <t>No comparable 1:1 · Miguel usa M4-V; vigente usa TR-M04</t>
        </is>
      </c>
      <c r="O50" s="4" t="inlineStr">
        <is>
          <t>CROSSWALK</t>
        </is>
      </c>
      <c r="P50" s="16" t="inlineStr">
        <is>
          <t>El resultado CONSUME un contrato upstream; el contrato está cerrado y admite fixture/oráculo reproducible antes del E2E real.</t>
        </is>
      </c>
      <c r="Q50" s="14" t="inlineStr">
        <is>
          <t>Walvy_M04_Matriz_Trazabilidad_Cliente_v1.3.xlsx · 01_Matriz_Trazabilidad · TR-M04-089</t>
        </is>
      </c>
      <c r="R50" s="18">
        <f>COUNTIF($B$5:$B$190,B50)</f>
        <v/>
      </c>
    </row>
    <row r="51">
      <c r="A51" s="14" t="inlineStr">
        <is>
          <t>M04</t>
        </is>
      </c>
      <c r="B51" s="14" t="inlineStr">
        <is>
          <t>TR-M04-090</t>
        </is>
      </c>
      <c r="C51" s="14" t="inlineStr">
        <is>
          <t>FLOW-M04-015 · Onboarding 3 · Resultado</t>
        </is>
      </c>
      <c r="D51" s="14" t="inlineStr">
        <is>
          <t>Muchas cuotas + incapacidad real/saldo negativo/mora</t>
        </is>
      </c>
      <c r="E51" s="14" t="inlineStr">
        <is>
          <t>OD-03 Resultado | Priorizar/Revisar Ruta</t>
        </is>
      </c>
      <c r="F51" s="14" t="inlineStr">
        <is>
          <t>Muchas cuotas no crean Riesgo por sí solas. Mantener detector R022 y dejar que C×K×D/overlays determine la Presión.</t>
        </is>
      </c>
      <c r="G51" s="6" t="inlineStr">
        <is>
          <t>P4-CNT-007; P4-CNT-014 · M04</t>
        </is>
      </c>
      <c r="H51" s="20" t="inlineStr">
        <is>
          <t>F2 · Fixture cross-contract</t>
        </is>
      </c>
      <c r="I51" s="16" t="inlineStr">
        <is>
          <t>No como PASS completo</t>
        </is>
      </c>
      <c r="J51" s="16" t="inlineStr">
        <is>
          <t>Sí · fixture/payload canónico</t>
        </is>
      </c>
      <c r="K51" s="16" t="inlineStr">
        <is>
          <t>No para PASS primario</t>
        </is>
      </c>
      <c r="L51" s="16" t="inlineStr">
        <is>
          <t>Sí · F4</t>
        </is>
      </c>
      <c r="M51" s="16" t="inlineStr">
        <is>
          <t>Sí · F5 journey crítico</t>
        </is>
      </c>
      <c r="N51" s="17" t="inlineStr">
        <is>
          <t>No comparable 1:1 · Miguel usa M4-V; vigente usa TR-M04</t>
        </is>
      </c>
      <c r="O51" s="4" t="inlineStr">
        <is>
          <t>CROSSWALK</t>
        </is>
      </c>
      <c r="P51" s="16" t="inlineStr">
        <is>
          <t>El resultado CONSUME un contrato upstream; el contrato está cerrado y admite fixture/oráculo reproducible antes del E2E real.</t>
        </is>
      </c>
      <c r="Q51" s="14" t="inlineStr">
        <is>
          <t>Walvy_M04_Matriz_Trazabilidad_Cliente_v1.3.xlsx · 01_Matriz_Trazabilidad · TR-M04-090</t>
        </is>
      </c>
      <c r="R51" s="18">
        <f>COUNTIF($B$5:$B$190,B51)</f>
        <v/>
      </c>
    </row>
    <row r="52">
      <c r="A52" s="14" t="inlineStr">
        <is>
          <t>M04</t>
        </is>
      </c>
      <c r="B52" s="14" t="inlineStr">
        <is>
          <t>TR-M04-091</t>
        </is>
      </c>
      <c r="C52" s="14" t="inlineStr">
        <is>
          <t>FLOW-M04-015 · Onboarding 3 · Resultado</t>
        </is>
      </c>
      <c r="D52" s="14" t="inlineStr">
        <is>
          <t>Deuda confirmada + datos mínimos + presión financiera</t>
        </is>
      </c>
      <c r="E52" s="14" t="inlineStr">
        <is>
          <t>OD-03 Resultado | Ver Ruta Despeje</t>
        </is>
      </c>
      <c r="F52" s="14" t="inlineStr">
        <is>
          <t>Aplicar Presión final canónica conservando el resultado más severo entre base C×K×D y floors válidos; no sumar puntos ni crear cuarto nivel.</t>
        </is>
      </c>
      <c r="G52" s="6" t="inlineStr">
        <is>
          <t>P4-CNT-007; P4-CNT-008 · M04</t>
        </is>
      </c>
      <c r="H52" s="20" t="inlineStr">
        <is>
          <t>F2 · Fixture cross-contract</t>
        </is>
      </c>
      <c r="I52" s="16" t="inlineStr">
        <is>
          <t>No como PASS completo</t>
        </is>
      </c>
      <c r="J52" s="16" t="inlineStr">
        <is>
          <t>Sí · fixture/payload canónico</t>
        </is>
      </c>
      <c r="K52" s="16" t="inlineStr">
        <is>
          <t>No para PASS primario</t>
        </is>
      </c>
      <c r="L52" s="16" t="inlineStr">
        <is>
          <t>Sí · F4</t>
        </is>
      </c>
      <c r="M52" s="16" t="inlineStr">
        <is>
          <t>Sí · F5 journey crítico</t>
        </is>
      </c>
      <c r="N52" s="17" t="inlineStr">
        <is>
          <t>No comparable 1:1 · Miguel usa M4-V; vigente usa TR-M04</t>
        </is>
      </c>
      <c r="O52" s="4" t="inlineStr">
        <is>
          <t>CROSSWALK</t>
        </is>
      </c>
      <c r="P52" s="16" t="inlineStr">
        <is>
          <t>El resultado CONSUME un contrato upstream; el contrato está cerrado y admite fixture/oráculo reproducible antes del E2E real.</t>
        </is>
      </c>
      <c r="Q52" s="14" t="inlineStr">
        <is>
          <t>Walvy_M04_Matriz_Trazabilidad_Cliente_v1.3.xlsx · 01_Matriz_Trazabilidad · TR-M04-091</t>
        </is>
      </c>
      <c r="R52" s="18">
        <f>COUNTIF($B$5:$B$190,B52)</f>
        <v/>
      </c>
    </row>
    <row r="53">
      <c r="A53" s="14" t="inlineStr">
        <is>
          <t>M04</t>
        </is>
      </c>
      <c r="B53" s="14" t="inlineStr">
        <is>
          <t>TR-M04-092</t>
        </is>
      </c>
      <c r="C53" s="14" t="inlineStr">
        <is>
          <t>FLOW-M04-015 · Onboarding 3 · Resultado</t>
        </is>
      </c>
      <c r="D53" s="14" t="inlineStr">
        <is>
          <t>Presión=Riesgo sustentada, pero falta confirmación o suficiencia mínima</t>
        </is>
      </c>
      <c r="E53" s="14" t="inlineStr">
        <is>
          <t>OD-03 Resultado | Confirmar/Completar</t>
        </is>
      </c>
      <c r="F53" s="14" t="inlineStr">
        <is>
          <t>Una señal adversa no sustituye confirmación/suficiencia de Ruta. Riesgo habilita elegibilidad solo con deuda confirmada y mínimos suficientes.</t>
        </is>
      </c>
      <c r="G53" s="6" t="inlineStr">
        <is>
          <t>P4-CNT-001; P4-CNT-018; P4-CNT-019 · M04</t>
        </is>
      </c>
      <c r="H53" s="20" t="inlineStr">
        <is>
          <t>F2 · Fixture cross-contract</t>
        </is>
      </c>
      <c r="I53" s="16" t="inlineStr">
        <is>
          <t>No como PASS completo</t>
        </is>
      </c>
      <c r="J53" s="16" t="inlineStr">
        <is>
          <t>Sí · fixture/payload canónico</t>
        </is>
      </c>
      <c r="K53" s="16" t="inlineStr">
        <is>
          <t>No para PASS primario</t>
        </is>
      </c>
      <c r="L53" s="16" t="inlineStr">
        <is>
          <t>Sí · F4</t>
        </is>
      </c>
      <c r="M53" s="16" t="inlineStr">
        <is>
          <t>Sí · F5 journey crítico</t>
        </is>
      </c>
      <c r="N53" s="17" t="inlineStr">
        <is>
          <t>No comparable 1:1 · Miguel usa M4-V; vigente usa TR-M04</t>
        </is>
      </c>
      <c r="O53" s="4" t="inlineStr">
        <is>
          <t>CROSSWALK</t>
        </is>
      </c>
      <c r="P53" s="16" t="inlineStr">
        <is>
          <t>El resultado CONSUME un contrato upstream; el contrato está cerrado y admite fixture/oráculo reproducible antes del E2E real.</t>
        </is>
      </c>
      <c r="Q53" s="14" t="inlineStr">
        <is>
          <t>Walvy_M04_Matriz_Trazabilidad_Cliente_v1.3.xlsx · 01_Matriz_Trazabilidad · TR-M04-092</t>
        </is>
      </c>
      <c r="R53" s="18">
        <f>COUNTIF($B$5:$B$190,B53)</f>
        <v/>
      </c>
    </row>
    <row r="54">
      <c r="A54" s="14" t="inlineStr">
        <is>
          <t>M04</t>
        </is>
      </c>
      <c r="B54" s="14" t="inlineStr">
        <is>
          <t>TR-M04-093</t>
        </is>
      </c>
      <c r="C54" s="14" t="inlineStr">
        <is>
          <t>FLOW-M04-016 · Ruta 1 · Resumen</t>
        </is>
      </c>
      <c r="D54" s="14" t="inlineStr">
        <is>
          <t>Ruta elegible/disponible; primer “Seguir plan” válido aún no ejecutado.</t>
        </is>
      </c>
      <c r="E54" s="14" t="inlineStr">
        <is>
          <t>RD-01 Resumen | Mostrar resumen</t>
        </is>
      </c>
      <c r="F54" s="14" t="inlineStr">
        <is>
          <t>Construir orden/plan solo cuando la Ruta está elegible; preservar snowball y no activar por navegación.</t>
        </is>
      </c>
      <c r="G54" s="6" t="inlineStr">
        <is>
          <t>M04</t>
        </is>
      </c>
      <c r="H54" s="19" t="inlineStr">
        <is>
          <t>F1 · QA funcional local</t>
        </is>
      </c>
      <c r="I54" s="16" t="inlineStr">
        <is>
          <t>Sí</t>
        </is>
      </c>
      <c r="J54" s="16" t="inlineStr">
        <is>
          <t>No requerido para PASS primario</t>
        </is>
      </c>
      <c r="K54" s="16" t="inlineStr">
        <is>
          <t>No para PASS primario</t>
        </is>
      </c>
      <c r="L54" s="16" t="inlineStr">
        <is>
          <t>No obligatorio fuera de regresión</t>
        </is>
      </c>
      <c r="M54" s="16" t="inlineStr">
        <is>
          <t>Sí · F5 journey crítico</t>
        </is>
      </c>
      <c r="N54" s="17" t="inlineStr">
        <is>
          <t>No comparable 1:1 · Miguel usa M4-V; vigente usa TR-M04</t>
        </is>
      </c>
      <c r="O54" s="4" t="inlineStr">
        <is>
          <t>CROSSWALK</t>
        </is>
      </c>
      <c r="P54" s="16" t="inlineStr">
        <is>
          <t>El resultado primario se determina en M04 con sus estados/reglas; una salida downstream no se trata como dependencia de entrada.</t>
        </is>
      </c>
      <c r="Q54" s="14" t="inlineStr">
        <is>
          <t>Walvy_M04_Matriz_Trazabilidad_Cliente_v1.3.xlsx · 01_Matriz_Trazabilidad · TR-M04-093</t>
        </is>
      </c>
      <c r="R54" s="18">
        <f>COUNTIF($B$5:$B$190,B54)</f>
        <v/>
      </c>
    </row>
    <row r="55">
      <c r="A55" s="14" t="inlineStr">
        <is>
          <t>M04</t>
        </is>
      </c>
      <c r="B55" s="14" t="inlineStr">
        <is>
          <t>TR-M04-094</t>
        </is>
      </c>
      <c r="C55" s="14" t="inlineStr">
        <is>
          <t>FLOW-M04-016 · Ruta 1 · Resumen</t>
        </is>
      </c>
      <c r="D55" s="14" t="inlineStr">
        <is>
          <t>Existen múltiples deudas confirmadas dentro del plan</t>
        </is>
      </c>
      <c r="E55" s="14" t="inlineStr">
        <is>
          <t>RD-01 Resumen | Priorización</t>
        </is>
      </c>
      <c r="F55" s="14" t="inlineStr">
        <is>
          <t>Priorizar menor saldo actual; mantener pagos mínimos/compromisos de las demás.</t>
        </is>
      </c>
      <c r="G55" s="6" t="inlineStr">
        <is>
          <t>M04</t>
        </is>
      </c>
      <c r="H55" s="19" t="inlineStr">
        <is>
          <t>F1 · QA funcional local</t>
        </is>
      </c>
      <c r="I55" s="16" t="inlineStr">
        <is>
          <t>Sí</t>
        </is>
      </c>
      <c r="J55" s="16" t="inlineStr">
        <is>
          <t>No requerido para PASS primario</t>
        </is>
      </c>
      <c r="K55" s="16" t="inlineStr">
        <is>
          <t>No para PASS primario</t>
        </is>
      </c>
      <c r="L55" s="16" t="inlineStr">
        <is>
          <t>No obligatorio fuera de regresión</t>
        </is>
      </c>
      <c r="M55" s="16" t="inlineStr">
        <is>
          <t>Sí · F5 journey crítico</t>
        </is>
      </c>
      <c r="N55" s="17" t="inlineStr">
        <is>
          <t>No comparable 1:1 · Miguel usa M4-V; vigente usa TR-M04</t>
        </is>
      </c>
      <c r="O55" s="4" t="inlineStr">
        <is>
          <t>CROSSWALK</t>
        </is>
      </c>
      <c r="P55" s="16" t="inlineStr">
        <is>
          <t>El resultado primario se determina en M04 con sus estados/reglas; una salida downstream no se trata como dependencia de entrada.</t>
        </is>
      </c>
      <c r="Q55" s="14" t="inlineStr">
        <is>
          <t>Walvy_M04_Matriz_Trazabilidad_Cliente_v1.3.xlsx · 01_Matriz_Trazabilidad · TR-M04-094</t>
        </is>
      </c>
      <c r="R55" s="18">
        <f>COUNTIF($B$5:$B$190,B55)</f>
        <v/>
      </c>
    </row>
    <row r="56">
      <c r="A56" s="14" t="inlineStr">
        <is>
          <t>M04</t>
        </is>
      </c>
      <c r="B56" s="14" t="inlineStr">
        <is>
          <t>TR-M04-095</t>
        </is>
      </c>
      <c r="C56" s="14" t="inlineStr">
        <is>
          <t>FLOW-M04-016 · Ruta 1 · Resumen</t>
        </is>
      </c>
      <c r="D56" s="14" t="inlineStr">
        <is>
          <t>Usuario continúa a plan</t>
        </is>
      </c>
      <c r="E56" s="14" t="inlineStr">
        <is>
          <t>RD-01 Resumen | Ver mi plan</t>
        </is>
      </c>
      <c r="F56" s="14" t="inlineStr">
        <is>
          <t>Navegar a RD-02 conservando estado elegible y orden; “Ver mi plan” no activa la Ruta.</t>
        </is>
      </c>
      <c r="G56" s="6" t="inlineStr">
        <is>
          <t>M04</t>
        </is>
      </c>
      <c r="H56" s="19" t="inlineStr">
        <is>
          <t>F1 · QA funcional local</t>
        </is>
      </c>
      <c r="I56" s="16" t="inlineStr">
        <is>
          <t>Sí</t>
        </is>
      </c>
      <c r="J56" s="16" t="inlineStr">
        <is>
          <t>No requerido para PASS primario</t>
        </is>
      </c>
      <c r="K56" s="16" t="inlineStr">
        <is>
          <t>No para PASS primario</t>
        </is>
      </c>
      <c r="L56" s="16" t="inlineStr">
        <is>
          <t>No obligatorio fuera de regresión</t>
        </is>
      </c>
      <c r="M56" s="16" t="inlineStr">
        <is>
          <t>Sí · F5 journey crítico</t>
        </is>
      </c>
      <c r="N56" s="17" t="inlineStr">
        <is>
          <t>No comparable 1:1 · Miguel usa M4-V; vigente usa TR-M04</t>
        </is>
      </c>
      <c r="O56" s="4" t="inlineStr">
        <is>
          <t>CROSSWALK</t>
        </is>
      </c>
      <c r="P56" s="16" t="inlineStr">
        <is>
          <t>El resultado primario se determina en M04 con sus estados/reglas; una salida downstream no se trata como dependencia de entrada.</t>
        </is>
      </c>
      <c r="Q56" s="14" t="inlineStr">
        <is>
          <t>Walvy_M04_Matriz_Trazabilidad_Cliente_v1.3.xlsx · 01_Matriz_Trazabilidad · TR-M04-095</t>
        </is>
      </c>
      <c r="R56" s="18">
        <f>COUNTIF($B$5:$B$190,B56)</f>
        <v/>
      </c>
    </row>
    <row r="57">
      <c r="A57" s="14" t="inlineStr">
        <is>
          <t>M04</t>
        </is>
      </c>
      <c r="B57" s="14" t="inlineStr">
        <is>
          <t>TR-M04-096</t>
        </is>
      </c>
      <c r="C57" s="14" t="inlineStr">
        <is>
          <t>FLOW-M04-017 · Detalle deuda</t>
        </is>
      </c>
      <c r="D57" s="14" t="inlineStr">
        <is>
          <t>Deuda manejable/atención requiere precisión</t>
        </is>
      </c>
      <c r="E57" s="14" t="inlineStr">
        <is>
          <t>DD-01 / seguimiento | Editar datos</t>
        </is>
      </c>
      <c r="F57" s="14" t="inlineStr">
        <is>
          <t>Permitir edición/corrección puntual y reevaluar sin crear formulario paralelo.</t>
        </is>
      </c>
      <c r="G57" s="6" t="inlineStr">
        <is>
          <t>M04</t>
        </is>
      </c>
      <c r="H57" s="19" t="inlineStr">
        <is>
          <t>F1 · QA funcional local</t>
        </is>
      </c>
      <c r="I57" s="16" t="inlineStr">
        <is>
          <t>Sí</t>
        </is>
      </c>
      <c r="J57" s="16" t="inlineStr">
        <is>
          <t>No requerido para PASS primario</t>
        </is>
      </c>
      <c r="K57" s="16" t="inlineStr">
        <is>
          <t>No para PASS primario</t>
        </is>
      </c>
      <c r="L57" s="16" t="inlineStr">
        <is>
          <t>No obligatorio fuera de regresión</t>
        </is>
      </c>
      <c r="M57" s="16" t="inlineStr">
        <is>
          <t>Sí · F5 smoke contractual</t>
        </is>
      </c>
      <c r="N57" s="17" t="inlineStr">
        <is>
          <t>No comparable 1:1 · Miguel usa M4-V; vigente usa TR-M04</t>
        </is>
      </c>
      <c r="O57" s="4" t="inlineStr">
        <is>
          <t>CROSSWALK</t>
        </is>
      </c>
      <c r="P57" s="16" t="inlineStr">
        <is>
          <t>El resultado primario se determina en M04 con sus estados/reglas; una salida downstream no se trata como dependencia de entrada.</t>
        </is>
      </c>
      <c r="Q57" s="14" t="inlineStr">
        <is>
          <t>Walvy_M04_Matriz_Trazabilidad_Cliente_v1.3.xlsx · 01_Matriz_Trazabilidad · TR-M04-096</t>
        </is>
      </c>
      <c r="R57" s="18">
        <f>COUNTIF($B$5:$B$190,B57)</f>
        <v/>
      </c>
    </row>
    <row r="58">
      <c r="A58" s="14" t="inlineStr">
        <is>
          <t>M04</t>
        </is>
      </c>
      <c r="B58" s="14" t="inlineStr">
        <is>
          <t>TR-M04-097</t>
        </is>
      </c>
      <c r="C58" s="14" t="inlineStr">
        <is>
          <t>FLOW-M04-017 · Detalle deuda</t>
        </is>
      </c>
      <c r="D58" s="14" t="inlineStr">
        <is>
          <t>Vencimiento/pago operativo requiere seguimiento sin presión M04</t>
        </is>
      </c>
      <c r="E58" s="14" t="inlineStr">
        <is>
          <t>DD-01 / seguimiento | Activar alerta</t>
        </is>
      </c>
      <c r="F58" s="14" t="inlineStr">
        <is>
          <t>Derivar a M06/Alertas; M04 no administra calendario/pago.</t>
        </is>
      </c>
      <c r="G58" s="6" t="inlineStr">
        <is>
          <t>M06 | M06/Alertas</t>
        </is>
      </c>
      <c r="H58" s="19" t="inlineStr">
        <is>
          <t>F1 · QA funcional local</t>
        </is>
      </c>
      <c r="I58" s="16" t="inlineStr">
        <is>
          <t>Sí</t>
        </is>
      </c>
      <c r="J58" s="16" t="inlineStr">
        <is>
          <t>No requerido para PASS primario</t>
        </is>
      </c>
      <c r="K58" s="16" t="inlineStr">
        <is>
          <t>No para PASS primario</t>
        </is>
      </c>
      <c r="L58" s="16" t="inlineStr">
        <is>
          <t>Sí · F4</t>
        </is>
      </c>
      <c r="M58" s="16" t="inlineStr">
        <is>
          <t>Sí · F5 smoke contractual</t>
        </is>
      </c>
      <c r="N58" s="17" t="inlineStr">
        <is>
          <t>No comparable 1:1 · Miguel usa M4-V; vigente usa TR-M04</t>
        </is>
      </c>
      <c r="O58" s="4" t="inlineStr">
        <is>
          <t>CROSSWALK</t>
        </is>
      </c>
      <c r="P58" s="16" t="inlineStr">
        <is>
          <t>El resultado primario se determina en M04 con sus estados/reglas; una salida downstream no se trata como dependencia de entrada.</t>
        </is>
      </c>
      <c r="Q58" s="14" t="inlineStr">
        <is>
          <t>Walvy_M04_Matriz_Trazabilidad_Cliente_v1.3.xlsx · 01_Matriz_Trazabilidad · TR-M04-097</t>
        </is>
      </c>
      <c r="R58" s="18">
        <f>COUNTIF($B$5:$B$190,B58)</f>
        <v/>
      </c>
    </row>
    <row r="59">
      <c r="A59" s="14" t="inlineStr">
        <is>
          <t>M04</t>
        </is>
      </c>
      <c r="B59" s="14" t="inlineStr">
        <is>
          <t>TR-M04-098</t>
        </is>
      </c>
      <c r="C59" s="14" t="inlineStr">
        <is>
          <t>FLOW-M04-017 · Detalle deuda</t>
        </is>
      </c>
      <c r="D59" s="14" t="inlineStr">
        <is>
          <t>Deuda pasa a cumplir gate de Ruta</t>
        </is>
      </c>
      <c r="E59" s="14" t="inlineStr">
        <is>
          <t>DD-01 / seguimiento | Ver Ruta Despeje</t>
        </is>
      </c>
      <c r="F59" s="14" t="inlineStr">
        <is>
          <t>Derivar a RD-01 con Ruta elegible/disponible; la vista DD y “Ver Ruta Despeje” no activan la Ruta.</t>
        </is>
      </c>
      <c r="G59" s="6" t="inlineStr">
        <is>
          <t>M04</t>
        </is>
      </c>
      <c r="H59" s="19" t="inlineStr">
        <is>
          <t>F1 · QA funcional local</t>
        </is>
      </c>
      <c r="I59" s="16" t="inlineStr">
        <is>
          <t>Sí</t>
        </is>
      </c>
      <c r="J59" s="16" t="inlineStr">
        <is>
          <t>No requerido para PASS primario</t>
        </is>
      </c>
      <c r="K59" s="16" t="inlineStr">
        <is>
          <t>No para PASS primario</t>
        </is>
      </c>
      <c r="L59" s="16" t="inlineStr">
        <is>
          <t>No obligatorio fuera de regresión</t>
        </is>
      </c>
      <c r="M59" s="16" t="inlineStr">
        <is>
          <t>Sí · F5 smoke contractual</t>
        </is>
      </c>
      <c r="N59" s="17" t="inlineStr">
        <is>
          <t>No comparable 1:1 · Miguel usa M4-V; vigente usa TR-M04</t>
        </is>
      </c>
      <c r="O59" s="4" t="inlineStr">
        <is>
          <t>CROSSWALK</t>
        </is>
      </c>
      <c r="P59" s="16" t="inlineStr">
        <is>
          <t>El resultado primario se determina en M04 con sus estados/reglas; una salida downstream no se trata como dependencia de entrada.</t>
        </is>
      </c>
      <c r="Q59" s="14" t="inlineStr">
        <is>
          <t>Walvy_M04_Matriz_Trazabilidad_Cliente_v1.3.xlsx · 01_Matriz_Trazabilidad · TR-M04-098</t>
        </is>
      </c>
      <c r="R59" s="18">
        <f>COUNTIF($B$5:$B$190,B59)</f>
        <v/>
      </c>
    </row>
    <row r="60">
      <c r="A60" s="14" t="inlineStr">
        <is>
          <t>M04</t>
        </is>
      </c>
      <c r="B60" s="14" t="inlineStr">
        <is>
          <t>TR-M04-099</t>
        </is>
      </c>
      <c r="C60" s="14" t="inlineStr">
        <is>
          <t>FLOW-M04-017 · Detalle deuda</t>
        </is>
      </c>
      <c r="D60" s="14" t="inlineStr">
        <is>
          <t>Dependencia destino no está disponible</t>
        </is>
      </c>
      <c r="E60" s="14" t="inlineStr">
        <is>
          <t>DD-01 / seguimiento | Acción contextual</t>
        </is>
      </c>
      <c r="F60" s="14" t="inlineStr">
        <is>
          <t>Aplicar fallback documentado sin bloquear M04 ni crear owner paralelo.</t>
        </is>
      </c>
      <c r="G60" s="6" t="inlineStr">
        <is>
          <t>M04 | M05/M06/Alertas</t>
        </is>
      </c>
      <c r="H60" s="20" t="inlineStr">
        <is>
          <t>F2 · Fixture cross-contract</t>
        </is>
      </c>
      <c r="I60" s="16" t="inlineStr">
        <is>
          <t>No como PASS completo</t>
        </is>
      </c>
      <c r="J60" s="16" t="inlineStr">
        <is>
          <t>Sí · fixture/payload canónico</t>
        </is>
      </c>
      <c r="K60" s="16" t="inlineStr">
        <is>
          <t>No para PASS primario</t>
        </is>
      </c>
      <c r="L60" s="16" t="inlineStr">
        <is>
          <t>Sí · F4</t>
        </is>
      </c>
      <c r="M60" s="16" t="inlineStr">
        <is>
          <t>Sí · F5 journey crítico</t>
        </is>
      </c>
      <c r="N60" s="17" t="inlineStr">
        <is>
          <t>No comparable 1:1 · Miguel usa M4-V; vigente usa TR-M04</t>
        </is>
      </c>
      <c r="O60" s="4" t="inlineStr">
        <is>
          <t>CROSSWALK</t>
        </is>
      </c>
      <c r="P60" s="16" t="inlineStr">
        <is>
          <t>El resultado CONSUME un contrato upstream; el contrato está cerrado y admite fixture/oráculo reproducible antes del E2E real.</t>
        </is>
      </c>
      <c r="Q60" s="14" t="inlineStr">
        <is>
          <t>Walvy_M04_Matriz_Trazabilidad_Cliente_v1.3.xlsx · 01_Matriz_Trazabilidad · TR-M04-099</t>
        </is>
      </c>
      <c r="R60" s="18">
        <f>COUNTIF($B$5:$B$190,B60)</f>
        <v/>
      </c>
    </row>
    <row r="61">
      <c r="A61" s="14" t="inlineStr">
        <is>
          <t>M04</t>
        </is>
      </c>
      <c r="B61" s="14" t="inlineStr">
        <is>
          <t>TR-M04-100</t>
        </is>
      </c>
      <c r="C61" s="14" t="inlineStr">
        <is>
          <t>FLOW-M04-018 · Home consumidor</t>
        </is>
      </c>
      <c r="D61" s="14" t="inlineStr">
        <is>
          <t>Deuda es señal dominante del mes y gate permite acción M04</t>
        </is>
      </c>
      <c r="E61" s="14" t="inlineStr">
        <is>
          <t>Home | CTA dominante</t>
        </is>
      </c>
      <c r="F61" s="14" t="inlineStr">
        <is>
          <t>Home puede representar una acción M04 ya resuelta por el owner; no recalcula ni decide aquí el ganador transversal.</t>
        </is>
      </c>
      <c r="G61" s="6" t="inlineStr">
        <is>
          <t>M04 | M03/Home</t>
        </is>
      </c>
      <c r="H61" s="15" t="inlineStr">
        <is>
          <t>F3 · M02/M03 / superficie</t>
        </is>
      </c>
      <c r="I61" s="16" t="inlineStr">
        <is>
          <t>No como PASS completo</t>
        </is>
      </c>
      <c r="J61" s="16" t="inlineStr">
        <is>
          <t>Parcial · productor/oráculo sí; no sustituye PASS superficie</t>
        </is>
      </c>
      <c r="K61" s="16" t="inlineStr">
        <is>
          <t>Sí</t>
        </is>
      </c>
      <c r="L61" s="16" t="inlineStr">
        <is>
          <t>Sí · F3/F5</t>
        </is>
      </c>
      <c r="M61" s="16" t="inlineStr">
        <is>
          <t>Sí · F5 journey crítico</t>
        </is>
      </c>
      <c r="N61" s="17" t="inlineStr">
        <is>
          <t>No comparable 1:1 · Miguel usa M4-V; vigente usa TR-M04</t>
        </is>
      </c>
      <c r="O61" s="4" t="inlineStr">
        <is>
          <t>CROSSWALK</t>
        </is>
      </c>
      <c r="P61" s="16" t="inlineStr">
        <is>
          <t>El criterio de aceptación completo vive en Home/Perfil/avisos o en una superficie M02/M03; el productor puede probarse antes, pero no reemplaza el PASS de superficie.</t>
        </is>
      </c>
      <c r="Q61" s="14" t="inlineStr">
        <is>
          <t>Walvy_M04_Matriz_Trazabilidad_Cliente_v1.3.xlsx · 01_Matriz_Trazabilidad · TR-M04-100</t>
        </is>
      </c>
      <c r="R61" s="18">
        <f>COUNTIF($B$5:$B$190,B61)</f>
        <v/>
      </c>
    </row>
    <row r="62">
      <c r="A62" s="14" t="inlineStr">
        <is>
          <t>M04</t>
        </is>
      </c>
      <c r="B62" s="14" t="inlineStr">
        <is>
          <t>TR-M04-101</t>
        </is>
      </c>
      <c r="C62" s="14" t="inlineStr">
        <is>
          <t>FLOW-M04-018 · Home consumidor</t>
        </is>
      </c>
      <c r="D62" s="14" t="inlineStr">
        <is>
          <t>Deuda no es señal dominante</t>
        </is>
      </c>
      <c r="E62" s="14" t="inlineStr">
        <is>
          <t>Home | Sin CTA dominante deuda</t>
        </is>
      </c>
      <c r="F62" s="14" t="inlineStr">
        <is>
          <t>Si el candidato M04 no ocupa el slot dominante, Home puede mantenerlo como siguiente paso secundario o no mostrarlo según orquestación; no se crea otra señal.</t>
        </is>
      </c>
      <c r="G62" s="6" t="inlineStr">
        <is>
          <t>M03/Home</t>
        </is>
      </c>
      <c r="H62" s="15" t="inlineStr">
        <is>
          <t>F3 · M02/M03 / superficie</t>
        </is>
      </c>
      <c r="I62" s="16" t="inlineStr">
        <is>
          <t>No como PASS completo</t>
        </is>
      </c>
      <c r="J62" s="16" t="inlineStr">
        <is>
          <t>Parcial · productor/oráculo sí; no sustituye PASS superficie</t>
        </is>
      </c>
      <c r="K62" s="16" t="inlineStr">
        <is>
          <t>Sí</t>
        </is>
      </c>
      <c r="L62" s="16" t="inlineStr">
        <is>
          <t>Sí · F3/F5</t>
        </is>
      </c>
      <c r="M62" s="16" t="inlineStr">
        <is>
          <t>Sí · F5 journey crítico</t>
        </is>
      </c>
      <c r="N62" s="17" t="inlineStr">
        <is>
          <t>No comparable 1:1 · Miguel usa M4-V; vigente usa TR-M04</t>
        </is>
      </c>
      <c r="O62" s="4" t="inlineStr">
        <is>
          <t>CROSSWALK</t>
        </is>
      </c>
      <c r="P62" s="16" t="inlineStr">
        <is>
          <t>El criterio de aceptación completo vive en Home/Perfil/avisos o en una superficie M02/M03; el productor puede probarse antes, pero no reemplaza el PASS de superficie.</t>
        </is>
      </c>
      <c r="Q62" s="14" t="inlineStr">
        <is>
          <t>Walvy_M04_Matriz_Trazabilidad_Cliente_v1.3.xlsx · 01_Matriz_Trazabilidad · TR-M04-101</t>
        </is>
      </c>
      <c r="R62" s="18">
        <f>COUNTIF($B$5:$B$190,B62)</f>
        <v/>
      </c>
    </row>
    <row r="63">
      <c r="A63" s="14" t="inlineStr">
        <is>
          <t>M04</t>
        </is>
      </c>
      <c r="B63" s="14" t="inlineStr">
        <is>
          <t>TR-M04-102</t>
        </is>
      </c>
      <c r="C63" s="14" t="inlineStr">
        <is>
          <t>FLOW-M04-018 · Home consumidor</t>
        </is>
      </c>
      <c r="D63" s="14" t="inlineStr">
        <is>
          <t>Señal de pago pertenece a M06</t>
        </is>
      </c>
      <c r="E63" s="14" t="inlineStr">
        <is>
          <t>Home | Revisar pago/alerta</t>
        </is>
      </c>
      <c r="F63" s="14" t="inlineStr">
        <is>
          <t>Derivar a M06/Pagos-Alertas y no a Ruta salvo condición de elevación.</t>
        </is>
      </c>
      <c r="G63" s="6" t="inlineStr">
        <is>
          <t>M06</t>
        </is>
      </c>
      <c r="H63" s="15" t="inlineStr">
        <is>
          <t>F3 · M02/M03 / superficie</t>
        </is>
      </c>
      <c r="I63" s="16" t="inlineStr">
        <is>
          <t>No como PASS completo</t>
        </is>
      </c>
      <c r="J63" s="16" t="inlineStr">
        <is>
          <t>Parcial · productor/oráculo sí; no sustituye PASS superficie</t>
        </is>
      </c>
      <c r="K63" s="16" t="inlineStr">
        <is>
          <t>Sí</t>
        </is>
      </c>
      <c r="L63" s="16" t="inlineStr">
        <is>
          <t>Sí · F3/F5</t>
        </is>
      </c>
      <c r="M63" s="16" t="inlineStr">
        <is>
          <t>Sí · F5 journey crítico</t>
        </is>
      </c>
      <c r="N63" s="17" t="inlineStr">
        <is>
          <t>No comparable 1:1 · Miguel usa M4-V; vigente usa TR-M04</t>
        </is>
      </c>
      <c r="O63" s="4" t="inlineStr">
        <is>
          <t>CROSSWALK</t>
        </is>
      </c>
      <c r="P63" s="16" t="inlineStr">
        <is>
          <t>El criterio de aceptación completo vive en Home/Perfil/avisos o en una superficie M02/M03; el productor puede probarse antes, pero no reemplaza el PASS de superficie.</t>
        </is>
      </c>
      <c r="Q63" s="14" t="inlineStr">
        <is>
          <t>Walvy_M04_Matriz_Trazabilidad_Cliente_v1.3.xlsx · 01_Matriz_Trazabilidad · TR-M04-102</t>
        </is>
      </c>
      <c r="R63" s="18">
        <f>COUNTIF($B$5:$B$190,B63)</f>
        <v/>
      </c>
    </row>
    <row r="64">
      <c r="A64" s="14" t="inlineStr">
        <is>
          <t>M04</t>
        </is>
      </c>
      <c r="B64" s="14" t="inlineStr">
        <is>
          <t>TR-M04-103</t>
        </is>
      </c>
      <c r="C64" s="14" t="inlineStr">
        <is>
          <t>FLOW-M04-018 · Home consumidor</t>
        </is>
      </c>
      <c r="D64" s="14" t="inlineStr">
        <is>
          <t>Dependencia destino no disponible</t>
        </is>
      </c>
      <c r="E64" s="14" t="inlineStr">
        <is>
          <t>Home | CTA contextual</t>
        </is>
      </c>
      <c r="F64" s="14" t="inlineStr">
        <is>
          <t>Usar fallback definido y conservar owner/estado.</t>
        </is>
      </c>
      <c r="G64" s="6" t="inlineStr">
        <is>
          <t>M04/M03 | M05/M06/Alertas</t>
        </is>
      </c>
      <c r="H64" s="15" t="inlineStr">
        <is>
          <t>F3 · M02/M03 / superficie</t>
        </is>
      </c>
      <c r="I64" s="16" t="inlineStr">
        <is>
          <t>No como PASS completo</t>
        </is>
      </c>
      <c r="J64" s="16" t="inlineStr">
        <is>
          <t>Parcial · productor/oráculo sí; no sustituye PASS superficie</t>
        </is>
      </c>
      <c r="K64" s="16" t="inlineStr">
        <is>
          <t>Sí</t>
        </is>
      </c>
      <c r="L64" s="16" t="inlineStr">
        <is>
          <t>Sí · F3/F5</t>
        </is>
      </c>
      <c r="M64" s="16" t="inlineStr">
        <is>
          <t>Sí · F5 journey crítico</t>
        </is>
      </c>
      <c r="N64" s="17" t="inlineStr">
        <is>
          <t>No comparable 1:1 · Miguel usa M4-V; vigente usa TR-M04</t>
        </is>
      </c>
      <c r="O64" s="4" t="inlineStr">
        <is>
          <t>CROSSWALK</t>
        </is>
      </c>
      <c r="P64" s="16" t="inlineStr">
        <is>
          <t>El criterio de aceptación completo vive en Home/Perfil/avisos o en una superficie M02/M03; el productor puede probarse antes, pero no reemplaza el PASS de superficie.</t>
        </is>
      </c>
      <c r="Q64" s="14" t="inlineStr">
        <is>
          <t>Walvy_M04_Matriz_Trazabilidad_Cliente_v1.3.xlsx · 01_Matriz_Trazabilidad · TR-M04-103</t>
        </is>
      </c>
      <c r="R64" s="18">
        <f>COUNTIF($B$5:$B$190,B64)</f>
        <v/>
      </c>
    </row>
    <row r="65">
      <c r="A65" s="14" t="inlineStr">
        <is>
          <t>M04</t>
        </is>
      </c>
      <c r="B65" s="14" t="inlineStr">
        <is>
          <t>TR-M04-104</t>
        </is>
      </c>
      <c r="C65" s="14" t="inlineStr">
        <is>
          <t>FLOW-M04-019 · Ruta 2 · Plan</t>
        </is>
      </c>
      <c r="D65" s="14" t="inlineStr">
        <is>
          <t>Deudas confirmadas y base de plan disponible</t>
        </is>
      </c>
      <c r="E65" s="14" t="inlineStr">
        <is>
          <t>RD-02 Plan | Mostrar orden</t>
        </is>
      </c>
      <c r="F65" s="14" t="inlineStr">
        <is>
          <t>Mostrar orden sugerido por menor saldo actual con mínimos protegidos.</t>
        </is>
      </c>
      <c r="G65" s="6" t="inlineStr">
        <is>
          <t>M04</t>
        </is>
      </c>
      <c r="H65" s="19" t="inlineStr">
        <is>
          <t>F1 · QA funcional local</t>
        </is>
      </c>
      <c r="I65" s="16" t="inlineStr">
        <is>
          <t>Sí</t>
        </is>
      </c>
      <c r="J65" s="16" t="inlineStr">
        <is>
          <t>No requerido para PASS primario</t>
        </is>
      </c>
      <c r="K65" s="16" t="inlineStr">
        <is>
          <t>No para PASS primario</t>
        </is>
      </c>
      <c r="L65" s="16" t="inlineStr">
        <is>
          <t>No obligatorio fuera de regresión</t>
        </is>
      </c>
      <c r="M65" s="16" t="inlineStr">
        <is>
          <t>Sí · F5 journey crítico</t>
        </is>
      </c>
      <c r="N65" s="17" t="inlineStr">
        <is>
          <t>No comparable 1:1 · Miguel usa M4-V; vigente usa TR-M04</t>
        </is>
      </c>
      <c r="O65" s="4" t="inlineStr">
        <is>
          <t>CROSSWALK</t>
        </is>
      </c>
      <c r="P65" s="16" t="inlineStr">
        <is>
          <t>El resultado primario se determina en M04 con sus estados/reglas; una salida downstream no se trata como dependencia de entrada.</t>
        </is>
      </c>
      <c r="Q65" s="14" t="inlineStr">
        <is>
          <t>Walvy_M04_Matriz_Trazabilidad_Cliente_v1.3.xlsx · 01_Matriz_Trazabilidad · TR-M04-104</t>
        </is>
      </c>
      <c r="R65" s="18">
        <f>COUNTIF($B$5:$B$190,B65)</f>
        <v/>
      </c>
    </row>
    <row r="66">
      <c r="A66" s="14" t="inlineStr">
        <is>
          <t>M04</t>
        </is>
      </c>
      <c r="B66" s="14" t="inlineStr">
        <is>
          <t>TR-M04-105</t>
        </is>
      </c>
      <c r="C66" s="14" t="inlineStr">
        <is>
          <t>FLOW-M04-019 · Ruta 2 · Plan</t>
        </is>
      </c>
      <c r="D66" s="14" t="inlineStr">
        <is>
          <t>Existe pago/compromiso mensual confirmado y confianza suficiente</t>
        </is>
      </c>
      <c r="E66" s="14" t="inlineStr">
        <is>
          <t>RD-02 Plan | Mostrar capacidad recuperable</t>
        </is>
      </c>
      <c r="F66" s="14" t="inlineStr">
        <is>
          <t>Mostrar monto potencialmente liberable como estimación de deuda, no ahorro general.</t>
        </is>
      </c>
      <c r="G66" s="6" t="inlineStr">
        <is>
          <t>M04</t>
        </is>
      </c>
      <c r="H66" s="20" t="inlineStr">
        <is>
          <t>F2 · Fixture cross-contract</t>
        </is>
      </c>
      <c r="I66" s="16" t="inlineStr">
        <is>
          <t>No como PASS completo</t>
        </is>
      </c>
      <c r="J66" s="16" t="inlineStr">
        <is>
          <t>Sí · fixture/payload canónico</t>
        </is>
      </c>
      <c r="K66" s="16" t="inlineStr">
        <is>
          <t>No para PASS primario</t>
        </is>
      </c>
      <c r="L66" s="16" t="inlineStr">
        <is>
          <t>Sí · F4</t>
        </is>
      </c>
      <c r="M66" s="16" t="inlineStr">
        <is>
          <t>Sí · F5 journey crítico</t>
        </is>
      </c>
      <c r="N66" s="17" t="inlineStr">
        <is>
          <t>No comparable 1:1 · Miguel usa M4-V; vigente usa TR-M04</t>
        </is>
      </c>
      <c r="O66" s="4" t="inlineStr">
        <is>
          <t>CROSSWALK</t>
        </is>
      </c>
      <c r="P66" s="16" t="inlineStr">
        <is>
          <t>El resultado CONSUME un contrato upstream; el contrato está cerrado y admite fixture/oráculo reproducible antes del E2E real.</t>
        </is>
      </c>
      <c r="Q66" s="14" t="inlineStr">
        <is>
          <t>Walvy_M04_Matriz_Trazabilidad_Cliente_v1.3.xlsx · 01_Matriz_Trazabilidad · TR-M04-105</t>
        </is>
      </c>
      <c r="R66" s="18">
        <f>COUNTIF($B$5:$B$190,B66)</f>
        <v/>
      </c>
    </row>
    <row r="67">
      <c r="A67" s="14" t="inlineStr">
        <is>
          <t>M04</t>
        </is>
      </c>
      <c r="B67" s="14" t="inlineStr">
        <is>
          <t>TR-M04-106</t>
        </is>
      </c>
      <c r="C67" s="14" t="inlineStr">
        <is>
          <t>FLOW-M04-019 · Ruta 2 · Plan</t>
        </is>
      </c>
      <c r="D67" s="14" t="inlineStr">
        <is>
          <t>Datos, supuestos, confianza y versión suficientes</t>
        </is>
      </c>
      <c r="E67" s="14" t="inlineStr">
        <is>
          <t>RD-02 Plan | Mostrar cronograma</t>
        </is>
      </c>
      <c r="F67" s="14" t="inlineStr">
        <is>
          <t>Mostrar duración/fecha como estimación condicionada.</t>
        </is>
      </c>
      <c r="G67" s="6" t="inlineStr">
        <is>
          <t>M04</t>
        </is>
      </c>
      <c r="H67" s="19" t="inlineStr">
        <is>
          <t>F1 · QA funcional local</t>
        </is>
      </c>
      <c r="I67" s="16" t="inlineStr">
        <is>
          <t>Sí</t>
        </is>
      </c>
      <c r="J67" s="16" t="inlineStr">
        <is>
          <t>No requerido para PASS primario</t>
        </is>
      </c>
      <c r="K67" s="16" t="inlineStr">
        <is>
          <t>No para PASS primario</t>
        </is>
      </c>
      <c r="L67" s="16" t="inlineStr">
        <is>
          <t>No obligatorio fuera de regresión</t>
        </is>
      </c>
      <c r="M67" s="16" t="inlineStr">
        <is>
          <t>Sí · F5 journey crítico</t>
        </is>
      </c>
      <c r="N67" s="17" t="inlineStr">
        <is>
          <t>No comparable 1:1 · Miguel usa M4-V; vigente usa TR-M04</t>
        </is>
      </c>
      <c r="O67" s="4" t="inlineStr">
        <is>
          <t>CROSSWALK</t>
        </is>
      </c>
      <c r="P67" s="16" t="inlineStr">
        <is>
          <t>El resultado primario se determina en M04 con sus estados/reglas; una salida downstream no se trata como dependencia de entrada.</t>
        </is>
      </c>
      <c r="Q67" s="14" t="inlineStr">
        <is>
          <t>Walvy_M04_Matriz_Trazabilidad_Cliente_v1.3.xlsx · 01_Matriz_Trazabilidad · TR-M04-106</t>
        </is>
      </c>
      <c r="R67" s="18">
        <f>COUNTIF($B$5:$B$190,B67)</f>
        <v/>
      </c>
    </row>
    <row r="68">
      <c r="A68" s="14" t="inlineStr">
        <is>
          <t>M04</t>
        </is>
      </c>
      <c r="B68" s="14" t="inlineStr">
        <is>
          <t>TR-M04-107</t>
        </is>
      </c>
      <c r="C68" s="14" t="inlineStr">
        <is>
          <t>FLOW-M04-019 · Ruta 2 · Plan</t>
        </is>
      </c>
      <c r="D68" s="14" t="inlineStr">
        <is>
          <t>Faltan datos/supuestos/confianza para proyectar fecha</t>
        </is>
      </c>
      <c r="E68" s="14" t="inlineStr">
        <is>
          <t>RD-02 Plan | Mostrar estado cualitativo</t>
        </is>
      </c>
      <c r="F68" s="14" t="inlineStr">
        <is>
          <t>No mostrar fecha concluyente; pedir datos o mantener estado cualitativo.</t>
        </is>
      </c>
      <c r="G68" s="6" t="inlineStr">
        <is>
          <t>M04</t>
        </is>
      </c>
      <c r="H68" s="19" t="inlineStr">
        <is>
          <t>F1 · QA funcional local</t>
        </is>
      </c>
      <c r="I68" s="16" t="inlineStr">
        <is>
          <t>Sí</t>
        </is>
      </c>
      <c r="J68" s="16" t="inlineStr">
        <is>
          <t>No requerido para PASS primario</t>
        </is>
      </c>
      <c r="K68" s="16" t="inlineStr">
        <is>
          <t>No para PASS primario</t>
        </is>
      </c>
      <c r="L68" s="16" t="inlineStr">
        <is>
          <t>No obligatorio fuera de regresión</t>
        </is>
      </c>
      <c r="M68" s="16" t="inlineStr">
        <is>
          <t>Sí · F5 journey crítico</t>
        </is>
      </c>
      <c r="N68" s="17" t="inlineStr">
        <is>
          <t>No comparable 1:1 · Miguel usa M4-V; vigente usa TR-M04</t>
        </is>
      </c>
      <c r="O68" s="4" t="inlineStr">
        <is>
          <t>CROSSWALK</t>
        </is>
      </c>
      <c r="P68" s="16" t="inlineStr">
        <is>
          <t>El resultado primario se determina en M04 con sus estados/reglas; una salida downstream no se trata como dependencia de entrada.</t>
        </is>
      </c>
      <c r="Q68" s="14" t="inlineStr">
        <is>
          <t>Walvy_M04_Matriz_Trazabilidad_Cliente_v1.3.xlsx · 01_Matriz_Trazabilidad · TR-M04-107</t>
        </is>
      </c>
      <c r="R68" s="18">
        <f>COUNTIF($B$5:$B$190,B68)</f>
        <v/>
      </c>
    </row>
    <row r="69">
      <c r="A69" s="14" t="inlineStr">
        <is>
          <t>M04</t>
        </is>
      </c>
      <c r="B69" s="14" t="inlineStr">
        <is>
          <t>TR-M04-108</t>
        </is>
      </c>
      <c r="C69" s="14" t="inlineStr">
        <is>
          <t>FLOW-M04-019 · Ruta 2 · Plan</t>
        </is>
      </c>
      <c r="D69" s="14" t="inlineStr">
        <is>
          <t>Vista agrupada opcional autorizada por fuente</t>
        </is>
      </c>
      <c r="E69" s="14" t="inlineStr">
        <is>
          <t>RD-02 Plan | Ver deudas agrupadas</t>
        </is>
      </c>
      <c r="F69" s="14" t="inlineStr">
        <is>
          <t>Si se materializa, agrupa deudas para ordenar sin implicar refinanciamiento/consolidación.</t>
        </is>
      </c>
      <c r="G69" s="6" t="inlineStr">
        <is>
          <t>M04</t>
        </is>
      </c>
      <c r="H69" s="19" t="inlineStr">
        <is>
          <t>F1 · QA funcional local</t>
        </is>
      </c>
      <c r="I69" s="16" t="inlineStr">
        <is>
          <t>Sí</t>
        </is>
      </c>
      <c r="J69" s="16" t="inlineStr">
        <is>
          <t>No requerido para PASS primario</t>
        </is>
      </c>
      <c r="K69" s="16" t="inlineStr">
        <is>
          <t>No para PASS primario</t>
        </is>
      </c>
      <c r="L69" s="16" t="inlineStr">
        <is>
          <t>No obligatorio fuera de regresión</t>
        </is>
      </c>
      <c r="M69" s="16" t="inlineStr">
        <is>
          <t>Sí · F5 journey crítico</t>
        </is>
      </c>
      <c r="N69" s="17" t="inlineStr">
        <is>
          <t>No comparable 1:1 · Miguel usa M4-V; vigente usa TR-M04</t>
        </is>
      </c>
      <c r="O69" s="4" t="inlineStr">
        <is>
          <t>CROSSWALK</t>
        </is>
      </c>
      <c r="P69" s="16" t="inlineStr">
        <is>
          <t>El resultado primario se determina en M04 con sus estados/reglas; una salida downstream no se trata como dependencia de entrada.</t>
        </is>
      </c>
      <c r="Q69" s="14" t="inlineStr">
        <is>
          <t>Walvy_M04_Matriz_Trazabilidad_Cliente_v1.3.xlsx · 01_Matriz_Trazabilidad · TR-M04-108</t>
        </is>
      </c>
      <c r="R69" s="18">
        <f>COUNTIF($B$5:$B$190,B69)</f>
        <v/>
      </c>
    </row>
    <row r="70">
      <c r="A70" s="14" t="inlineStr">
        <is>
          <t>M04</t>
        </is>
      </c>
      <c r="B70" s="14" t="inlineStr">
        <is>
          <t>TR-M04-109</t>
        </is>
      </c>
      <c r="C70" s="14" t="inlineStr">
        <is>
          <t>FLOW-M04-019 · Ruta 2 · Plan</t>
        </is>
      </c>
      <c r="D70" s="14" t="inlineStr">
        <is>
          <t>Figma usa “capacidad de ahorro comprometida/que podrías liberar”</t>
        </is>
      </c>
      <c r="E70" s="14" t="inlineStr">
        <is>
          <t>RD-02 Plan | Copy capacidad</t>
        </is>
      </c>
      <c r="F70" s="14" t="inlineStr">
        <is>
          <t>La obligación documental exige semántica de capacidad recuperable/liberable por deuda, separada de ahorro general M05.</t>
        </is>
      </c>
      <c r="G70" s="6" t="inlineStr">
        <is>
          <t>M04</t>
        </is>
      </c>
      <c r="H70" s="19" t="inlineStr">
        <is>
          <t>F1 · QA funcional local</t>
        </is>
      </c>
      <c r="I70" s="16" t="inlineStr">
        <is>
          <t>Sí</t>
        </is>
      </c>
      <c r="J70" s="16" t="inlineStr">
        <is>
          <t>No requerido para PASS primario</t>
        </is>
      </c>
      <c r="K70" s="16" t="inlineStr">
        <is>
          <t>No para PASS primario</t>
        </is>
      </c>
      <c r="L70" s="16" t="inlineStr">
        <is>
          <t>Sí · F4</t>
        </is>
      </c>
      <c r="M70" s="16" t="inlineStr">
        <is>
          <t>Sí · F5 journey crítico</t>
        </is>
      </c>
      <c r="N70" s="17" t="inlineStr">
        <is>
          <t>No comparable 1:1 · Miguel usa M4-V; vigente usa TR-M04</t>
        </is>
      </c>
      <c r="O70" s="4" t="inlineStr">
        <is>
          <t>CROSSWALK</t>
        </is>
      </c>
      <c r="P70" s="16" t="inlineStr">
        <is>
          <t>El resultado primario se determina en M04 con sus estados/reglas; una salida downstream no se trata como dependencia de entrada.</t>
        </is>
      </c>
      <c r="Q70" s="14" t="inlineStr">
        <is>
          <t>Walvy_M04_Matriz_Trazabilidad_Cliente_v1.3.xlsx · 01_Matriz_Trazabilidad · TR-M04-109</t>
        </is>
      </c>
      <c r="R70" s="18">
        <f>COUNTIF($B$5:$B$190,B70)</f>
        <v/>
      </c>
    </row>
    <row r="71">
      <c r="A71" s="14" t="inlineStr">
        <is>
          <t>M04</t>
        </is>
      </c>
      <c r="B71" s="14" t="inlineStr">
        <is>
          <t>TR-M04-110</t>
        </is>
      </c>
      <c r="C71" s="14" t="inlineStr">
        <is>
          <t>FLOW-M04-020 · Ruta 2 · Simulación</t>
        </is>
      </c>
      <c r="D71" s="14" t="inlineStr">
        <is>
          <t>Ingreso disponible para colchón</t>
        </is>
      </c>
      <c r="E71" s="14" t="inlineStr">
        <is>
          <t>RD-02 Simulación | Calcular</t>
        </is>
      </c>
      <c r="F71" s="14" t="inlineStr">
        <is>
          <t>No usar max(piso, ingreso×5%) como política vigente. Preservar únicamente el principio de protección prudencial antes de afirmar sostenibilidad.</t>
        </is>
      </c>
      <c r="G71" s="6" t="inlineStr">
        <is>
          <t>P4-CNT-022 · M04</t>
        </is>
      </c>
      <c r="H71" s="20" t="inlineStr">
        <is>
          <t>F2 · Fixture cross-contract</t>
        </is>
      </c>
      <c r="I71" s="16" t="inlineStr">
        <is>
          <t>No como PASS completo</t>
        </is>
      </c>
      <c r="J71" s="16" t="inlineStr">
        <is>
          <t>Sí · fixture/payload canónico</t>
        </is>
      </c>
      <c r="K71" s="16" t="inlineStr">
        <is>
          <t>No para PASS primario</t>
        </is>
      </c>
      <c r="L71" s="16" t="inlineStr">
        <is>
          <t>Sí · F4</t>
        </is>
      </c>
      <c r="M71" s="16" t="inlineStr">
        <is>
          <t>Sí · F5 journey crítico</t>
        </is>
      </c>
      <c r="N71" s="17" t="inlineStr">
        <is>
          <t>No comparable 1:1 · Miguel usa M4-V; vigente usa TR-M04</t>
        </is>
      </c>
      <c r="O71" s="4" t="inlineStr">
        <is>
          <t>CROSSWALK</t>
        </is>
      </c>
      <c r="P71" s="16" t="inlineStr">
        <is>
          <t>El resultado CONSUME un contrato upstream; el contrato está cerrado y admite fixture/oráculo reproducible antes del E2E real.</t>
        </is>
      </c>
      <c r="Q71" s="14" t="inlineStr">
        <is>
          <t>Walvy_M04_Matriz_Trazabilidad_Cliente_v1.3.xlsx · 01_Matriz_Trazabilidad · TR-M04-110</t>
        </is>
      </c>
      <c r="R71" s="18">
        <f>COUNTIF($B$5:$B$190,B71)</f>
        <v/>
      </c>
    </row>
    <row r="72">
      <c r="A72" s="14" t="inlineStr">
        <is>
          <t>M04</t>
        </is>
      </c>
      <c r="B72" s="14" t="inlineStr">
        <is>
          <t>TR-M04-111</t>
        </is>
      </c>
      <c r="C72" s="14" t="inlineStr">
        <is>
          <t>FLOW-M04-020 · Ruta 2 · Simulación</t>
        </is>
      </c>
      <c r="D72" s="14" t="inlineStr">
        <is>
          <t>Ingreso/gastos/pagos obligatorios disponibles</t>
        </is>
      </c>
      <c r="E72" s="14" t="inlineStr">
        <is>
          <t>RD-02 Simulación | Calcular</t>
        </is>
      </c>
      <c r="F72" s="14" t="inlineStr">
        <is>
          <t>Consumir headroom/capacidad residual canónica producida upstream; M04 no recalcula un presupuesto paralelo.</t>
        </is>
      </c>
      <c r="G72" s="6" t="inlineStr">
        <is>
          <t>P4-CNT-004 · M04 | M05/M06 inputs</t>
        </is>
      </c>
      <c r="H72" s="20" t="inlineStr">
        <is>
          <t>F2 · Fixture cross-contract</t>
        </is>
      </c>
      <c r="I72" s="16" t="inlineStr">
        <is>
          <t>No como PASS completo</t>
        </is>
      </c>
      <c r="J72" s="16" t="inlineStr">
        <is>
          <t>Sí · fixture/payload canónico</t>
        </is>
      </c>
      <c r="K72" s="16" t="inlineStr">
        <is>
          <t>No para PASS primario</t>
        </is>
      </c>
      <c r="L72" s="16" t="inlineStr">
        <is>
          <t>Sí · F4</t>
        </is>
      </c>
      <c r="M72" s="16" t="inlineStr">
        <is>
          <t>Sí · F5 journey crítico</t>
        </is>
      </c>
      <c r="N72" s="17" t="inlineStr">
        <is>
          <t>No comparable 1:1 · Miguel usa M4-V; vigente usa TR-M04</t>
        </is>
      </c>
      <c r="O72" s="4" t="inlineStr">
        <is>
          <t>CROSSWALK</t>
        </is>
      </c>
      <c r="P72" s="16" t="inlineStr">
        <is>
          <t>El resultado CONSUME un contrato upstream; el contrato está cerrado y admite fixture/oráculo reproducible antes del E2E real.</t>
        </is>
      </c>
      <c r="Q72" s="14" t="inlineStr">
        <is>
          <t>Walvy_M04_Matriz_Trazabilidad_Cliente_v1.3.xlsx · 01_Matriz_Trazabilidad · TR-M04-111</t>
        </is>
      </c>
      <c r="R72" s="18">
        <f>COUNTIF($B$5:$B$190,B72)</f>
        <v/>
      </c>
    </row>
    <row r="73">
      <c r="A73" s="14" t="inlineStr">
        <is>
          <t>M04</t>
        </is>
      </c>
      <c r="B73" s="14" t="inlineStr">
        <is>
          <t>TR-M04-112</t>
        </is>
      </c>
      <c r="C73" s="14" t="inlineStr">
        <is>
          <t>FLOW-M04-020 · Ruta 2 · Simulación</t>
        </is>
      </c>
      <c r="D73" s="14" t="inlineStr">
        <is>
          <t>Headroom válido y protección prudencial suficientemente evaluable</t>
        </is>
      </c>
      <c r="E73" s="14" t="inlineStr">
        <is>
          <t>RD-02 Simulación | Calcular</t>
        </is>
      </c>
      <c r="F73" s="14" t="inlineStr">
        <is>
          <t>Calcular o afirmar capacidad adicional sostenible solo bajo una política prudencial aprobada y con inputs suficientes; no usar la resta anterior espacio-colchón.</t>
        </is>
      </c>
      <c r="G73" s="6" t="inlineStr">
        <is>
          <t>P4-CNT-022 · M04</t>
        </is>
      </c>
      <c r="H73" s="20" t="inlineStr">
        <is>
          <t>F2 · Fixture cross-contract</t>
        </is>
      </c>
      <c r="I73" s="16" t="inlineStr">
        <is>
          <t>No como PASS completo</t>
        </is>
      </c>
      <c r="J73" s="16" t="inlineStr">
        <is>
          <t>Sí · fixture/payload canónico</t>
        </is>
      </c>
      <c r="K73" s="16" t="inlineStr">
        <is>
          <t>No para PASS primario</t>
        </is>
      </c>
      <c r="L73" s="16" t="inlineStr">
        <is>
          <t>Sí · F4</t>
        </is>
      </c>
      <c r="M73" s="16" t="inlineStr">
        <is>
          <t>Sí · F5 journey crítico</t>
        </is>
      </c>
      <c r="N73" s="17" t="inlineStr">
        <is>
          <t>No comparable 1:1 · Miguel usa M4-V; vigente usa TR-M04</t>
        </is>
      </c>
      <c r="O73" s="4" t="inlineStr">
        <is>
          <t>CROSSWALK</t>
        </is>
      </c>
      <c r="P73" s="16" t="inlineStr">
        <is>
          <t>El resultado CONSUME un contrato upstream; el contrato está cerrado y admite fixture/oráculo reproducible antes del E2E real.</t>
        </is>
      </c>
      <c r="Q73" s="14" t="inlineStr">
        <is>
          <t>Walvy_M04_Matriz_Trazabilidad_Cliente_v1.3.xlsx · 01_Matriz_Trazabilidad · TR-M04-112</t>
        </is>
      </c>
      <c r="R73" s="18">
        <f>COUNTIF($B$5:$B$190,B73)</f>
        <v/>
      </c>
    </row>
    <row r="74">
      <c r="A74" s="14" t="inlineStr">
        <is>
          <t>M04</t>
        </is>
      </c>
      <c r="B74" s="14" t="inlineStr">
        <is>
          <t>TR-M04-113</t>
        </is>
      </c>
      <c r="C74" s="14" t="inlineStr">
        <is>
          <t>FLOW-M04-020 · Ruta 2 · Simulación</t>
        </is>
      </c>
      <c r="D74" s="14" t="inlineStr">
        <is>
          <t>Usuario ingresa aporte manual hipotético</t>
        </is>
      </c>
      <c r="E74" s="14" t="inlineStr">
        <is>
          <t>RD-02 Simulación | Ingresar monto</t>
        </is>
      </c>
      <c r="F74" s="14" t="inlineStr">
        <is>
          <t>Permitir simulación de aporte manual como escenario hipotético aunque la sostenibilidad prudencial no esté demostrada.</t>
        </is>
      </c>
      <c r="G74" s="6" t="inlineStr">
        <is>
          <t>M04</t>
        </is>
      </c>
      <c r="H74" s="19" t="inlineStr">
        <is>
          <t>F1 · QA funcional local</t>
        </is>
      </c>
      <c r="I74" s="16" t="inlineStr">
        <is>
          <t>Sí</t>
        </is>
      </c>
      <c r="J74" s="16" t="inlineStr">
        <is>
          <t>No requerido para PASS primario</t>
        </is>
      </c>
      <c r="K74" s="16" t="inlineStr">
        <is>
          <t>No para PASS primario</t>
        </is>
      </c>
      <c r="L74" s="16" t="inlineStr">
        <is>
          <t>No obligatorio fuera de regresión</t>
        </is>
      </c>
      <c r="M74" s="16" t="inlineStr">
        <is>
          <t>Sí · F5 journey crítico</t>
        </is>
      </c>
      <c r="N74" s="17" t="inlineStr">
        <is>
          <t>No comparable 1:1 · Miguel usa M4-V; vigente usa TR-M04</t>
        </is>
      </c>
      <c r="O74" s="4" t="inlineStr">
        <is>
          <t>CROSSWALK</t>
        </is>
      </c>
      <c r="P74" s="16" t="inlineStr">
        <is>
          <t>El resultado primario se determina en M04 con sus estados/reglas; una salida downstream no se trata como dependencia de entrada.</t>
        </is>
      </c>
      <c r="Q74" s="14" t="inlineStr">
        <is>
          <t>Walvy_M04_Matriz_Trazabilidad_Cliente_v1.3.xlsx · 01_Matriz_Trazabilidad · TR-M04-113</t>
        </is>
      </c>
      <c r="R74" s="18">
        <f>COUNTIF($B$5:$B$190,B74)</f>
        <v/>
      </c>
    </row>
    <row r="75">
      <c r="A75" s="14" t="inlineStr">
        <is>
          <t>M04</t>
        </is>
      </c>
      <c r="B75" s="14" t="inlineStr">
        <is>
          <t>TR-M04-114</t>
        </is>
      </c>
      <c r="C75" s="14" t="inlineStr">
        <is>
          <t>FLOW-M04-020 · Ruta 2 · Simulación</t>
        </is>
      </c>
      <c r="D75" s="14" t="inlineStr">
        <is>
          <t>Protección prudencial no evaluable o capacidad sostenible no demostrable</t>
        </is>
      </c>
      <c r="E75" s="14" t="inlineStr">
        <is>
          <t>RD-02 Simulación | Ver simulación</t>
        </is>
      </c>
      <c r="F75" s="14" t="inlineStr">
        <is>
          <t>Mostrar simulación referencial o abstenerse de recomendar un máximo sostenible; no convertir desconocido en 0.</t>
        </is>
      </c>
      <c r="G75" s="6" t="inlineStr">
        <is>
          <t>P4-CNT-022 · M04</t>
        </is>
      </c>
      <c r="H75" s="20" t="inlineStr">
        <is>
          <t>F2 · Fixture cross-contract</t>
        </is>
      </c>
      <c r="I75" s="16" t="inlineStr">
        <is>
          <t>No como PASS completo</t>
        </is>
      </c>
      <c r="J75" s="16" t="inlineStr">
        <is>
          <t>Sí · fixture/payload canónico</t>
        </is>
      </c>
      <c r="K75" s="16" t="inlineStr">
        <is>
          <t>No para PASS primario</t>
        </is>
      </c>
      <c r="L75" s="16" t="inlineStr">
        <is>
          <t>Sí · F4</t>
        </is>
      </c>
      <c r="M75" s="16" t="inlineStr">
        <is>
          <t>Sí · F5 journey crítico</t>
        </is>
      </c>
      <c r="N75" s="17" t="inlineStr">
        <is>
          <t>No comparable 1:1 · Miguel usa M4-V; vigente usa TR-M04</t>
        </is>
      </c>
      <c r="O75" s="4" t="inlineStr">
        <is>
          <t>CROSSWALK</t>
        </is>
      </c>
      <c r="P75" s="16" t="inlineStr">
        <is>
          <t>El resultado CONSUME un contrato upstream; el contrato está cerrado y admite fixture/oráculo reproducible antes del E2E real.</t>
        </is>
      </c>
      <c r="Q75" s="14" t="inlineStr">
        <is>
          <t>Walvy_M04_Matriz_Trazabilidad_Cliente_v1.3.xlsx · 01_Matriz_Trazabilidad · TR-M04-114</t>
        </is>
      </c>
      <c r="R75" s="18">
        <f>COUNTIF($B$5:$B$190,B75)</f>
        <v/>
      </c>
    </row>
    <row r="76">
      <c r="A76" s="14" t="inlineStr">
        <is>
          <t>M04</t>
        </is>
      </c>
      <c r="B76" s="14" t="inlineStr">
        <is>
          <t>TR-M04-115</t>
        </is>
      </c>
      <c r="C76" s="14" t="inlineStr">
        <is>
          <t>FLOW-M04-020 · Ruta 2 · Simulación</t>
        </is>
      </c>
      <c r="D76" s="14" t="inlineStr">
        <is>
          <t>Cambian saldos, mínimos, compromisos, headroom, cierre, ingreso, gasto relevante o versión de regla</t>
        </is>
      </c>
      <c r="E76" s="14" t="inlineStr">
        <is>
          <t>RD-02 Simulación | Recalcular</t>
        </is>
      </c>
      <c r="F76" s="14" t="inlineStr">
        <is>
          <t>Invalidar/recalcular la proyección con snapshot, versión y supuestos; no reutilizar cálculo obsoleto.</t>
        </is>
      </c>
      <c r="G76" s="6" t="inlineStr">
        <is>
          <t>P4-CNT-023 · M04 | Inputs externos</t>
        </is>
      </c>
      <c r="H76" s="20" t="inlineStr">
        <is>
          <t>F2 · Fixture cross-contract</t>
        </is>
      </c>
      <c r="I76" s="16" t="inlineStr">
        <is>
          <t>No como PASS completo</t>
        </is>
      </c>
      <c r="J76" s="16" t="inlineStr">
        <is>
          <t>Sí · fixture/payload canónico</t>
        </is>
      </c>
      <c r="K76" s="16" t="inlineStr">
        <is>
          <t>No para PASS primario</t>
        </is>
      </c>
      <c r="L76" s="16" t="inlineStr">
        <is>
          <t>Sí · F4</t>
        </is>
      </c>
      <c r="M76" s="16" t="inlineStr">
        <is>
          <t>Sí · F5 journey crítico</t>
        </is>
      </c>
      <c r="N76" s="17" t="inlineStr">
        <is>
          <t>No comparable 1:1 · Miguel usa M4-V; vigente usa TR-M04</t>
        </is>
      </c>
      <c r="O76" s="4" t="inlineStr">
        <is>
          <t>CROSSWALK</t>
        </is>
      </c>
      <c r="P76" s="16" t="inlineStr">
        <is>
          <t>El resultado CONSUME un contrato upstream; el contrato está cerrado y admite fixture/oráculo reproducible antes del E2E real.</t>
        </is>
      </c>
      <c r="Q76" s="14" t="inlineStr">
        <is>
          <t>Walvy_M04_Matriz_Trazabilidad_Cliente_v1.3.xlsx · 01_Matriz_Trazabilidad · TR-M04-115</t>
        </is>
      </c>
      <c r="R76" s="18">
        <f>COUNTIF($B$5:$B$190,B76)</f>
        <v/>
      </c>
    </row>
    <row r="77">
      <c r="A77" s="14" t="inlineStr">
        <is>
          <t>M04</t>
        </is>
      </c>
      <c r="B77" s="14" t="inlineStr">
        <is>
          <t>TR-M04-116</t>
        </is>
      </c>
      <c r="C77" s="14" t="inlineStr">
        <is>
          <t>FLOW-M04-021 · Ruta 2 · Simulación aceptada</t>
        </is>
      </c>
      <c r="D77" s="14" t="inlineStr">
        <is>
          <t>Usuario acepta escenario</t>
        </is>
      </c>
      <c r="E77" s="14" t="inlineStr">
        <is>
          <t>Simulación | Aceptar simulación</t>
        </is>
      </c>
      <c r="F77" s="14" t="inlineStr">
        <is>
          <t>Actualizar estimación/escenario seleccionado del plan; no ejecutar pago.</t>
        </is>
      </c>
      <c r="G77" s="6" t="inlineStr">
        <is>
          <t>M04</t>
        </is>
      </c>
      <c r="H77" s="19" t="inlineStr">
        <is>
          <t>F1 · QA funcional local</t>
        </is>
      </c>
      <c r="I77" s="16" t="inlineStr">
        <is>
          <t>Sí</t>
        </is>
      </c>
      <c r="J77" s="16" t="inlineStr">
        <is>
          <t>No requerido para PASS primario</t>
        </is>
      </c>
      <c r="K77" s="16" t="inlineStr">
        <is>
          <t>No para PASS primario</t>
        </is>
      </c>
      <c r="L77" s="16" t="inlineStr">
        <is>
          <t>No obligatorio fuera de regresión</t>
        </is>
      </c>
      <c r="M77" s="16" t="inlineStr">
        <is>
          <t>Sí · F5 journey crítico</t>
        </is>
      </c>
      <c r="N77" s="17" t="inlineStr">
        <is>
          <t>No comparable 1:1 · Miguel usa M4-V; vigente usa TR-M04</t>
        </is>
      </c>
      <c r="O77" s="4" t="inlineStr">
        <is>
          <t>CROSSWALK</t>
        </is>
      </c>
      <c r="P77" s="16" t="inlineStr">
        <is>
          <t>El resultado primario se determina en M04 con sus estados/reglas; una salida downstream no se trata como dependencia de entrada.</t>
        </is>
      </c>
      <c r="Q77" s="14" t="inlineStr">
        <is>
          <t>Walvy_M04_Matriz_Trazabilidad_Cliente_v1.3.xlsx · 01_Matriz_Trazabilidad · TR-M04-116</t>
        </is>
      </c>
      <c r="R77" s="18">
        <f>COUNTIF($B$5:$B$190,B77)</f>
        <v/>
      </c>
    </row>
    <row r="78">
      <c r="A78" s="14" t="inlineStr">
        <is>
          <t>M04</t>
        </is>
      </c>
      <c r="B78" s="14" t="inlineStr">
        <is>
          <t>TR-M04-117</t>
        </is>
      </c>
      <c r="C78" s="14" t="inlineStr">
        <is>
          <t>FLOW-M04-021 · Ruta 2 · Simulación aceptada</t>
        </is>
      </c>
      <c r="D78" s="14" t="inlineStr">
        <is>
          <t>Escenario aceptado</t>
        </is>
      </c>
      <c r="E78" s="14" t="inlineStr">
        <is>
          <t>Simulación | Aceptar simulación</t>
        </is>
      </c>
      <c r="F78" s="14" t="inlineStr">
        <is>
          <t>Mantener naturaleza estimada; visualizar orden/duración recalculados. Aceptar la simulación no activa la Ruta.</t>
        </is>
      </c>
      <c r="G78" s="6" t="inlineStr">
        <is>
          <t>M04</t>
        </is>
      </c>
      <c r="H78" s="19" t="inlineStr">
        <is>
          <t>F1 · QA funcional local</t>
        </is>
      </c>
      <c r="I78" s="16" t="inlineStr">
        <is>
          <t>Sí</t>
        </is>
      </c>
      <c r="J78" s="16" t="inlineStr">
        <is>
          <t>No requerido para PASS primario</t>
        </is>
      </c>
      <c r="K78" s="16" t="inlineStr">
        <is>
          <t>No para PASS primario</t>
        </is>
      </c>
      <c r="L78" s="16" t="inlineStr">
        <is>
          <t>No obligatorio fuera de regresión</t>
        </is>
      </c>
      <c r="M78" s="16" t="inlineStr">
        <is>
          <t>Sí · F5 journey crítico</t>
        </is>
      </c>
      <c r="N78" s="17" t="inlineStr">
        <is>
          <t>No comparable 1:1 · Miguel usa M4-V; vigente usa TR-M04</t>
        </is>
      </c>
      <c r="O78" s="4" t="inlineStr">
        <is>
          <t>CROSSWALK</t>
        </is>
      </c>
      <c r="P78" s="16" t="inlineStr">
        <is>
          <t>El resultado primario se determina en M04 con sus estados/reglas; una salida downstream no se trata como dependencia de entrada.</t>
        </is>
      </c>
      <c r="Q78" s="14" t="inlineStr">
        <is>
          <t>Walvy_M04_Matriz_Trazabilidad_Cliente_v1.3.xlsx · 01_Matriz_Trazabilidad · TR-M04-117</t>
        </is>
      </c>
      <c r="R78" s="18">
        <f>COUNTIF($B$5:$B$190,B78)</f>
        <v/>
      </c>
    </row>
    <row r="79">
      <c r="A79" s="14" t="inlineStr">
        <is>
          <t>M04</t>
        </is>
      </c>
      <c r="B79" s="14" t="inlineStr">
        <is>
          <t>TR-M04-118</t>
        </is>
      </c>
      <c r="C79" s="14" t="inlineStr">
        <is>
          <t>FLOW-M04-022 · Ruta 2→3</t>
        </is>
      </c>
      <c r="D79" s="14" t="inlineStr">
        <is>
          <t>Ruta elegible/disponible y usuario ejecuta el primer “Seguir plan” válido desde RD-02</t>
        </is>
      </c>
      <c r="E79" s="14" t="inlineStr">
        <is>
          <t>RD-02 Plan | Seguir plan</t>
        </is>
      </c>
      <c r="F79" s="14" t="inlineStr">
        <is>
          <t>Persistir la transición route_eligibility_status=elegible→activa y functional_debt_state=ruta_activa, junto con el momento de inicio. El evento es idempotente: usos posteriores de “Seguir plan” representan continuidad, no nuevas activaciones.</t>
        </is>
      </c>
      <c r="G79" s="6" t="inlineStr">
        <is>
          <t>M04</t>
        </is>
      </c>
      <c r="H79" s="19" t="inlineStr">
        <is>
          <t>F1 · QA funcional local</t>
        </is>
      </c>
      <c r="I79" s="16" t="inlineStr">
        <is>
          <t>Sí</t>
        </is>
      </c>
      <c r="J79" s="16" t="inlineStr">
        <is>
          <t>No requerido para PASS primario</t>
        </is>
      </c>
      <c r="K79" s="16" t="inlineStr">
        <is>
          <t>No para PASS primario</t>
        </is>
      </c>
      <c r="L79" s="16" t="inlineStr">
        <is>
          <t>No obligatorio fuera de regresión</t>
        </is>
      </c>
      <c r="M79" s="16" t="inlineStr">
        <is>
          <t>Sí · F5 journey crítico</t>
        </is>
      </c>
      <c r="N79" s="17" t="inlineStr">
        <is>
          <t>No comparable 1:1 · Miguel usa M4-V; vigente usa TR-M04</t>
        </is>
      </c>
      <c r="O79" s="4" t="inlineStr">
        <is>
          <t>CROSSWALK</t>
        </is>
      </c>
      <c r="P79" s="16" t="inlineStr">
        <is>
          <t>El resultado primario se determina en M04 con sus estados/reglas; una salida downstream no se trata como dependencia de entrada.</t>
        </is>
      </c>
      <c r="Q79" s="14" t="inlineStr">
        <is>
          <t>Walvy_M04_Matriz_Trazabilidad_Cliente_v1.3.xlsx · 01_Matriz_Trazabilidad · TR-M04-118</t>
        </is>
      </c>
      <c r="R79" s="18">
        <f>COUNTIF($B$5:$B$190,B79)</f>
        <v/>
      </c>
    </row>
    <row r="80">
      <c r="A80" s="14" t="inlineStr">
        <is>
          <t>M04</t>
        </is>
      </c>
      <c r="B80" s="14" t="inlineStr">
        <is>
          <t>TR-M04-119</t>
        </is>
      </c>
      <c r="C80" s="14" t="inlineStr">
        <is>
          <t>FLOW-M04-022 · Ruta 2→3</t>
        </is>
      </c>
      <c r="D80" s="14" t="inlineStr">
        <is>
          <t>Existe Ruta activa según estado canónico</t>
        </is>
      </c>
      <c r="E80" s="14" t="inlineStr">
        <is>
          <t>RD-03 Avance | Mostrar avance</t>
        </is>
      </c>
      <c r="F80" s="14" t="inlineStr">
        <is>
          <t>Mostrar avance con saldo, compromiso/pagos consumidos, progreso estimado y próxima acción; conservar el estado activo y el momento inicial en continuidad/retoma sin emitir una nueva activación.</t>
        </is>
      </c>
      <c r="G80" s="6" t="inlineStr">
        <is>
          <t>M04</t>
        </is>
      </c>
      <c r="H80" s="20" t="inlineStr">
        <is>
          <t>F2 · Fixture cross-contract</t>
        </is>
      </c>
      <c r="I80" s="16" t="inlineStr">
        <is>
          <t>No como PASS completo</t>
        </is>
      </c>
      <c r="J80" s="16" t="inlineStr">
        <is>
          <t>Sí · fixture/payload canónico</t>
        </is>
      </c>
      <c r="K80" s="16" t="inlineStr">
        <is>
          <t>No para PASS primario</t>
        </is>
      </c>
      <c r="L80" s="16" t="inlineStr">
        <is>
          <t>Sí · F4</t>
        </is>
      </c>
      <c r="M80" s="16" t="inlineStr">
        <is>
          <t>Sí · F5 journey crítico</t>
        </is>
      </c>
      <c r="N80" s="17" t="inlineStr">
        <is>
          <t>No comparable 1:1 · Miguel usa M4-V; vigente usa TR-M04</t>
        </is>
      </c>
      <c r="O80" s="4" t="inlineStr">
        <is>
          <t>CROSSWALK</t>
        </is>
      </c>
      <c r="P80" s="16" t="inlineStr">
        <is>
          <t>El resultado CONSUME un contrato upstream; el contrato está cerrado y admite fixture/oráculo reproducible antes del E2E real.</t>
        </is>
      </c>
      <c r="Q80" s="14" t="inlineStr">
        <is>
          <t>Walvy_M04_Matriz_Trazabilidad_Cliente_v1.3.xlsx · 01_Matriz_Trazabilidad · TR-M04-119</t>
        </is>
      </c>
      <c r="R80" s="18">
        <f>COUNTIF($B$5:$B$190,B80)</f>
        <v/>
      </c>
    </row>
    <row r="81">
      <c r="A81" s="14" t="inlineStr">
        <is>
          <t>M04</t>
        </is>
      </c>
      <c r="B81" s="14" t="inlineStr">
        <is>
          <t>TR-M04-120</t>
        </is>
      </c>
      <c r="C81" s="14" t="inlineStr">
        <is>
          <t>FLOW-M04-022 · Ruta 2→3</t>
        </is>
      </c>
      <c r="D81" s="14" t="inlineStr">
        <is>
          <t>Usuario consulta pagos recientes/historial</t>
        </is>
      </c>
      <c r="E81" s="14" t="inlineStr">
        <is>
          <t>RD-03 Avance | Ver historial</t>
        </is>
      </c>
      <c r="F81" s="14" t="inlineStr">
        <is>
          <t>Derivar a M06/Pagos; M04 no crea historial operativo paralelo.</t>
        </is>
      </c>
      <c r="G81" s="6" t="inlineStr">
        <is>
          <t>M06 | M06/Pagos</t>
        </is>
      </c>
      <c r="H81" s="19" t="inlineStr">
        <is>
          <t>F1 · QA funcional local</t>
        </is>
      </c>
      <c r="I81" s="16" t="inlineStr">
        <is>
          <t>Sí</t>
        </is>
      </c>
      <c r="J81" s="16" t="inlineStr">
        <is>
          <t>No requerido para PASS primario</t>
        </is>
      </c>
      <c r="K81" s="16" t="inlineStr">
        <is>
          <t>No para PASS primario</t>
        </is>
      </c>
      <c r="L81" s="16" t="inlineStr">
        <is>
          <t>Sí · F4</t>
        </is>
      </c>
      <c r="M81" s="16" t="inlineStr">
        <is>
          <t>Sí · F5 journey crítico</t>
        </is>
      </c>
      <c r="N81" s="17" t="inlineStr">
        <is>
          <t>No comparable 1:1 · Miguel usa M4-V; vigente usa TR-M04</t>
        </is>
      </c>
      <c r="O81" s="4" t="inlineStr">
        <is>
          <t>CROSSWALK</t>
        </is>
      </c>
      <c r="P81" s="16" t="inlineStr">
        <is>
          <t>El resultado primario se determina en M04 con sus estados/reglas; una salida downstream no se trata como dependencia de entrada.</t>
        </is>
      </c>
      <c r="Q81" s="14" t="inlineStr">
        <is>
          <t>Walvy_M04_Matriz_Trazabilidad_Cliente_v1.3.xlsx · 01_Matriz_Trazabilidad · TR-M04-120</t>
        </is>
      </c>
      <c r="R81" s="18">
        <f>COUNTIF($B$5:$B$190,B81)</f>
        <v/>
      </c>
    </row>
    <row r="82">
      <c r="A82" s="14" t="inlineStr">
        <is>
          <t>M04</t>
        </is>
      </c>
      <c r="B82" s="14" t="inlineStr">
        <is>
          <t>TR-M04-121</t>
        </is>
      </c>
      <c r="C82" s="14" t="inlineStr">
        <is>
          <t>FLOW-M04-022 · Ruta 2→3</t>
        </is>
      </c>
      <c r="D82" s="14" t="inlineStr">
        <is>
          <t>Usuario continúa a lectura estructural</t>
        </is>
      </c>
      <c r="E82" s="14" t="inlineStr">
        <is>
          <t>RD-03 Avance | Ir a Perfil Financiero</t>
        </is>
      </c>
      <c r="F82" s="14" t="inlineStr">
        <is>
          <t>Navegar a Perfil conservando estado canónico; Perfil no embebe Ruta completa.</t>
        </is>
      </c>
      <c r="G82" s="6" t="inlineStr">
        <is>
          <t>M04</t>
        </is>
      </c>
      <c r="H82" s="19" t="inlineStr">
        <is>
          <t>F1 · QA funcional local</t>
        </is>
      </c>
      <c r="I82" s="16" t="inlineStr">
        <is>
          <t>Sí</t>
        </is>
      </c>
      <c r="J82" s="16" t="inlineStr">
        <is>
          <t>No requerido para PASS primario</t>
        </is>
      </c>
      <c r="K82" s="16" t="inlineStr">
        <is>
          <t>No para PASS primario</t>
        </is>
      </c>
      <c r="L82" s="16" t="inlineStr">
        <is>
          <t>Sí · F3</t>
        </is>
      </c>
      <c r="M82" s="16" t="inlineStr">
        <is>
          <t>Sí · F5 journey crítico</t>
        </is>
      </c>
      <c r="N82" s="17" t="inlineStr">
        <is>
          <t>No comparable 1:1 · Miguel usa M4-V; vigente usa TR-M04</t>
        </is>
      </c>
      <c r="O82" s="4" t="inlineStr">
        <is>
          <t>CROSSWALK</t>
        </is>
      </c>
      <c r="P82" s="16" t="inlineStr">
        <is>
          <t>El resultado primario se determina en M04 con sus estados/reglas; una salida downstream no se trata como dependencia de entrada.</t>
        </is>
      </c>
      <c r="Q82" s="14" t="inlineStr">
        <is>
          <t>Walvy_M04_Matriz_Trazabilidad_Cliente_v1.3.xlsx · 01_Matriz_Trazabilidad · TR-M04-121</t>
        </is>
      </c>
      <c r="R82" s="18">
        <f>COUNTIF($B$5:$B$190,B82)</f>
        <v/>
      </c>
    </row>
    <row r="83">
      <c r="A83" s="14" t="inlineStr">
        <is>
          <t>M04</t>
        </is>
      </c>
      <c r="B83" s="14" t="inlineStr">
        <is>
          <t>TR-M04-122</t>
        </is>
      </c>
      <c r="C83" s="14" t="inlineStr">
        <is>
          <t>FLOW-M04-022 · Ruta 2→3</t>
        </is>
      </c>
      <c r="D83" s="14" t="inlineStr">
        <is>
          <t>Cierre/avance recalculado produce una next_suggested_debt nueva y vigente.</t>
        </is>
      </c>
      <c r="E83" s="14" t="inlineStr">
        <is>
          <t>RD-03 Avance | Mostrar siguiente deuda</t>
        </is>
      </c>
      <c r="F83" s="14" t="inlineStr">
        <is>
          <t>F7 recomienda revisar la siguiente deuda; capacidad liberada puede enriquecer el payload si es válida; no cambiar Foco del Mes.</t>
        </is>
      </c>
      <c r="G83" s="6" t="inlineStr">
        <is>
          <t>M04</t>
        </is>
      </c>
      <c r="H83" s="19" t="inlineStr">
        <is>
          <t>F1 · QA funcional local</t>
        </is>
      </c>
      <c r="I83" s="16" t="inlineStr">
        <is>
          <t>Sí</t>
        </is>
      </c>
      <c r="J83" s="16" t="inlineStr">
        <is>
          <t>No requerido para PASS primario</t>
        </is>
      </c>
      <c r="K83" s="16" t="inlineStr">
        <is>
          <t>No para PASS primario</t>
        </is>
      </c>
      <c r="L83" s="16" t="inlineStr">
        <is>
          <t>Sí · F3</t>
        </is>
      </c>
      <c r="M83" s="16" t="inlineStr">
        <is>
          <t>Sí · F5 journey crítico</t>
        </is>
      </c>
      <c r="N83" s="17" t="inlineStr">
        <is>
          <t>No comparable 1:1 · Miguel usa M4-V; vigente usa TR-M04</t>
        </is>
      </c>
      <c r="O83" s="4" t="inlineStr">
        <is>
          <t>CROSSWALK</t>
        </is>
      </c>
      <c r="P83" s="16" t="inlineStr">
        <is>
          <t>El resultado primario se determina en M04 con sus estados/reglas; una salida downstream no se trata como dependencia de entrada.</t>
        </is>
      </c>
      <c r="Q83" s="14" t="inlineStr">
        <is>
          <t>Walvy_M04_Matriz_Trazabilidad_Cliente_v1.3.xlsx · 01_Matriz_Trazabilidad · TR-M04-122</t>
        </is>
      </c>
      <c r="R83" s="18">
        <f>COUNTIF($B$5:$B$190,B83)</f>
        <v/>
      </c>
    </row>
    <row r="84">
      <c r="A84" s="14" t="inlineStr">
        <is>
          <t>M04</t>
        </is>
      </c>
      <c r="B84" s="14" t="inlineStr">
        <is>
          <t>TR-M04-123</t>
        </is>
      </c>
      <c r="C84" s="14" t="inlineStr">
        <is>
          <t>FLOW-M04-022 · Ruta 2→3</t>
        </is>
      </c>
      <c r="D84" s="14" t="inlineStr">
        <is>
          <t>Figma muestra “Capacidad de ahorro a recuperar (estimado)”</t>
        </is>
      </c>
      <c r="E84" s="14" t="inlineStr">
        <is>
          <t>RD-03 Avance | Copy capacidad</t>
        </is>
      </c>
      <c r="F84" s="14" t="inlineStr">
        <is>
          <t>La obligación documental exige capacidad recuperable/liberable por deuda, no capacidad de ahorro general M05.</t>
        </is>
      </c>
      <c r="G84" s="6" t="inlineStr">
        <is>
          <t>M04</t>
        </is>
      </c>
      <c r="H84" s="19" t="inlineStr">
        <is>
          <t>F1 · QA funcional local</t>
        </is>
      </c>
      <c r="I84" s="16" t="inlineStr">
        <is>
          <t>Sí</t>
        </is>
      </c>
      <c r="J84" s="16" t="inlineStr">
        <is>
          <t>No requerido para PASS primario</t>
        </is>
      </c>
      <c r="K84" s="16" t="inlineStr">
        <is>
          <t>No para PASS primario</t>
        </is>
      </c>
      <c r="L84" s="16" t="inlineStr">
        <is>
          <t>Sí · F4</t>
        </is>
      </c>
      <c r="M84" s="16" t="inlineStr">
        <is>
          <t>Sí · F5 journey crítico</t>
        </is>
      </c>
      <c r="N84" s="17" t="inlineStr">
        <is>
          <t>No comparable 1:1 · Miguel usa M4-V; vigente usa TR-M04</t>
        </is>
      </c>
      <c r="O84" s="4" t="inlineStr">
        <is>
          <t>CROSSWALK</t>
        </is>
      </c>
      <c r="P84" s="16" t="inlineStr">
        <is>
          <t>El resultado primario se determina en M04 con sus estados/reglas; una salida downstream no se trata como dependencia de entrada.</t>
        </is>
      </c>
      <c r="Q84" s="14" t="inlineStr">
        <is>
          <t>Walvy_M04_Matriz_Trazabilidad_Cliente_v1.3.xlsx · 01_Matriz_Trazabilidad · TR-M04-123</t>
        </is>
      </c>
      <c r="R84" s="18">
        <f>COUNTIF($B$5:$B$190,B84)</f>
        <v/>
      </c>
    </row>
    <row r="85">
      <c r="A85" s="14" t="inlineStr">
        <is>
          <t>M04</t>
        </is>
      </c>
      <c r="B85" s="14" t="inlineStr">
        <is>
          <t>TR-M04-124</t>
        </is>
      </c>
      <c r="C85" s="14" t="inlineStr">
        <is>
          <t>FLOW-M04-022 · Ruta 2→3</t>
        </is>
      </c>
      <c r="D85" s="14" t="inlineStr">
        <is>
          <t>Figma muestra “Siguiente foco sugerido”</t>
        </is>
      </c>
      <c r="E85" s="14" t="inlineStr">
        <is>
          <t>RD-03 Avance | Copy siguiente foco</t>
        </is>
      </c>
      <c r="F85" s="14" t="inlineStr">
        <is>
          <t>La obligación funcional debe mantenerse como próxima deuda/próximo paso salvo regla formal de Foco.</t>
        </is>
      </c>
      <c r="G85" s="6" t="inlineStr">
        <is>
          <t>M04</t>
        </is>
      </c>
      <c r="H85" s="19" t="inlineStr">
        <is>
          <t>F1 · QA funcional local</t>
        </is>
      </c>
      <c r="I85" s="16" t="inlineStr">
        <is>
          <t>Sí</t>
        </is>
      </c>
      <c r="J85" s="16" t="inlineStr">
        <is>
          <t>No requerido para PASS primario</t>
        </is>
      </c>
      <c r="K85" s="16" t="inlineStr">
        <is>
          <t>No para PASS primario</t>
        </is>
      </c>
      <c r="L85" s="16" t="inlineStr">
        <is>
          <t>Sí · F3</t>
        </is>
      </c>
      <c r="M85" s="16" t="inlineStr">
        <is>
          <t>Sí · F5 journey crítico</t>
        </is>
      </c>
      <c r="N85" s="17" t="inlineStr">
        <is>
          <t>No comparable 1:1 · Miguel usa M4-V; vigente usa TR-M04</t>
        </is>
      </c>
      <c r="O85" s="4" t="inlineStr">
        <is>
          <t>CROSSWALK</t>
        </is>
      </c>
      <c r="P85" s="16" t="inlineStr">
        <is>
          <t>El resultado primario se determina en M04 con sus estados/reglas; una salida downstream no se trata como dependencia de entrada.</t>
        </is>
      </c>
      <c r="Q85" s="14" t="inlineStr">
        <is>
          <t>Walvy_M04_Matriz_Trazabilidad_Cliente_v1.3.xlsx · 01_Matriz_Trazabilidad · TR-M04-124</t>
        </is>
      </c>
      <c r="R85" s="18">
        <f>COUNTIF($B$5:$B$190,B85)</f>
        <v/>
      </c>
    </row>
    <row r="86">
      <c r="A86" s="14" t="inlineStr">
        <is>
          <t>M04</t>
        </is>
      </c>
      <c r="B86" s="14" t="inlineStr">
        <is>
          <t>TR-M04-125</t>
        </is>
      </c>
      <c r="C86" s="14" t="inlineStr">
        <is>
          <t>FLOW-M04-023 · Ruta 3 · Cierre</t>
        </is>
      </c>
      <c r="D86" s="14" t="inlineStr">
        <is>
          <t>possible_closure cambia false→true con closed=false.</t>
        </is>
      </c>
      <c r="E86" s="14" t="inlineStr">
        <is>
          <t>RD-03 Avance | Detectar posible cierre</t>
        </is>
      </c>
      <c r="F86" s="14" t="inlineStr">
        <is>
          <t>Hacer nacer F6 una sola vez por instancia; solicitar confirmación funcional. Persistencia true→true actualiza la misma situación, no crea otra.</t>
        </is>
      </c>
      <c r="G86" s="6" t="inlineStr">
        <is>
          <t>M04 | M06 pago</t>
        </is>
      </c>
      <c r="H86" s="20" t="inlineStr">
        <is>
          <t>F2 · Fixture cross-contract</t>
        </is>
      </c>
      <c r="I86" s="16" t="inlineStr">
        <is>
          <t>No como PASS completo</t>
        </is>
      </c>
      <c r="J86" s="16" t="inlineStr">
        <is>
          <t>Sí · fixture/payload canónico</t>
        </is>
      </c>
      <c r="K86" s="16" t="inlineStr">
        <is>
          <t>No para PASS primario</t>
        </is>
      </c>
      <c r="L86" s="16" t="inlineStr">
        <is>
          <t>Sí · F4</t>
        </is>
      </c>
      <c r="M86" s="16" t="inlineStr">
        <is>
          <t>Sí · F5 journey crítico</t>
        </is>
      </c>
      <c r="N86" s="17" t="inlineStr">
        <is>
          <t>No comparable 1:1 · Miguel usa M4-V; vigente usa TR-M04</t>
        </is>
      </c>
      <c r="O86" s="4" t="inlineStr">
        <is>
          <t>CROSSWALK</t>
        </is>
      </c>
      <c r="P86" s="16" t="inlineStr">
        <is>
          <t>El resultado CONSUME un contrato upstream; el contrato está cerrado y admite fixture/oráculo reproducible antes del E2E real.</t>
        </is>
      </c>
      <c r="Q86" s="14" t="inlineStr">
        <is>
          <t>Walvy_M04_Matriz_Trazabilidad_Cliente_v1.3.xlsx · 01_Matriz_Trazabilidad · TR-M04-125</t>
        </is>
      </c>
      <c r="R86" s="18">
        <f>COUNTIF($B$5:$B$190,B86)</f>
        <v/>
      </c>
    </row>
    <row r="87">
      <c r="A87" s="14" t="inlineStr">
        <is>
          <t>M04</t>
        </is>
      </c>
      <c r="B87" s="14" t="inlineStr">
        <is>
          <t>TR-M04-126</t>
        </is>
      </c>
      <c r="C87" s="14" t="inlineStr">
        <is>
          <t>FLOW-M04-023 · Ruta 3 · Cierre</t>
        </is>
      </c>
      <c r="D87" s="14" t="inlineStr">
        <is>
          <t>Usuario confirma cierre con evidencia funcional suficiente</t>
        </is>
      </c>
      <c r="E87" s="14" t="inlineStr">
        <is>
          <t>RD-03 / modal cierre | Confirmar cierre</t>
        </is>
      </c>
      <c r="F87" s="14" t="inlineStr">
        <is>
          <t>Cambiar deuda a cerrada en estado canónico y excluirla de deuda activa.</t>
        </is>
      </c>
      <c r="G87" s="6" t="inlineStr">
        <is>
          <t>M04</t>
        </is>
      </c>
      <c r="H87" s="19" t="inlineStr">
        <is>
          <t>F1 · QA funcional local</t>
        </is>
      </c>
      <c r="I87" s="16" t="inlineStr">
        <is>
          <t>Sí</t>
        </is>
      </c>
      <c r="J87" s="16" t="inlineStr">
        <is>
          <t>No requerido para PASS primario</t>
        </is>
      </c>
      <c r="K87" s="16" t="inlineStr">
        <is>
          <t>No para PASS primario</t>
        </is>
      </c>
      <c r="L87" s="16" t="inlineStr">
        <is>
          <t>No obligatorio fuera de regresión</t>
        </is>
      </c>
      <c r="M87" s="16" t="inlineStr">
        <is>
          <t>Sí · F5 journey crítico</t>
        </is>
      </c>
      <c r="N87" s="17" t="inlineStr">
        <is>
          <t>No comparable 1:1 · Miguel usa M4-V; vigente usa TR-M04</t>
        </is>
      </c>
      <c r="O87" s="4" t="inlineStr">
        <is>
          <t>CROSSWALK</t>
        </is>
      </c>
      <c r="P87" s="16" t="inlineStr">
        <is>
          <t>El resultado primario se determina en M04 con sus estados/reglas; una salida downstream no se trata como dependencia de entrada.</t>
        </is>
      </c>
      <c r="Q87" s="14" t="inlineStr">
        <is>
          <t>Walvy_M04_Matriz_Trazabilidad_Cliente_v1.3.xlsx · 01_Matriz_Trazabilidad · TR-M04-126</t>
        </is>
      </c>
      <c r="R87" s="18">
        <f>COUNTIF($B$5:$B$190,B87)</f>
        <v/>
      </c>
    </row>
    <row r="88">
      <c r="A88" s="14" t="inlineStr">
        <is>
          <t>M04</t>
        </is>
      </c>
      <c r="B88" s="14" t="inlineStr">
        <is>
          <t>TR-M04-127</t>
        </is>
      </c>
      <c r="C88" s="14" t="inlineStr">
        <is>
          <t>FLOW-M04-023 · Ruta 3 · Cierre</t>
        </is>
      </c>
      <c r="D88" s="14" t="inlineStr">
        <is>
          <t>Deuda cerrada confirmada</t>
        </is>
      </c>
      <c r="E88" s="14" t="inlineStr">
        <is>
          <t>RD-03 | Recalcular</t>
        </is>
      </c>
      <c r="F88" s="14" t="inlineStr">
        <is>
          <t>Recalcular capacidad liberada, orden, cronograma y siguiente deuda; no mover dinero automáticamente.</t>
        </is>
      </c>
      <c r="G88" s="6" t="inlineStr">
        <is>
          <t>M04</t>
        </is>
      </c>
      <c r="H88" s="19" t="inlineStr">
        <is>
          <t>F1 · QA funcional local</t>
        </is>
      </c>
      <c r="I88" s="16" t="inlineStr">
        <is>
          <t>Sí</t>
        </is>
      </c>
      <c r="J88" s="16" t="inlineStr">
        <is>
          <t>No requerido para PASS primario</t>
        </is>
      </c>
      <c r="K88" s="16" t="inlineStr">
        <is>
          <t>No para PASS primario</t>
        </is>
      </c>
      <c r="L88" s="16" t="inlineStr">
        <is>
          <t>No obligatorio fuera de regresión</t>
        </is>
      </c>
      <c r="M88" s="16" t="inlineStr">
        <is>
          <t>Sí · F5 journey crítico</t>
        </is>
      </c>
      <c r="N88" s="17" t="inlineStr">
        <is>
          <t>No comparable 1:1 · Miguel usa M4-V; vigente usa TR-M04</t>
        </is>
      </c>
      <c r="O88" s="4" t="inlineStr">
        <is>
          <t>CROSSWALK</t>
        </is>
      </c>
      <c r="P88" s="16" t="inlineStr">
        <is>
          <t>El resultado primario se determina en M04 con sus estados/reglas; una salida downstream no se trata como dependencia de entrada.</t>
        </is>
      </c>
      <c r="Q88" s="14" t="inlineStr">
        <is>
          <t>Walvy_M04_Matriz_Trazabilidad_Cliente_v1.3.xlsx · 01_Matriz_Trazabilidad · TR-M04-127</t>
        </is>
      </c>
      <c r="R88" s="18">
        <f>COUNTIF($B$5:$B$190,B88)</f>
        <v/>
      </c>
    </row>
    <row r="89">
      <c r="A89" s="14" t="inlineStr">
        <is>
          <t>M04</t>
        </is>
      </c>
      <c r="B89" s="14" t="inlineStr">
        <is>
          <t>TR-M04-128</t>
        </is>
      </c>
      <c r="C89" s="14" t="inlineStr">
        <is>
          <t>FLOW-M04-023 · Ruta 3 · Cierre</t>
        </is>
      </c>
      <c r="D89" s="14" t="inlineStr">
        <is>
          <t>Cierre confirmado cambia el snapshot financiero</t>
        </is>
      </c>
      <c r="E89" s="14" t="inlineStr">
        <is>
          <t>RD-03 | Reevaluar Presión/Salud</t>
        </is>
      </c>
      <c r="F89" s="14" t="inlineStr">
        <is>
          <t>Recalcular Presión y Salud con el nuevo snapshot; el resultado puede mejorar o empeorar según reglas vigentes. No conservar estado obsoleto.</t>
        </is>
      </c>
      <c r="G89" s="6" t="inlineStr">
        <is>
          <t>P4-CNT-023 · M04</t>
        </is>
      </c>
      <c r="H89" s="20" t="inlineStr">
        <is>
          <t>F2 · Fixture cross-contract</t>
        </is>
      </c>
      <c r="I89" s="16" t="inlineStr">
        <is>
          <t>No como PASS completo</t>
        </is>
      </c>
      <c r="J89" s="16" t="inlineStr">
        <is>
          <t>Sí · fixture/payload canónico</t>
        </is>
      </c>
      <c r="K89" s="16" t="inlineStr">
        <is>
          <t>No para PASS primario</t>
        </is>
      </c>
      <c r="L89" s="16" t="inlineStr">
        <is>
          <t>Sí · F4</t>
        </is>
      </c>
      <c r="M89" s="16" t="inlineStr">
        <is>
          <t>Sí · F5 journey crítico</t>
        </is>
      </c>
      <c r="N89" s="17" t="inlineStr">
        <is>
          <t>No comparable 1:1 · Miguel usa M4-V; vigente usa TR-M04</t>
        </is>
      </c>
      <c r="O89" s="4" t="inlineStr">
        <is>
          <t>CROSSWALK</t>
        </is>
      </c>
      <c r="P89" s="16" t="inlineStr">
        <is>
          <t>El resultado CONSUME un contrato upstream; el contrato está cerrado y admite fixture/oráculo reproducible antes del E2E real.</t>
        </is>
      </c>
      <c r="Q89" s="14" t="inlineStr">
        <is>
          <t>Walvy_M04_Matriz_Trazabilidad_Cliente_v1.3.xlsx · 01_Matriz_Trazabilidad · TR-M04-128</t>
        </is>
      </c>
      <c r="R89" s="18">
        <f>COUNTIF($B$5:$B$190,B89)</f>
        <v/>
      </c>
    </row>
    <row r="90">
      <c r="A90" s="14" t="inlineStr">
        <is>
          <t>M04</t>
        </is>
      </c>
      <c r="B90" s="14" t="inlineStr">
        <is>
          <t>TR-M04-129</t>
        </is>
      </c>
      <c r="C90" s="14" t="inlineStr">
        <is>
          <t>FLOW-M04-023 · Ruta 3 · Cierre</t>
        </is>
      </c>
      <c r="D90" s="14" t="inlineStr">
        <is>
          <t>Cierre ya confirmado</t>
        </is>
      </c>
      <c r="E90" s="14" t="inlineStr">
        <is>
          <t>RD-03 | Post-confirmación</t>
        </is>
      </c>
      <c r="F90" s="14" t="inlineStr">
        <is>
          <t>Tras confirmar cierre, mostrar modal ¡Felicitaciones!; al seleccionar Continuar con el plan, retornar a RD-03 · Avance actualizado.</t>
        </is>
      </c>
      <c r="G90" s="6" t="inlineStr">
        <is>
          <t>M04</t>
        </is>
      </c>
      <c r="H90" s="19" t="inlineStr">
        <is>
          <t>F1 · QA funcional local</t>
        </is>
      </c>
      <c r="I90" s="16" t="inlineStr">
        <is>
          <t>Sí</t>
        </is>
      </c>
      <c r="J90" s="16" t="inlineStr">
        <is>
          <t>No requerido para PASS primario</t>
        </is>
      </c>
      <c r="K90" s="16" t="inlineStr">
        <is>
          <t>No para PASS primario</t>
        </is>
      </c>
      <c r="L90" s="16" t="inlineStr">
        <is>
          <t>No obligatorio fuera de regresión</t>
        </is>
      </c>
      <c r="M90" s="16" t="inlineStr">
        <is>
          <t>Sí · F5 journey crítico</t>
        </is>
      </c>
      <c r="N90" s="17" t="inlineStr">
        <is>
          <t>No comparable 1:1 · Miguel usa M4-V; vigente usa TR-M04</t>
        </is>
      </c>
      <c r="O90" s="4" t="inlineStr">
        <is>
          <t>CROSSWALK</t>
        </is>
      </c>
      <c r="P90" s="16" t="inlineStr">
        <is>
          <t>El resultado primario se determina en M04 con sus estados/reglas; una salida downstream no se trata como dependencia de entrada.</t>
        </is>
      </c>
      <c r="Q90" s="14" t="inlineStr">
        <is>
          <t>Walvy_M04_Matriz_Trazabilidad_Cliente_v1.3.xlsx · 01_Matriz_Trazabilidad · TR-M04-129</t>
        </is>
      </c>
      <c r="R90" s="18">
        <f>COUNTIF($B$5:$B$190,B90)</f>
        <v/>
      </c>
    </row>
    <row r="91">
      <c r="A91" s="14" t="inlineStr">
        <is>
          <t>M04</t>
        </is>
      </c>
      <c r="B91" s="14" t="inlineStr">
        <is>
          <t>TR-M04-130</t>
        </is>
      </c>
      <c r="C91" s="14" t="inlineStr">
        <is>
          <t>FLOW-M04-024 · Entrada directa / reingreso</t>
        </is>
      </c>
      <c r="D91" s="14" t="inlineStr">
        <is>
          <t>Existe deuda confirmada + datos mínimos + Presión final Riesgo; o existe Ruta activa previa</t>
        </is>
      </c>
      <c r="E91" s="14" t="inlineStr">
        <is>
          <t>Home/Perfil/reingreso | Evaluar estado previo</t>
        </is>
      </c>
      <c r="F91" s="14" t="inlineStr">
        <is>
          <t>Con gate completo y sin Ruta activa, permitir entrada directa a RD-01 como elegible/disponible. Si ya está activa, conservar estado y momento inicial; no reactivar.</t>
        </is>
      </c>
      <c r="G91" s="6" t="inlineStr">
        <is>
          <t>M04</t>
        </is>
      </c>
      <c r="H91" s="19" t="inlineStr">
        <is>
          <t>F1 · QA funcional local</t>
        </is>
      </c>
      <c r="I91" s="16" t="inlineStr">
        <is>
          <t>Sí</t>
        </is>
      </c>
      <c r="J91" s="16" t="inlineStr">
        <is>
          <t>No requerido para PASS primario</t>
        </is>
      </c>
      <c r="K91" s="16" t="inlineStr">
        <is>
          <t>No para PASS primario</t>
        </is>
      </c>
      <c r="L91" s="16" t="inlineStr">
        <is>
          <t>Sí · F3</t>
        </is>
      </c>
      <c r="M91" s="16" t="inlineStr">
        <is>
          <t>Sí · F5 smoke contractual</t>
        </is>
      </c>
      <c r="N91" s="17" t="inlineStr">
        <is>
          <t>No comparable 1:1 · Miguel usa M4-V; vigente usa TR-M04</t>
        </is>
      </c>
      <c r="O91" s="4" t="inlineStr">
        <is>
          <t>CROSSWALK</t>
        </is>
      </c>
      <c r="P91" s="16" t="inlineStr">
        <is>
          <t>El resultado primario se determina en M04 con sus estados/reglas; una salida downstream no se trata como dependencia de entrada.</t>
        </is>
      </c>
      <c r="Q91" s="14" t="inlineStr">
        <is>
          <t>Walvy_M04_Matriz_Trazabilidad_Cliente_v1.3.xlsx · 01_Matriz_Trazabilidad · TR-M04-130</t>
        </is>
      </c>
      <c r="R91" s="18">
        <f>COUNTIF($B$5:$B$190,B91)</f>
        <v/>
      </c>
    </row>
    <row r="92">
      <c r="A92" s="14" t="inlineStr">
        <is>
          <t>M04</t>
        </is>
      </c>
      <c r="B92" s="14" t="inlineStr">
        <is>
          <t>TR-M04-131</t>
        </is>
      </c>
      <c r="C92" s="14" t="inlineStr">
        <is>
          <t>FLOW-M04-024 · Entrada directa / reingreso</t>
        </is>
      </c>
      <c r="D92" s="14" t="inlineStr">
        <is>
          <t>Falta dato crítico/confirmación</t>
        </is>
      </c>
      <c r="E92" s="14" t="inlineStr">
        <is>
          <t>Home/Perfil/reingreso | Evaluar estado previo</t>
        </is>
      </c>
      <c r="F92" s="14" t="inlineStr">
        <is>
          <t>Derivar a OD-02 completitud/revisión sin reiniciar captura ni duplicar deuda.</t>
        </is>
      </c>
      <c r="G92" s="6" t="inlineStr">
        <is>
          <t>M04</t>
        </is>
      </c>
      <c r="H92" s="19" t="inlineStr">
        <is>
          <t>F1 · QA funcional local</t>
        </is>
      </c>
      <c r="I92" s="16" t="inlineStr">
        <is>
          <t>Sí</t>
        </is>
      </c>
      <c r="J92" s="16" t="inlineStr">
        <is>
          <t>No requerido para PASS primario</t>
        </is>
      </c>
      <c r="K92" s="16" t="inlineStr">
        <is>
          <t>No para PASS primario</t>
        </is>
      </c>
      <c r="L92" s="16" t="inlineStr">
        <is>
          <t>Sí · F3</t>
        </is>
      </c>
      <c r="M92" s="16" t="inlineStr">
        <is>
          <t>Sí · F5 smoke contractual</t>
        </is>
      </c>
      <c r="N92" s="17" t="inlineStr">
        <is>
          <t>No comparable 1:1 · Miguel usa M4-V; vigente usa TR-M04</t>
        </is>
      </c>
      <c r="O92" s="4" t="inlineStr">
        <is>
          <t>CROSSWALK</t>
        </is>
      </c>
      <c r="P92" s="16" t="inlineStr">
        <is>
          <t>El resultado primario se determina en M04 con sus estados/reglas; una salida downstream no se trata como dependencia de entrada.</t>
        </is>
      </c>
      <c r="Q92" s="14" t="inlineStr">
        <is>
          <t>Walvy_M04_Matriz_Trazabilidad_Cliente_v1.3.xlsx · 01_Matriz_Trazabilidad · TR-M04-131</t>
        </is>
      </c>
      <c r="R92" s="18">
        <f>COUNTIF($B$5:$B$190,B92)</f>
        <v/>
      </c>
    </row>
    <row r="93">
      <c r="A93" s="14" t="inlineStr">
        <is>
          <t>M04</t>
        </is>
      </c>
      <c r="B93" s="14" t="inlineStr">
        <is>
          <t>TR-M04-132</t>
        </is>
      </c>
      <c r="C93" s="14" t="inlineStr">
        <is>
          <t>FLOW-M04-007 · Onboarding 2 · Revisión</t>
        </is>
      </c>
      <c r="D93" s="14" t="inlineStr">
        <is>
          <t>Existe dato/regla fuente que respalda una etiqueta MVP</t>
        </is>
      </c>
      <c r="E93" s="14" t="inlineStr">
        <is>
          <t>OD-02 | Mostrar etiqueta funcional</t>
        </is>
      </c>
      <c r="F93" s="14" t="inlineStr">
        <is>
          <t>Etiqueta sobre deuda detectada/recurrente/no planificada o que requiere revisión. La etiqueta no reemplaza severidad, validación ni CTA dominante.</t>
        </is>
      </c>
      <c r="G93" s="6" t="inlineStr">
        <is>
          <t>M04 · capability functional_tag</t>
        </is>
      </c>
      <c r="H93" s="19" t="inlineStr">
        <is>
          <t>F1 · QA funcional local</t>
        </is>
      </c>
      <c r="I93" s="16" t="inlineStr">
        <is>
          <t>Sí</t>
        </is>
      </c>
      <c r="J93" s="16" t="inlineStr">
        <is>
          <t>No requerido para PASS primario</t>
        </is>
      </c>
      <c r="K93" s="16" t="inlineStr">
        <is>
          <t>No para PASS primario</t>
        </is>
      </c>
      <c r="L93" s="16" t="inlineStr">
        <is>
          <t>Sí · F3</t>
        </is>
      </c>
      <c r="M93" s="16" t="inlineStr">
        <is>
          <t>Sí · F5 smoke contractual</t>
        </is>
      </c>
      <c r="N93" s="17" t="inlineStr">
        <is>
          <t>No comparable 1:1 · Miguel usa M4-V; vigente usa TR-M04</t>
        </is>
      </c>
      <c r="O93" s="4" t="inlineStr">
        <is>
          <t>CROSSWALK</t>
        </is>
      </c>
      <c r="P93" s="16" t="inlineStr">
        <is>
          <t>El resultado primario se determina en M04 con sus estados/reglas; una salida downstream no se trata como dependencia de entrada.</t>
        </is>
      </c>
      <c r="Q93" s="14" t="inlineStr">
        <is>
          <t>Walvy_M04_Matriz_Trazabilidad_Cliente_v1.3.xlsx · 01_Matriz_Trazabilidad · TR-M04-132</t>
        </is>
      </c>
      <c r="R93" s="18">
        <f>COUNTIF($B$5:$B$190,B93)</f>
        <v/>
      </c>
    </row>
    <row r="94">
      <c r="A94" s="14" t="inlineStr">
        <is>
          <t>M04</t>
        </is>
      </c>
      <c r="B94" s="14" t="inlineStr">
        <is>
          <t>TR-M04-133</t>
        </is>
      </c>
      <c r="C94" s="14" t="inlineStr">
        <is>
          <t>FLOW-M04-016 · Ruta 1 · Resumen</t>
        </is>
      </c>
      <c r="D94" s="14" t="inlineStr">
        <is>
          <t>Existe dato/regla fuente que respalda una etiqueta MVP</t>
        </is>
      </c>
      <c r="E94" s="14" t="inlineStr">
        <is>
          <t>RD-01 | Mostrar etiqueta funcional</t>
        </is>
      </c>
      <c r="F94" s="14" t="inlineStr">
        <is>
          <t>Etiqueta que explica señal principal o motivo de atención. La etiqueta no reemplaza severidad, validación ni CTA dominante.</t>
        </is>
      </c>
      <c r="G94" s="6" t="inlineStr">
        <is>
          <t>M04 · capability functional_tag</t>
        </is>
      </c>
      <c r="H94" s="19" t="inlineStr">
        <is>
          <t>F1 · QA funcional local</t>
        </is>
      </c>
      <c r="I94" s="16" t="inlineStr">
        <is>
          <t>Sí</t>
        </is>
      </c>
      <c r="J94" s="16" t="inlineStr">
        <is>
          <t>No requerido para PASS primario</t>
        </is>
      </c>
      <c r="K94" s="16" t="inlineStr">
        <is>
          <t>No para PASS primario</t>
        </is>
      </c>
      <c r="L94" s="16" t="inlineStr">
        <is>
          <t>Sí · F3</t>
        </is>
      </c>
      <c r="M94" s="16" t="inlineStr">
        <is>
          <t>Sí · F5 journey crítico</t>
        </is>
      </c>
      <c r="N94" s="17" t="inlineStr">
        <is>
          <t>No comparable 1:1 · Miguel usa M4-V; vigente usa TR-M04</t>
        </is>
      </c>
      <c r="O94" s="4" t="inlineStr">
        <is>
          <t>CROSSWALK</t>
        </is>
      </c>
      <c r="P94" s="16" t="inlineStr">
        <is>
          <t>El resultado primario se determina en M04 con sus estados/reglas; una salida downstream no se trata como dependencia de entrada.</t>
        </is>
      </c>
      <c r="Q94" s="14" t="inlineStr">
        <is>
          <t>Walvy_M04_Matriz_Trazabilidad_Cliente_v1.3.xlsx · 01_Matriz_Trazabilidad · TR-M04-133</t>
        </is>
      </c>
      <c r="R94" s="18">
        <f>COUNTIF($B$5:$B$190,B94)</f>
        <v/>
      </c>
    </row>
    <row r="95">
      <c r="A95" s="14" t="inlineStr">
        <is>
          <t>M04</t>
        </is>
      </c>
      <c r="B95" s="14" t="inlineStr">
        <is>
          <t>TR-M04-134</t>
        </is>
      </c>
      <c r="C95" s="14" t="inlineStr">
        <is>
          <t>FLOW-M04-019 · Ruta 2 · Plan</t>
        </is>
      </c>
      <c r="D95" s="14" t="inlineStr">
        <is>
          <t>Existe dato/regla fuente que respalda una etiqueta MVP</t>
        </is>
      </c>
      <c r="E95" s="14" t="inlineStr">
        <is>
          <t>RD-02 | Mostrar etiqueta funcional</t>
        </is>
      </c>
      <c r="F95" s="14" t="inlineStr">
        <is>
          <t>Etiqueta sobre deuda prioritaria, siguiente deuda o capacidad recuperable. La etiqueta no reemplaza severidad, validación ni CTA dominante.</t>
        </is>
      </c>
      <c r="G95" s="6" t="inlineStr">
        <is>
          <t>M04 · capability functional_tag</t>
        </is>
      </c>
      <c r="H95" s="19" t="inlineStr">
        <is>
          <t>F1 · QA funcional local</t>
        </is>
      </c>
      <c r="I95" s="16" t="inlineStr">
        <is>
          <t>Sí</t>
        </is>
      </c>
      <c r="J95" s="16" t="inlineStr">
        <is>
          <t>No requerido para PASS primario</t>
        </is>
      </c>
      <c r="K95" s="16" t="inlineStr">
        <is>
          <t>No para PASS primario</t>
        </is>
      </c>
      <c r="L95" s="16" t="inlineStr">
        <is>
          <t>Sí · F3</t>
        </is>
      </c>
      <c r="M95" s="16" t="inlineStr">
        <is>
          <t>Sí · F5 journey crítico</t>
        </is>
      </c>
      <c r="N95" s="17" t="inlineStr">
        <is>
          <t>No comparable 1:1 · Miguel usa M4-V; vigente usa TR-M04</t>
        </is>
      </c>
      <c r="O95" s="4" t="inlineStr">
        <is>
          <t>CROSSWALK</t>
        </is>
      </c>
      <c r="P95" s="16" t="inlineStr">
        <is>
          <t>El resultado primario se determina en M04 con sus estados/reglas; una salida downstream no se trata como dependencia de entrada.</t>
        </is>
      </c>
      <c r="Q95" s="14" t="inlineStr">
        <is>
          <t>Walvy_M04_Matriz_Trazabilidad_Cliente_v1.3.xlsx · 01_Matriz_Trazabilidad · TR-M04-134</t>
        </is>
      </c>
      <c r="R95" s="18">
        <f>COUNTIF($B$5:$B$190,B95)</f>
        <v/>
      </c>
    </row>
    <row r="96">
      <c r="A96" s="14" t="inlineStr">
        <is>
          <t>M04</t>
        </is>
      </c>
      <c r="B96" s="14" t="inlineStr">
        <is>
          <t>TR-M04-135</t>
        </is>
      </c>
      <c r="C96" s="14" t="inlineStr">
        <is>
          <t>FLOW-M04-017 · Detalle deuda</t>
        </is>
      </c>
      <c r="D96" s="14" t="inlineStr">
        <is>
          <t>Existe dato/regla fuente que respalda una etiqueta MVP</t>
        </is>
      </c>
      <c r="E96" s="14" t="inlineStr">
        <is>
          <t>DD-01 | Mostrar etiqueta funcional</t>
        </is>
      </c>
      <c r="F96" s="14" t="inlineStr">
        <is>
          <t>Etiqueta de patrón, urgencia o recurrencia de deuda específica. La etiqueta no reemplaza severidad, validación ni CTA dominante.</t>
        </is>
      </c>
      <c r="G96" s="6" t="inlineStr">
        <is>
          <t>M04 · capability functional_tag</t>
        </is>
      </c>
      <c r="H96" s="19" t="inlineStr">
        <is>
          <t>F1 · QA funcional local</t>
        </is>
      </c>
      <c r="I96" s="16" t="inlineStr">
        <is>
          <t>Sí</t>
        </is>
      </c>
      <c r="J96" s="16" t="inlineStr">
        <is>
          <t>No requerido para PASS primario</t>
        </is>
      </c>
      <c r="K96" s="16" t="inlineStr">
        <is>
          <t>No para PASS primario</t>
        </is>
      </c>
      <c r="L96" s="16" t="inlineStr">
        <is>
          <t>Sí · F3</t>
        </is>
      </c>
      <c r="M96" s="16" t="inlineStr">
        <is>
          <t>Sí · F5 smoke contractual</t>
        </is>
      </c>
      <c r="N96" s="17" t="inlineStr">
        <is>
          <t>No comparable 1:1 · Miguel usa M4-V; vigente usa TR-M04</t>
        </is>
      </c>
      <c r="O96" s="4" t="inlineStr">
        <is>
          <t>CROSSWALK</t>
        </is>
      </c>
      <c r="P96" s="16" t="inlineStr">
        <is>
          <t>El resultado primario se determina en M04 con sus estados/reglas; una salida downstream no se trata como dependencia de entrada.</t>
        </is>
      </c>
      <c r="Q96" s="14" t="inlineStr">
        <is>
          <t>Walvy_M04_Matriz_Trazabilidad_Cliente_v1.3.xlsx · 01_Matriz_Trazabilidad · TR-M04-135</t>
        </is>
      </c>
      <c r="R96" s="18">
        <f>COUNTIF($B$5:$B$190,B96)</f>
        <v/>
      </c>
    </row>
    <row r="97">
      <c r="A97" s="14" t="inlineStr">
        <is>
          <t>M04</t>
        </is>
      </c>
      <c r="B97" s="14" t="inlineStr">
        <is>
          <t>TR-M04-136</t>
        </is>
      </c>
      <c r="C97" s="14" t="inlineStr">
        <is>
          <t>FLOW-M04-001 · Entrada contextual</t>
        </is>
      </c>
      <c r="D97" s="14" t="inlineStr">
        <is>
          <t>Existe dato/regla fuente que respalda una etiqueta MVP</t>
        </is>
      </c>
      <c r="E97" s="14" t="inlineStr">
        <is>
          <t>Perfil/Home | Mostrar etiqueta funcional</t>
        </is>
      </c>
      <c r="F97" s="14" t="inlineStr">
        <is>
          <t>Etiqueta resumida solo cuando exista regla/dato y sea pertinente en superficie consumidora. La etiqueta no reemplaza severidad, validación ni CTA dominante.</t>
        </is>
      </c>
      <c r="G97" s="6" t="inlineStr">
        <is>
          <t>M04 · capability functional_tag</t>
        </is>
      </c>
      <c r="H97" s="15" t="inlineStr">
        <is>
          <t>F3 · M02/M03 / superficie</t>
        </is>
      </c>
      <c r="I97" s="16" t="inlineStr">
        <is>
          <t>No como PASS completo</t>
        </is>
      </c>
      <c r="J97" s="16" t="inlineStr">
        <is>
          <t>Parcial · productor/oráculo sí; no sustituye PASS superficie</t>
        </is>
      </c>
      <c r="K97" s="16" t="inlineStr">
        <is>
          <t>Sí</t>
        </is>
      </c>
      <c r="L97" s="16" t="inlineStr">
        <is>
          <t>Sí · F3/F5</t>
        </is>
      </c>
      <c r="M97" s="16" t="inlineStr">
        <is>
          <t>Sí · F5 journey crítico</t>
        </is>
      </c>
      <c r="N97" s="17" t="inlineStr">
        <is>
          <t>No comparable 1:1 · Miguel usa M4-V; vigente usa TR-M04</t>
        </is>
      </c>
      <c r="O97" s="4" t="inlineStr">
        <is>
          <t>CROSSWALK</t>
        </is>
      </c>
      <c r="P97" s="16" t="inlineStr">
        <is>
          <t>El criterio de aceptación completo vive en Home/Perfil/avisos o en una superficie M02/M03; el productor puede probarse antes, pero no reemplaza el PASS de superficie.</t>
        </is>
      </c>
      <c r="Q97" s="14" t="inlineStr">
        <is>
          <t>Walvy_M04_Matriz_Trazabilidad_Cliente_v1.3.xlsx · 01_Matriz_Trazabilidad · TR-M04-136</t>
        </is>
      </c>
      <c r="R97" s="18">
        <f>COUNTIF($B$5:$B$190,B97)</f>
        <v/>
      </c>
    </row>
    <row r="98">
      <c r="A98" s="14" t="inlineStr">
        <is>
          <t>M05</t>
        </is>
      </c>
      <c r="B98" s="14" t="inlineStr">
        <is>
          <t>M5-V01</t>
        </is>
      </c>
      <c r="C98" s="14" t="inlineStr">
        <is>
          <t>Resumen Presupuesto Vivo</t>
        </is>
      </c>
      <c r="D98" s="14" t="inlineStr">
        <is>
          <t>PV-001 · Datos suficientes</t>
        </is>
      </c>
      <c r="E98" s="14" t="inlineStr">
        <is>
          <t>Movimientos categorizados, objetivos, gasto real</t>
        </is>
      </c>
      <c r="F98" s="14" t="inlineStr">
        <is>
          <t>Calcular estado general. Usuario: Consultar presupuesto. CTA dominante: Revisar presupuesto. Copy/guardrail: Tu Presupuesto Vivo — No planilla vacía.</t>
        </is>
      </c>
      <c r="G98" s="6" t="inlineStr">
        <is>
          <t>M05</t>
        </is>
      </c>
      <c r="H98" s="19" t="inlineStr">
        <is>
          <t>F1 · QA funcional local</t>
        </is>
      </c>
      <c r="I98" s="16" t="inlineStr">
        <is>
          <t>Sí</t>
        </is>
      </c>
      <c r="J98" s="16" t="inlineStr">
        <is>
          <t>No requerido para PASS primario</t>
        </is>
      </c>
      <c r="K98" s="16" t="inlineStr">
        <is>
          <t>No para PASS primario</t>
        </is>
      </c>
      <c r="L98" s="16" t="inlineStr">
        <is>
          <t>No obligatorio fuera de regresión</t>
        </is>
      </c>
      <c r="M98" s="16" t="inlineStr">
        <is>
          <t>Sí · F5 smoke contractual</t>
        </is>
      </c>
      <c r="N98" s="17" t="inlineStr">
        <is>
          <t>F1</t>
        </is>
      </c>
      <c r="O98" s="6" t="inlineStr">
        <is>
          <t>NO</t>
        </is>
      </c>
      <c r="P98" s="16" t="inlineStr">
        <is>
          <t>El resultado primario se determina en M05 con sus estados/reglas; una salida downstream no se trata como dependencia de entrada.</t>
        </is>
      </c>
      <c r="Q98" s="14" t="inlineStr">
        <is>
          <t>Walvy_M5_Matriz_Trazabilidad_Cliente_v1.2_RESPUESTA_WALVY.xlsx · Matriz Trazabilidad · M5-V01</t>
        </is>
      </c>
      <c r="R98" s="18">
        <f>COUNTIF($B$5:$B$190,B98)</f>
        <v/>
      </c>
    </row>
    <row r="99">
      <c r="A99" s="14" t="inlineStr">
        <is>
          <t>M05</t>
        </is>
      </c>
      <c r="B99" s="14" t="inlineStr">
        <is>
          <t>M5-V02</t>
        </is>
      </c>
      <c r="C99" s="14" t="inlineStr">
        <is>
          <t>Resumen Presupuesto Vivo</t>
        </is>
      </c>
      <c r="D99" s="14" t="inlineStr">
        <is>
          <t>PV-002 · Sin datos suficientes</t>
        </is>
      </c>
      <c r="E99" s="14" t="inlineStr">
        <is>
          <t>Carga de movimientos/documentos</t>
        </is>
      </c>
      <c r="F99" s="14" t="inlineStr">
        <is>
          <t>Detectar falta de datos. Usuario: Cargar movimientos. CTA dominante: Cargar movimientos. Copy/guardrail: Necesitamos tus movimientos — No presupuesto manual en frío.</t>
        </is>
      </c>
      <c r="G99" s="6" t="inlineStr">
        <is>
          <t>M05</t>
        </is>
      </c>
      <c r="H99" s="19" t="inlineStr">
        <is>
          <t>F1 · QA funcional local</t>
        </is>
      </c>
      <c r="I99" s="16" t="inlineStr">
        <is>
          <t>Sí</t>
        </is>
      </c>
      <c r="J99" s="16" t="inlineStr">
        <is>
          <t>No requerido para PASS primario</t>
        </is>
      </c>
      <c r="K99" s="16" t="inlineStr">
        <is>
          <t>No para PASS primario</t>
        </is>
      </c>
      <c r="L99" s="16" t="inlineStr">
        <is>
          <t>No obligatorio fuera de regresión</t>
        </is>
      </c>
      <c r="M99" s="16" t="inlineStr">
        <is>
          <t>Sí · F5 smoke contractual</t>
        </is>
      </c>
      <c r="N99" s="17" t="inlineStr">
        <is>
          <t>F1</t>
        </is>
      </c>
      <c r="O99" s="6" t="inlineStr">
        <is>
          <t>NO</t>
        </is>
      </c>
      <c r="P99" s="16" t="inlineStr">
        <is>
          <t>El resultado primario se determina en M05 con sus estados/reglas; una salida downstream no se trata como dependencia de entrada.</t>
        </is>
      </c>
      <c r="Q99" s="14" t="inlineStr">
        <is>
          <t>Walvy_M5_Matriz_Trazabilidad_Cliente_v1.2_RESPUESTA_WALVY.xlsx · Matriz Trazabilidad · M5-V02</t>
        </is>
      </c>
      <c r="R99" s="18">
        <f>COUNTIF($B$5:$B$190,B99)</f>
        <v/>
      </c>
    </row>
    <row r="100">
      <c r="A100" s="14" t="inlineStr">
        <is>
          <t>M05</t>
        </is>
      </c>
      <c r="B100" s="14" t="inlineStr">
        <is>
          <t>M5-V03</t>
        </is>
      </c>
      <c r="C100" s="14" t="inlineStr">
        <is>
          <t>Resumen Presupuesto Vivo</t>
        </is>
      </c>
      <c r="D100" s="14" t="inlineStr">
        <is>
          <t>PV-003 · Datos parciales</t>
        </is>
      </c>
      <c r="E100" s="14" t="inlineStr">
        <is>
          <t>Movimientos parciales, confianza</t>
        </is>
      </c>
      <c r="F100" s="14" t="inlineStr">
        <is>
          <t>Mostrar lectura parcial. Usuario: Revisar pendientes. CTA dominante: Completar datos. Copy/guardrail: Lectura parcial — No conclusión fuerte.</t>
        </is>
      </c>
      <c r="G100" s="6" t="inlineStr">
        <is>
          <t>M05</t>
        </is>
      </c>
      <c r="H100" s="19" t="inlineStr">
        <is>
          <t>F1 · QA funcional local</t>
        </is>
      </c>
      <c r="I100" s="16" t="inlineStr">
        <is>
          <t>Sí</t>
        </is>
      </c>
      <c r="J100" s="16" t="inlineStr">
        <is>
          <t>No requerido para PASS primario</t>
        </is>
      </c>
      <c r="K100" s="16" t="inlineStr">
        <is>
          <t>No para PASS primario</t>
        </is>
      </c>
      <c r="L100" s="16" t="inlineStr">
        <is>
          <t>No obligatorio fuera de regresión</t>
        </is>
      </c>
      <c r="M100" s="16" t="inlineStr">
        <is>
          <t>Sí · F5 smoke contractual</t>
        </is>
      </c>
      <c r="N100" s="17" t="inlineStr">
        <is>
          <t>F1</t>
        </is>
      </c>
      <c r="O100" s="6" t="inlineStr">
        <is>
          <t>NO</t>
        </is>
      </c>
      <c r="P100" s="16" t="inlineStr">
        <is>
          <t>El resultado primario se determina en M05 con sus estados/reglas; una salida downstream no se trata como dependencia de entrada.</t>
        </is>
      </c>
      <c r="Q100" s="14" t="inlineStr">
        <is>
          <t>Walvy_M5_Matriz_Trazabilidad_Cliente_v1.2_RESPUESTA_WALVY.xlsx · Matriz Trazabilidad · M5-V03</t>
        </is>
      </c>
      <c r="R100" s="18">
        <f>COUNTIF($B$5:$B$190,B100)</f>
        <v/>
      </c>
    </row>
    <row r="101">
      <c r="A101" s="14" t="inlineStr">
        <is>
          <t>M05</t>
        </is>
      </c>
      <c r="B101" s="14" t="inlineStr">
        <is>
          <t>M5-V04</t>
        </is>
      </c>
      <c r="C101" s="14" t="inlineStr">
        <is>
          <t>Presupuesto por categoría</t>
        </is>
      </c>
      <c r="D101" s="14" t="inlineStr">
        <is>
          <t>PV-004 · Objetivo definido</t>
        </is>
      </c>
      <c r="E101" s="14" t="inlineStr">
        <is>
          <t>Categoría, objetivo, gasto real</t>
        </is>
      </c>
      <c r="F101" s="14" t="inlineStr">
        <is>
          <t>Comparar gasto vs objetivo. Usuario: Ajustar objetivo. CTA dominante: Ajustar objetivo. Copy/guardrail: Presupuesto por categoría — Sin copy final emocional.</t>
        </is>
      </c>
      <c r="G101" s="6" t="inlineStr">
        <is>
          <t>M05</t>
        </is>
      </c>
      <c r="H101" s="19" t="inlineStr">
        <is>
          <t>F1 · QA funcional local</t>
        </is>
      </c>
      <c r="I101" s="16" t="inlineStr">
        <is>
          <t>Sí</t>
        </is>
      </c>
      <c r="J101" s="16" t="inlineStr">
        <is>
          <t>No requerido para PASS primario</t>
        </is>
      </c>
      <c r="K101" s="16" t="inlineStr">
        <is>
          <t>No para PASS primario</t>
        </is>
      </c>
      <c r="L101" s="16" t="inlineStr">
        <is>
          <t>No obligatorio fuera de regresión</t>
        </is>
      </c>
      <c r="M101" s="16" t="inlineStr">
        <is>
          <t>Sí · F5 smoke contractual</t>
        </is>
      </c>
      <c r="N101" s="17" t="inlineStr">
        <is>
          <t>F1</t>
        </is>
      </c>
      <c r="O101" s="6" t="inlineStr">
        <is>
          <t>NO</t>
        </is>
      </c>
      <c r="P101" s="16" t="inlineStr">
        <is>
          <t>El resultado primario se determina en M05 con sus estados/reglas; una salida downstream no se trata como dependencia de entrada.</t>
        </is>
      </c>
      <c r="Q101" s="14" t="inlineStr">
        <is>
          <t>Walvy_M5_Matriz_Trazabilidad_Cliente_v1.2_RESPUESTA_WALVY.xlsx · Matriz Trazabilidad · M5-V04</t>
        </is>
      </c>
      <c r="R101" s="18">
        <f>COUNTIF($B$5:$B$190,B101)</f>
        <v/>
      </c>
    </row>
    <row r="102">
      <c r="A102" s="14" t="inlineStr">
        <is>
          <t>M05</t>
        </is>
      </c>
      <c r="B102" s="14" t="inlineStr">
        <is>
          <t>M5-V05</t>
        </is>
      </c>
      <c r="C102" s="14" t="inlineStr">
        <is>
          <t>Presupuesto por categoría</t>
        </is>
      </c>
      <c r="D102" s="14" t="inlineStr">
        <is>
          <t>PV-005 · Meta operacional activa</t>
        </is>
      </c>
      <c r="E102" s="14" t="inlineStr">
        <is>
          <t>Consumo detectado, objetivo menor</t>
        </is>
      </c>
      <c r="F102" s="14" t="inlineStr">
        <is>
          <t>Activar seguimiento. Usuario: Confirmar objetivo. CTA dominante: Confirmar objetivo. Copy/guardrail: Meta activa — Usuario decide.</t>
        </is>
      </c>
      <c r="G102" s="6" t="inlineStr">
        <is>
          <t>M05</t>
        </is>
      </c>
      <c r="H102" s="19" t="inlineStr">
        <is>
          <t>F1 · QA funcional local</t>
        </is>
      </c>
      <c r="I102" s="16" t="inlineStr">
        <is>
          <t>Sí</t>
        </is>
      </c>
      <c r="J102" s="16" t="inlineStr">
        <is>
          <t>No requerido para PASS primario</t>
        </is>
      </c>
      <c r="K102" s="16" t="inlineStr">
        <is>
          <t>No para PASS primario</t>
        </is>
      </c>
      <c r="L102" s="16" t="inlineStr">
        <is>
          <t>No obligatorio fuera de regresión</t>
        </is>
      </c>
      <c r="M102" s="16" t="inlineStr">
        <is>
          <t>Sí · F5 smoke contractual</t>
        </is>
      </c>
      <c r="N102" s="17" t="inlineStr">
        <is>
          <t>F1</t>
        </is>
      </c>
      <c r="O102" s="6" t="inlineStr">
        <is>
          <t>NO</t>
        </is>
      </c>
      <c r="P102" s="16" t="inlineStr">
        <is>
          <t>El resultado primario se determina en M05 con sus estados/reglas; una salida downstream no se trata como dependencia de entrada.</t>
        </is>
      </c>
      <c r="Q102" s="14" t="inlineStr">
        <is>
          <t>Walvy_M5_Matriz_Trazabilidad_Cliente_v1.2_RESPUESTA_WALVY.xlsx · Matriz Trazabilidad · M5-V05</t>
        </is>
      </c>
      <c r="R102" s="18">
        <f>COUNTIF($B$5:$B$190,B102)</f>
        <v/>
      </c>
    </row>
    <row r="103">
      <c r="A103" s="14" t="inlineStr">
        <is>
          <t>M05</t>
        </is>
      </c>
      <c r="B103" s="14" t="inlineStr">
        <is>
          <t>M5-V06</t>
        </is>
      </c>
      <c r="C103" s="14" t="inlineStr">
        <is>
          <t>Detalle de categoría</t>
        </is>
      </c>
      <c r="D103" s="14" t="inlineStr">
        <is>
          <t>PV-006 · Sobreconsumo</t>
        </is>
      </c>
      <c r="E103" s="14" t="inlineStr">
        <is>
          <t>Gasto real, umbral, movimientos</t>
        </is>
      </c>
      <c r="F103" s="14" t="inlineStr">
        <is>
          <t>Detectar desviación. Usuario: Revisar movimientos. CTA dominante: Revisar movimientos. Copy/guardrail: Categoría sobre el objetivo — No reasignación automática.</t>
        </is>
      </c>
      <c r="G103" s="6" t="inlineStr">
        <is>
          <t>M05</t>
        </is>
      </c>
      <c r="H103" s="19" t="inlineStr">
        <is>
          <t>F1 · QA funcional local</t>
        </is>
      </c>
      <c r="I103" s="16" t="inlineStr">
        <is>
          <t>Sí</t>
        </is>
      </c>
      <c r="J103" s="16" t="inlineStr">
        <is>
          <t>No requerido para PASS primario</t>
        </is>
      </c>
      <c r="K103" s="16" t="inlineStr">
        <is>
          <t>No para PASS primario</t>
        </is>
      </c>
      <c r="L103" s="16" t="inlineStr">
        <is>
          <t>No obligatorio fuera de regresión</t>
        </is>
      </c>
      <c r="M103" s="16" t="inlineStr">
        <is>
          <t>Sí · F5 smoke contractual</t>
        </is>
      </c>
      <c r="N103" s="17" t="inlineStr">
        <is>
          <t>F1</t>
        </is>
      </c>
      <c r="O103" s="6" t="inlineStr">
        <is>
          <t>NO</t>
        </is>
      </c>
      <c r="P103" s="16" t="inlineStr">
        <is>
          <t>El resultado primario se determina en M05 con sus estados/reglas; una salida downstream no se trata como dependencia de entrada.</t>
        </is>
      </c>
      <c r="Q103" s="14" t="inlineStr">
        <is>
          <t>Walvy_M5_Matriz_Trazabilidad_Cliente_v1.2_RESPUESTA_WALVY.xlsx · Matriz Trazabilidad · M5-V06</t>
        </is>
      </c>
      <c r="R103" s="18">
        <f>COUNTIF($B$5:$B$190,B103)</f>
        <v/>
      </c>
    </row>
    <row r="104">
      <c r="A104" s="14" t="inlineStr">
        <is>
          <t>M05</t>
        </is>
      </c>
      <c r="B104" s="14" t="inlineStr">
        <is>
          <t>M5-V07</t>
        </is>
      </c>
      <c r="C104" s="14" t="inlineStr">
        <is>
          <t>Detalle de categoría</t>
        </is>
      </c>
      <c r="D104" s="14" t="inlineStr">
        <is>
          <t>PV-007 · Subejecución</t>
        </is>
      </c>
      <c r="E104" s="14" t="inlineStr">
        <is>
          <t>Objetivo, gasto real, otras categorías, ahorro</t>
        </is>
      </c>
      <c r="F104" s="14" t="inlineStr">
        <is>
          <t>Estimar destino del margen. Usuario: Ver recomendación. CTA dominante: Ver recomendación. Copy/guardrail: Menor uso del esperado — No causalidad absoluta.</t>
        </is>
      </c>
      <c r="G104" s="6" t="inlineStr">
        <is>
          <t>M05</t>
        </is>
      </c>
      <c r="H104" s="19" t="inlineStr">
        <is>
          <t>F1 · QA funcional local</t>
        </is>
      </c>
      <c r="I104" s="16" t="inlineStr">
        <is>
          <t>Sí</t>
        </is>
      </c>
      <c r="J104" s="16" t="inlineStr">
        <is>
          <t>No requerido para PASS primario</t>
        </is>
      </c>
      <c r="K104" s="16" t="inlineStr">
        <is>
          <t>No para PASS primario</t>
        </is>
      </c>
      <c r="L104" s="16" t="inlineStr">
        <is>
          <t>No obligatorio fuera de regresión</t>
        </is>
      </c>
      <c r="M104" s="16" t="inlineStr">
        <is>
          <t>Sí · F5 smoke contractual</t>
        </is>
      </c>
      <c r="N104" s="17" t="inlineStr">
        <is>
          <t>F1</t>
        </is>
      </c>
      <c r="O104" s="6" t="inlineStr">
        <is>
          <t>NO</t>
        </is>
      </c>
      <c r="P104" s="16" t="inlineStr">
        <is>
          <t>El resultado primario se determina en M05 con sus estados/reglas; una salida downstream no se trata como dependencia de entrada.</t>
        </is>
      </c>
      <c r="Q104" s="14" t="inlineStr">
        <is>
          <t>Walvy_M5_Matriz_Trazabilidad_Cliente_v1.2_RESPUESTA_WALVY.xlsx · Matriz Trazabilidad · M5-V07</t>
        </is>
      </c>
      <c r="R104" s="18">
        <f>COUNTIF($B$5:$B$190,B104)</f>
        <v/>
      </c>
    </row>
    <row r="105">
      <c r="A105" s="14" t="inlineStr">
        <is>
          <t>M05</t>
        </is>
      </c>
      <c r="B105" s="14" t="inlineStr">
        <is>
          <t>M5-V08</t>
        </is>
      </c>
      <c r="C105" s="14" t="inlineStr">
        <is>
          <t>Movimientos sin categorizar</t>
        </is>
      </c>
      <c r="D105" s="14" t="inlineStr">
        <is>
          <t>PV-008 · Sin categorizar</t>
        </is>
      </c>
      <c r="E105" s="14" t="inlineStr">
        <is>
          <t>Movimiento, glosa, fecha, monto</t>
        </is>
      </c>
      <c r="F105" s="14" t="inlineStr">
        <is>
          <t>Agrupar pendientes. Usuario: Categorizar movimiento. CTA dominante: Categorizar movimiento. Copy/guardrail: Movimientos por clasificar — No clasificar sin confianza.</t>
        </is>
      </c>
      <c r="G105" s="6" t="inlineStr">
        <is>
          <t>M05</t>
        </is>
      </c>
      <c r="H105" s="19" t="inlineStr">
        <is>
          <t>F1 · QA funcional local</t>
        </is>
      </c>
      <c r="I105" s="16" t="inlineStr">
        <is>
          <t>Sí</t>
        </is>
      </c>
      <c r="J105" s="16" t="inlineStr">
        <is>
          <t>No requerido para PASS primario</t>
        </is>
      </c>
      <c r="K105" s="16" t="inlineStr">
        <is>
          <t>No para PASS primario</t>
        </is>
      </c>
      <c r="L105" s="16" t="inlineStr">
        <is>
          <t>No obligatorio fuera de regresión</t>
        </is>
      </c>
      <c r="M105" s="16" t="inlineStr">
        <is>
          <t>Sí · F5 smoke contractual</t>
        </is>
      </c>
      <c r="N105" s="17" t="inlineStr">
        <is>
          <t>F1</t>
        </is>
      </c>
      <c r="O105" s="6" t="inlineStr">
        <is>
          <t>NO</t>
        </is>
      </c>
      <c r="P105" s="16" t="inlineStr">
        <is>
          <t>El resultado primario se determina en M05 con sus estados/reglas; una salida downstream no se trata como dependencia de entrada.</t>
        </is>
      </c>
      <c r="Q105" s="14" t="inlineStr">
        <is>
          <t>Walvy_M5_Matriz_Trazabilidad_Cliente_v1.2_RESPUESTA_WALVY.xlsx · Matriz Trazabilidad · M5-V08</t>
        </is>
      </c>
      <c r="R105" s="18">
        <f>COUNTIF($B$5:$B$190,B105)</f>
        <v/>
      </c>
    </row>
    <row r="106">
      <c r="A106" s="14" t="inlineStr">
        <is>
          <t>M05</t>
        </is>
      </c>
      <c r="B106" s="14" t="inlineStr">
        <is>
          <t>M5-V09</t>
        </is>
      </c>
      <c r="C106" s="14" t="inlineStr">
        <is>
          <t>Validación de categoría</t>
        </is>
      </c>
      <c r="D106" s="14" t="inlineStr">
        <is>
          <t>PV-009 · Requiere validación</t>
        </is>
      </c>
      <c r="E106" s="14" t="inlineStr">
        <is>
          <t>Categoría sugerida, confianza</t>
        </is>
      </c>
      <c r="F106" s="14" t="inlineStr">
        <is>
          <t>Solicitar confirmación. Usuario: Confirmar/corregir. CTA dominante: Confirmar categoría. Copy/guardrail: Confirma esta categoría — No IA opaca.</t>
        </is>
      </c>
      <c r="G106" s="6" t="inlineStr">
        <is>
          <t>M05</t>
        </is>
      </c>
      <c r="H106" s="19" t="inlineStr">
        <is>
          <t>F1 · QA funcional local</t>
        </is>
      </c>
      <c r="I106" s="16" t="inlineStr">
        <is>
          <t>Sí</t>
        </is>
      </c>
      <c r="J106" s="16" t="inlineStr">
        <is>
          <t>No requerido para PASS primario</t>
        </is>
      </c>
      <c r="K106" s="16" t="inlineStr">
        <is>
          <t>No para PASS primario</t>
        </is>
      </c>
      <c r="L106" s="16" t="inlineStr">
        <is>
          <t>No obligatorio fuera de regresión</t>
        </is>
      </c>
      <c r="M106" s="16" t="inlineStr">
        <is>
          <t>Sí · F5 smoke contractual</t>
        </is>
      </c>
      <c r="N106" s="17" t="inlineStr">
        <is>
          <t>F1</t>
        </is>
      </c>
      <c r="O106" s="6" t="inlineStr">
        <is>
          <t>NO</t>
        </is>
      </c>
      <c r="P106" s="16" t="inlineStr">
        <is>
          <t>El resultado primario se determina en M05 con sus estados/reglas; una salida downstream no se trata como dependencia de entrada.</t>
        </is>
      </c>
      <c r="Q106" s="14" t="inlineStr">
        <is>
          <t>Walvy_M5_Matriz_Trazabilidad_Cliente_v1.2_RESPUESTA_WALVY.xlsx · Matriz Trazabilidad · M5-V09</t>
        </is>
      </c>
      <c r="R106" s="18">
        <f>COUNTIF($B$5:$B$190,B106)</f>
        <v/>
      </c>
    </row>
    <row r="107">
      <c r="A107" s="14" t="inlineStr">
        <is>
          <t>M05</t>
        </is>
      </c>
      <c r="B107" s="14" t="inlineStr">
        <is>
          <t>M5-V10</t>
        </is>
      </c>
      <c r="C107" s="14" t="inlineStr">
        <is>
          <t>Histórico y progreso</t>
        </is>
      </c>
      <c r="D107" s="14" t="inlineStr">
        <is>
          <t>PV-010 · Histórico real disponible</t>
        </is>
      </c>
      <c r="E107" s="14" t="inlineStr">
        <is>
          <t>Periodos cerrados, gasto, objetivos, calidad del dato</t>
        </is>
      </c>
      <c r="F107" s="14" t="inlineStr">
        <is>
          <t>Comparar sin forecast. Usuario: Cambiar periodo cerrado. CTA dominante: Ver periodo. Copy/guardrail: Tu progreso en el tiempo — No forecast.</t>
        </is>
      </c>
      <c r="G107" s="6" t="inlineStr">
        <is>
          <t>M05</t>
        </is>
      </c>
      <c r="H107" s="19" t="inlineStr">
        <is>
          <t>F1 · QA funcional local</t>
        </is>
      </c>
      <c r="I107" s="16" t="inlineStr">
        <is>
          <t>Sí</t>
        </is>
      </c>
      <c r="J107" s="16" t="inlineStr">
        <is>
          <t>No requerido para PASS primario</t>
        </is>
      </c>
      <c r="K107" s="16" t="inlineStr">
        <is>
          <t>No para PASS primario</t>
        </is>
      </c>
      <c r="L107" s="16" t="inlineStr">
        <is>
          <t>No obligatorio fuera de regresión</t>
        </is>
      </c>
      <c r="M107" s="16" t="inlineStr">
        <is>
          <t>Sí · F5 smoke contractual</t>
        </is>
      </c>
      <c r="N107" s="17" t="inlineStr">
        <is>
          <t>F1</t>
        </is>
      </c>
      <c r="O107" s="6" t="inlineStr">
        <is>
          <t>NO</t>
        </is>
      </c>
      <c r="P107" s="16" t="inlineStr">
        <is>
          <t>El resultado primario se determina en M05 con sus estados/reglas; una salida downstream no se trata como dependencia de entrada.</t>
        </is>
      </c>
      <c r="Q107" s="14" t="inlineStr">
        <is>
          <t>Walvy_M5_Matriz_Trazabilidad_Cliente_v1.2_RESPUESTA_WALVY.xlsx · Matriz Trazabilidad · M5-V10</t>
        </is>
      </c>
      <c r="R107" s="18">
        <f>COUNTIF($B$5:$B$190,B107)</f>
        <v/>
      </c>
    </row>
    <row r="108">
      <c r="A108" s="14" t="inlineStr">
        <is>
          <t>M05</t>
        </is>
      </c>
      <c r="B108" s="14" t="inlineStr">
        <is>
          <t>M5-V11</t>
        </is>
      </c>
      <c r="C108" s="14" t="inlineStr">
        <is>
          <t>Home</t>
        </is>
      </c>
      <c r="D108" s="14" t="inlineStr">
        <is>
          <t>PV-011 · Alerta presupuestaria</t>
        </is>
      </c>
      <c r="E108" s="14" t="inlineStr">
        <is>
          <t>Estado presupuesto, umbral</t>
        </is>
      </c>
      <c r="F108" s="14" t="inlineStr">
        <is>
          <t>Exponer señal principal. Usuario: Entrar a presupuesto. CTA dominante: Ver presupuesto. Copy/guardrail: Presupuesto por revisar — Home consume señal.</t>
        </is>
      </c>
      <c r="G108" s="6" t="inlineStr">
        <is>
          <t>M05 produce señal; M03/Home consume y decide superficie</t>
        </is>
      </c>
      <c r="H108" s="15" t="inlineStr">
        <is>
          <t>F3 · M02/M03 / superficie</t>
        </is>
      </c>
      <c r="I108" s="16" t="inlineStr">
        <is>
          <t>Parcial · productor</t>
        </is>
      </c>
      <c r="J108" s="16" t="inlineStr">
        <is>
          <t>Parcial · productor/oráculo sí; no sustituye PASS superficie</t>
        </is>
      </c>
      <c r="K108" s="16" t="inlineStr">
        <is>
          <t>Sí</t>
        </is>
      </c>
      <c r="L108" s="16" t="inlineStr">
        <is>
          <t>Sí · F3/F5</t>
        </is>
      </c>
      <c r="M108" s="16" t="inlineStr">
        <is>
          <t>Sí · F5 journey crítico</t>
        </is>
      </c>
      <c r="N108" s="17" t="inlineStr">
        <is>
          <t>F3</t>
        </is>
      </c>
      <c r="O108" s="21" t="inlineStr">
        <is>
          <t>SÍ</t>
        </is>
      </c>
      <c r="P108" s="16" t="inlineStr">
        <is>
          <t>El criterio de aceptación completo vive en Home/Perfil/avisos o en una superficie M02/M03; el productor puede probarse antes, pero no reemplaza el PASS de superficie.</t>
        </is>
      </c>
      <c r="Q108" s="14" t="inlineStr">
        <is>
          <t>Walvy_M5_Matriz_Trazabilidad_Cliente_v1.2_RESPUESTA_WALVY.xlsx · Matriz Trazabilidad · M5-V11</t>
        </is>
      </c>
      <c r="R108" s="18">
        <f>COUNTIF($B$5:$B$190,B108)</f>
        <v/>
      </c>
    </row>
    <row r="109">
      <c r="A109" s="14" t="inlineStr">
        <is>
          <t>M05</t>
        </is>
      </c>
      <c r="B109" s="14" t="inlineStr">
        <is>
          <t>M5-V12</t>
        </is>
      </c>
      <c r="C109" s="14" t="inlineStr">
        <is>
          <t>Recomendaciones</t>
        </is>
      </c>
      <c r="D109" s="14" t="inlineStr">
        <is>
          <t>PV-012 · Recomendación activa</t>
        </is>
      </c>
      <c r="E109" s="14" t="inlineStr">
        <is>
          <t>Regla, evidencia, vigencia</t>
        </is>
      </c>
      <c r="F109" s="14" t="inlineStr">
        <is>
          <t>Mostrar recomendación. Usuario: Revisar recomendación. CTA dominante: Ver recomendación. Copy/guardrail: Recomendación basada en tus datos — Usuario decide.</t>
        </is>
      </c>
      <c r="G109" s="6" t="inlineStr">
        <is>
          <t>M05</t>
        </is>
      </c>
      <c r="H109" s="19" t="inlineStr">
        <is>
          <t>F1 · QA funcional local</t>
        </is>
      </c>
      <c r="I109" s="16" t="inlineStr">
        <is>
          <t>Sí</t>
        </is>
      </c>
      <c r="J109" s="16" t="inlineStr">
        <is>
          <t>No requerido para PASS primario</t>
        </is>
      </c>
      <c r="K109" s="16" t="inlineStr">
        <is>
          <t>No para PASS primario</t>
        </is>
      </c>
      <c r="L109" s="16" t="inlineStr">
        <is>
          <t>No obligatorio fuera de regresión</t>
        </is>
      </c>
      <c r="M109" s="16" t="inlineStr">
        <is>
          <t>Sí · F5 smoke contractual</t>
        </is>
      </c>
      <c r="N109" s="17" t="inlineStr">
        <is>
          <t>F3</t>
        </is>
      </c>
      <c r="O109" s="21" t="inlineStr">
        <is>
          <t>SÍ</t>
        </is>
      </c>
      <c r="P109" s="16" t="inlineStr">
        <is>
          <t>El resultado primario se determina en M05 con sus estados/reglas; una salida downstream no se trata como dependencia de entrada.</t>
        </is>
      </c>
      <c r="Q109" s="14" t="inlineStr">
        <is>
          <t>Walvy_M5_Matriz_Trazabilidad_Cliente_v1.2_RESPUESTA_WALVY.xlsx · Matriz Trazabilidad · M5-V12</t>
        </is>
      </c>
      <c r="R109" s="18">
        <f>COUNTIF($B$5:$B$190,B109)</f>
        <v/>
      </c>
    </row>
    <row r="110">
      <c r="A110" s="14" t="inlineStr">
        <is>
          <t>M05</t>
        </is>
      </c>
      <c r="B110" s="14" t="inlineStr">
        <is>
          <t>M5-V13</t>
        </is>
      </c>
      <c r="C110" s="14" t="inlineStr">
        <is>
          <t>Ingesta asistida estructurada</t>
        </is>
      </c>
      <c r="D110" s="14" t="inlineStr">
        <is>
          <t>PV-013 · Input válido</t>
        </is>
      </c>
      <c r="E110" s="14" t="inlineStr">
        <is>
          <t>Texto, voz corta, imagen o archivo con estructura mínima</t>
        </is>
      </c>
      <c r="F110" s="14" t="inlineStr">
        <is>
          <t>Extraer candidato estructurado y calcular confianza. Usuario: Revisar datos extraídos. CTA dominante: Confirmar datos</t>
        </is>
      </c>
      <c r="G110" s="6" t="inlineStr">
        <is>
          <t>M05</t>
        </is>
      </c>
      <c r="H110" s="19" t="inlineStr">
        <is>
          <t>F1 · QA funcional local</t>
        </is>
      </c>
      <c r="I110" s="16" t="inlineStr">
        <is>
          <t>Sí</t>
        </is>
      </c>
      <c r="J110" s="16" t="inlineStr">
        <is>
          <t>No requerido para PASS primario</t>
        </is>
      </c>
      <c r="K110" s="16" t="inlineStr">
        <is>
          <t>No para PASS primario</t>
        </is>
      </c>
      <c r="L110" s="16" t="inlineStr">
        <is>
          <t>No obligatorio fuera de regresión</t>
        </is>
      </c>
      <c r="M110" s="16" t="inlineStr">
        <is>
          <t>Sí · F5 smoke contractual</t>
        </is>
      </c>
      <c r="N110" s="17" t="inlineStr">
        <is>
          <t>F1</t>
        </is>
      </c>
      <c r="O110" s="6" t="inlineStr">
        <is>
          <t>NO</t>
        </is>
      </c>
      <c r="P110" s="16" t="inlineStr">
        <is>
          <t>El resultado primario se determina en M05 con sus estados/reglas; una salida downstream no se trata como dependencia de entrada.</t>
        </is>
      </c>
      <c r="Q110" s="14" t="inlineStr">
        <is>
          <t>Walvy_M5_Matriz_Trazabilidad_Cliente_v1.2_RESPUESTA_WALVY.xlsx · Matriz Trazabilidad · M5-V13</t>
        </is>
      </c>
      <c r="R110" s="18">
        <f>COUNTIF($B$5:$B$190,B110)</f>
        <v/>
      </c>
    </row>
    <row r="111">
      <c r="A111" s="14" t="inlineStr">
        <is>
          <t>M05</t>
        </is>
      </c>
      <c r="B111" s="14" t="inlineStr">
        <is>
          <t>M5-V14</t>
        </is>
      </c>
      <c r="C111" s="14" t="inlineStr">
        <is>
          <t>Formato no válido</t>
        </is>
      </c>
      <c r="D111" s="14" t="inlineStr">
        <is>
          <t>PV-014 · Input inválido</t>
        </is>
      </c>
      <c r="E111" s="14" t="inlineStr">
        <is>
          <t>Input sin monto, concepto, estructura financiera o contexto mínimo</t>
        </is>
      </c>
      <c r="F111" s="14" t="inlineStr">
        <is>
          <t>Rechazar interpretación libre y guiar formato. Usuario: Reingresar información. CTA dominante: Reingresar con formato válido. Copy/guardrail: Necesitamos un formato más claro — No interpretar libremente.</t>
        </is>
      </c>
      <c r="G111" s="6" t="inlineStr">
        <is>
          <t>M05</t>
        </is>
      </c>
      <c r="H111" s="19" t="inlineStr">
        <is>
          <t>F1 · QA funcional local</t>
        </is>
      </c>
      <c r="I111" s="16" t="inlineStr">
        <is>
          <t>Sí</t>
        </is>
      </c>
      <c r="J111" s="16" t="inlineStr">
        <is>
          <t>No requerido para PASS primario</t>
        </is>
      </c>
      <c r="K111" s="16" t="inlineStr">
        <is>
          <t>No para PASS primario</t>
        </is>
      </c>
      <c r="L111" s="16" t="inlineStr">
        <is>
          <t>No obligatorio fuera de regresión</t>
        </is>
      </c>
      <c r="M111" s="16" t="inlineStr">
        <is>
          <t>Sí · F5 smoke contractual</t>
        </is>
      </c>
      <c r="N111" s="17" t="inlineStr">
        <is>
          <t>F1</t>
        </is>
      </c>
      <c r="O111" s="6" t="inlineStr">
        <is>
          <t>NO</t>
        </is>
      </c>
      <c r="P111" s="16" t="inlineStr">
        <is>
          <t>El resultado primario se determina en M05 con sus estados/reglas; una salida downstream no se trata como dependencia de entrada.</t>
        </is>
      </c>
      <c r="Q111" s="14" t="inlineStr">
        <is>
          <t>Walvy_M5_Matriz_Trazabilidad_Cliente_v1.2_RESPUESTA_WALVY.xlsx · Matriz Trazabilidad · M5-V14</t>
        </is>
      </c>
      <c r="R111" s="18">
        <f>COUNTIF($B$5:$B$190,B111)</f>
        <v/>
      </c>
    </row>
    <row r="112">
      <c r="A112" s="14" t="inlineStr">
        <is>
          <t>M05</t>
        </is>
      </c>
      <c r="B112" s="14" t="inlineStr">
        <is>
          <t>M5-V15</t>
        </is>
      </c>
      <c r="C112" s="14" t="inlineStr">
        <is>
          <t>Extracción pendiente de confirmación</t>
        </is>
      </c>
      <c r="D112" s="14" t="inlineStr">
        <is>
          <t>PV-015 · Datos extraídos con impacto financiero</t>
        </is>
      </c>
      <c r="E112" s="14" t="inlineStr">
        <is>
          <t>Monto, fecha, categoría, glosa o tipo de movimiento extraído</t>
        </is>
      </c>
      <c r="F112" s="14" t="inlineStr">
        <is>
          <t>Bloquear consolidación hasta confirmación o confianza suficiente. Usuario: Confirmar o corregir extracción. CTA dominante: Confirmar extracción. Copy/guardrail: Confirma estos datos — Usuario decide.</t>
        </is>
      </c>
      <c r="G112" s="6" t="inlineStr">
        <is>
          <t>M05</t>
        </is>
      </c>
      <c r="H112" s="19" t="inlineStr">
        <is>
          <t>F1 · QA funcional local</t>
        </is>
      </c>
      <c r="I112" s="16" t="inlineStr">
        <is>
          <t>Sí</t>
        </is>
      </c>
      <c r="J112" s="16" t="inlineStr">
        <is>
          <t>No requerido para PASS primario</t>
        </is>
      </c>
      <c r="K112" s="16" t="inlineStr">
        <is>
          <t>No para PASS primario</t>
        </is>
      </c>
      <c r="L112" s="16" t="inlineStr">
        <is>
          <t>No obligatorio fuera de regresión</t>
        </is>
      </c>
      <c r="M112" s="16" t="inlineStr">
        <is>
          <t>Sí · F5 smoke contractual</t>
        </is>
      </c>
      <c r="N112" s="17" t="inlineStr">
        <is>
          <t>F2</t>
        </is>
      </c>
      <c r="O112" s="21" t="inlineStr">
        <is>
          <t>SÍ</t>
        </is>
      </c>
      <c r="P112" s="16" t="inlineStr">
        <is>
          <t>El resultado primario se determina en M05 con sus estados/reglas; una salida downstream no se trata como dependencia de entrada.</t>
        </is>
      </c>
      <c r="Q112" s="14" t="inlineStr">
        <is>
          <t>Walvy_M5_Matriz_Trazabilidad_Cliente_v1.2_RESPUESTA_WALVY.xlsx · Matriz Trazabilidad · M5-V15</t>
        </is>
      </c>
      <c r="R112" s="18">
        <f>COUNTIF($B$5:$B$190,B112)</f>
        <v/>
      </c>
    </row>
    <row r="113">
      <c r="A113" s="14" t="inlineStr">
        <is>
          <t>M05</t>
        </is>
      </c>
      <c r="B113" s="14" t="inlineStr">
        <is>
          <t>M5-V16</t>
        </is>
      </c>
      <c r="C113" s="14" t="inlineStr">
        <is>
          <t>Voz demasiado larga o relato libre</t>
        </is>
      </c>
      <c r="D113" s="14" t="inlineStr">
        <is>
          <t>PV-016 · Audio fuera de estándar</t>
        </is>
      </c>
      <c r="E113" s="14" t="inlineStr">
        <is>
          <t>Audio extenso, narrativo o con múltiples ideas no estructuradas</t>
        </is>
      </c>
      <c r="F113" s="14" t="inlineStr">
        <is>
          <t>Pedir reingreso breve y estructurado. Usuario: Reingresar audio o texto corto. CTA dominante: Reingresar con formato válido. Copy/guardrail: Hazlo más breve — Voz MVP 10 a 15 segundos.</t>
        </is>
      </c>
      <c r="G113" s="6" t="inlineStr">
        <is>
          <t>M05</t>
        </is>
      </c>
      <c r="H113" s="19" t="inlineStr">
        <is>
          <t>F1 · QA funcional local</t>
        </is>
      </c>
      <c r="I113" s="16" t="inlineStr">
        <is>
          <t>Sí</t>
        </is>
      </c>
      <c r="J113" s="16" t="inlineStr">
        <is>
          <t>No requerido para PASS primario</t>
        </is>
      </c>
      <c r="K113" s="16" t="inlineStr">
        <is>
          <t>No para PASS primario</t>
        </is>
      </c>
      <c r="L113" s="16" t="inlineStr">
        <is>
          <t>No obligatorio fuera de regresión</t>
        </is>
      </c>
      <c r="M113" s="16" t="inlineStr">
        <is>
          <t>Sí · F5 smoke contractual</t>
        </is>
      </c>
      <c r="N113" s="17" t="inlineStr">
        <is>
          <t>F1</t>
        </is>
      </c>
      <c r="O113" s="6" t="inlineStr">
        <is>
          <t>NO</t>
        </is>
      </c>
      <c r="P113" s="16" t="inlineStr">
        <is>
          <t>El resultado primario se determina en M05 con sus estados/reglas; una salida downstream no se trata como dependencia de entrada.</t>
        </is>
      </c>
      <c r="Q113" s="14" t="inlineStr">
        <is>
          <t>Walvy_M5_Matriz_Trazabilidad_Cliente_v1.2_RESPUESTA_WALVY.xlsx · Matriz Trazabilidad · M5-V16</t>
        </is>
      </c>
      <c r="R113" s="18">
        <f>COUNTIF($B$5:$B$190,B113)</f>
        <v/>
      </c>
    </row>
    <row r="114">
      <c r="A114" s="14" t="inlineStr">
        <is>
          <t>M05</t>
        </is>
      </c>
      <c r="B114" s="14" t="inlineStr">
        <is>
          <t>M5-V17</t>
        </is>
      </c>
      <c r="C114" s="14" t="inlineStr">
        <is>
          <t>Archivo sin estructura financiera</t>
        </is>
      </c>
      <c r="D114" s="14" t="inlineStr">
        <is>
          <t>PV-017 · Archivo ambiguo o no financiero</t>
        </is>
      </c>
      <c r="E114" s="14" t="inlineStr">
        <is>
          <t>Archivo sin tabla, montos, movimientos, ingresos, gastos o compromisos reconocibles</t>
        </is>
      </c>
      <c r="F114" s="14" t="inlineStr">
        <is>
          <t>Rechazar interpretación libre. Usuario: Subir archivo válido. CTA dominante: Subir archivo válido. Copy/guardrail: No encontramos datos claros — No usar LLM libre.</t>
        </is>
      </c>
      <c r="G114" s="6" t="inlineStr">
        <is>
          <t>M05</t>
        </is>
      </c>
      <c r="H114" s="19" t="inlineStr">
        <is>
          <t>F1 · QA funcional local</t>
        </is>
      </c>
      <c r="I114" s="16" t="inlineStr">
        <is>
          <t>Sí</t>
        </is>
      </c>
      <c r="J114" s="16" t="inlineStr">
        <is>
          <t>No requerido para PASS primario</t>
        </is>
      </c>
      <c r="K114" s="16" t="inlineStr">
        <is>
          <t>No para PASS primario</t>
        </is>
      </c>
      <c r="L114" s="16" t="inlineStr">
        <is>
          <t>No obligatorio fuera de regresión</t>
        </is>
      </c>
      <c r="M114" s="16" t="inlineStr">
        <is>
          <t>Sí · F5 smoke contractual</t>
        </is>
      </c>
      <c r="N114" s="17" t="inlineStr">
        <is>
          <t>F1</t>
        </is>
      </c>
      <c r="O114" s="6" t="inlineStr">
        <is>
          <t>NO</t>
        </is>
      </c>
      <c r="P114" s="16" t="inlineStr">
        <is>
          <t>El resultado primario se determina en M05 con sus estados/reglas; una salida downstream no se trata como dependencia de entrada.</t>
        </is>
      </c>
      <c r="Q114" s="14" t="inlineStr">
        <is>
          <t>Walvy_M5_Matriz_Trazabilidad_Cliente_v1.2_RESPUESTA_WALVY.xlsx · Matriz Trazabilidad · M5-V17</t>
        </is>
      </c>
      <c r="R114" s="18">
        <f>COUNTIF($B$5:$B$190,B114)</f>
        <v/>
      </c>
    </row>
    <row r="115">
      <c r="A115" s="14" t="inlineStr">
        <is>
          <t>M05</t>
        </is>
      </c>
      <c r="B115" s="14" t="inlineStr">
        <is>
          <t>M5-V18</t>
        </is>
      </c>
      <c r="C115" s="14" t="inlineStr">
        <is>
          <t>Plan de recuperación</t>
        </is>
      </c>
      <c r="D115" s="14" t="inlineStr">
        <is>
          <t>PV-018 · Brecha, sobreconsumo, compra puntual o fuga con impacto</t>
        </is>
      </c>
      <c r="E115" s="14" t="inlineStr">
        <is>
          <t>Brecha, objetivo, gasto real, evidencia y confianza</t>
        </is>
      </c>
      <c r="F115" s="14" t="inlineStr">
        <is>
          <t>Seleccionar estrategia predefinida de recuperación. Usuario: Revisar o aceptar ruta sugerida. CTA dominante: Crear plan de recuperación. Copy/guardrail: Recuperar equilibrio — No asesoría financiera.</t>
        </is>
      </c>
      <c r="G115" s="6" t="inlineStr">
        <is>
          <t>M05</t>
        </is>
      </c>
      <c r="H115" s="19" t="inlineStr">
        <is>
          <t>F1 · QA funcional local</t>
        </is>
      </c>
      <c r="I115" s="16" t="inlineStr">
        <is>
          <t>Sí</t>
        </is>
      </c>
      <c r="J115" s="16" t="inlineStr">
        <is>
          <t>No requerido para PASS primario</t>
        </is>
      </c>
      <c r="K115" s="16" t="inlineStr">
        <is>
          <t>No para PASS primario</t>
        </is>
      </c>
      <c r="L115" s="16" t="inlineStr">
        <is>
          <t>No obligatorio fuera de regresión</t>
        </is>
      </c>
      <c r="M115" s="16" t="inlineStr">
        <is>
          <t>Sí · F5 journey crítico</t>
        </is>
      </c>
      <c r="N115" s="17" t="inlineStr">
        <is>
          <t>F2</t>
        </is>
      </c>
      <c r="O115" s="21" t="inlineStr">
        <is>
          <t>SÍ</t>
        </is>
      </c>
      <c r="P115" s="16" t="inlineStr">
        <is>
          <t>El resultado primario se determina en M05 con sus estados/reglas; una salida downstream no se trata como dependencia de entrada.</t>
        </is>
      </c>
      <c r="Q115" s="14" t="inlineStr">
        <is>
          <t>Walvy_M5_Matriz_Trazabilidad_Cliente_v1.2_RESPUESTA_WALVY.xlsx · Matriz Trazabilidad · M5-V18</t>
        </is>
      </c>
      <c r="R115" s="18">
        <f>COUNTIF($B$5:$B$190,B115)</f>
        <v/>
      </c>
    </row>
    <row r="116">
      <c r="A116" s="14" t="inlineStr">
        <is>
          <t>M05</t>
        </is>
      </c>
      <c r="B116" s="14" t="inlineStr">
        <is>
          <t>M5-V19</t>
        </is>
      </c>
      <c r="C116" s="14" t="inlineStr">
        <is>
          <t>Derivación Ruta Despeje</t>
        </is>
      </c>
      <c r="D116" s="14" t="inlineStr">
        <is>
          <t>PV-019 · Riesgo deuda, mora, liquidez crítica o capacidad de pago</t>
        </is>
      </c>
      <c r="E116" s="14" t="inlineStr">
        <is>
          <t>Brecha, compromisos, deuda/mora o presión de pago</t>
        </is>
      </c>
      <c r="F116" s="14" t="inlineStr">
        <is>
          <t>Prellenar Ruta Despeje sin aplicar automáticamente. Usuario: Aprobar o descartar derivación. CTA dominante: Ir a Ruta Despeje. Copy/guardrail: Revisar con Ruta Despeje — Prellenado + aprobación.</t>
        </is>
      </c>
      <c r="G116" s="6" t="inlineStr">
        <is>
          <t>Consume deuda/mora/presión para derivación controlada a M04</t>
        </is>
      </c>
      <c r="H116" s="20" t="inlineStr">
        <is>
          <t>F2 · Fixture cross-contract</t>
        </is>
      </c>
      <c r="I116" s="16" t="inlineStr">
        <is>
          <t>No como PASS completo</t>
        </is>
      </c>
      <c r="J116" s="16" t="inlineStr">
        <is>
          <t>Sí · fixture/payload canónico</t>
        </is>
      </c>
      <c r="K116" s="16" t="inlineStr">
        <is>
          <t>No para PASS primario</t>
        </is>
      </c>
      <c r="L116" s="16" t="inlineStr">
        <is>
          <t>Sí · F4</t>
        </is>
      </c>
      <c r="M116" s="16" t="inlineStr">
        <is>
          <t>Sí · F5 journey crítico</t>
        </is>
      </c>
      <c r="N116" s="17" t="inlineStr">
        <is>
          <t>F4/F5</t>
        </is>
      </c>
      <c r="O116" s="21" t="inlineStr">
        <is>
          <t>SÍ</t>
        </is>
      </c>
      <c r="P116" s="16" t="inlineStr">
        <is>
          <t>El resultado CONSUME un contrato upstream; el contrato está cerrado y admite fixture/oráculo reproducible antes del E2E real.</t>
        </is>
      </c>
      <c r="Q116" s="14" t="inlineStr">
        <is>
          <t>Walvy_M5_Matriz_Trazabilidad_Cliente_v1.2_RESPUESTA_WALVY.xlsx · Matriz Trazabilidad · M5-V19</t>
        </is>
      </c>
      <c r="R116" s="18">
        <f>COUNTIF($B$5:$B$190,B116)</f>
        <v/>
      </c>
    </row>
    <row r="117">
      <c r="A117" s="14" t="inlineStr">
        <is>
          <t>M05</t>
        </is>
      </c>
      <c r="B117" s="14" t="inlineStr">
        <is>
          <t>M5-V20</t>
        </is>
      </c>
      <c r="C117" s="14" t="inlineStr">
        <is>
          <t>Sugerencia foco del mes</t>
        </is>
      </c>
      <c r="D117" s="14" t="inlineStr">
        <is>
          <t>PV-020 · Plan activo con estrategia dominante</t>
        </is>
      </c>
      <c r="E117" s="14" t="inlineStr">
        <is>
          <t>Plan de recuperación activo y foco equivalente aprobado en M2</t>
        </is>
      </c>
      <c r="F117" s="14" t="inlineStr">
        <is>
          <t>Buscar foco aprobado equivalente en M2. Usuario: Aprobar actualización o mantener foco. CTA dominante: Actualizar foco del mes. Copy/guardrail: Alinear con tu foco — Solo catálogo M2.</t>
        </is>
      </c>
      <c r="G117" s="6" t="inlineStr">
        <is>
          <t>Consume catálogo/foco aprobado M02; actualización real pertenece a M02</t>
        </is>
      </c>
      <c r="H117" s="15" t="inlineStr">
        <is>
          <t>F3 · M02/M03 / superficie</t>
        </is>
      </c>
      <c r="I117" s="16" t="inlineStr">
        <is>
          <t>Parcial · productor</t>
        </is>
      </c>
      <c r="J117" s="16" t="inlineStr">
        <is>
          <t>Sí · para input M02; no sustituye E2E M02</t>
        </is>
      </c>
      <c r="K117" s="16" t="inlineStr">
        <is>
          <t>Sí</t>
        </is>
      </c>
      <c r="L117" s="16" t="inlineStr">
        <is>
          <t>Sí · F3/F5</t>
        </is>
      </c>
      <c r="M117" s="16" t="inlineStr">
        <is>
          <t>Sí · F5 journey crítico</t>
        </is>
      </c>
      <c r="N117" s="17" t="inlineStr">
        <is>
          <t>F2</t>
        </is>
      </c>
      <c r="O117" s="21" t="inlineStr">
        <is>
          <t>SÍ</t>
        </is>
      </c>
      <c r="P117" s="16" t="inlineStr">
        <is>
          <t>El criterio de aceptación completo vive en Home/Perfil/avisos o en una superficie M02/M03; el productor puede probarse antes, pero no reemplaza el PASS de superficie.</t>
        </is>
      </c>
      <c r="Q117" s="14" t="inlineStr">
        <is>
          <t>Walvy_M5_Matriz_Trazabilidad_Cliente_v1.2_RESPUESTA_WALVY.xlsx · Matriz Trazabilidad · M5-V20</t>
        </is>
      </c>
      <c r="R117" s="18">
        <f>COUNTIF($B$5:$B$190,B117)</f>
        <v/>
      </c>
    </row>
    <row r="118">
      <c r="A118" s="14" t="inlineStr">
        <is>
          <t>M05</t>
        </is>
      </c>
      <c r="B118" s="14" t="inlineStr">
        <is>
          <t>M5-V21</t>
        </is>
      </c>
      <c r="C118" s="14" t="inlineStr">
        <is>
          <t>Umbrales</t>
        </is>
      </c>
      <c r="D118" s="14" t="inlineStr">
        <is>
          <t>Seguimiento informativo 50%-79%</t>
        </is>
      </c>
      <c r="E118" s="14" t="inlineStr">
        <is>
          <t>Avance entre 50% y 79% del objetivo</t>
        </is>
      </c>
      <c r="F118" s="14" t="inlineStr">
        <is>
          <t>Mostrar seguimiento informativo sin dramatizar; no competir con señales de mayor severidad.</t>
        </is>
      </c>
      <c r="G118" s="6" t="inlineStr">
        <is>
          <t>M05</t>
        </is>
      </c>
      <c r="H118" s="19" t="inlineStr">
        <is>
          <t>F1 · QA funcional local</t>
        </is>
      </c>
      <c r="I118" s="16" t="inlineStr">
        <is>
          <t>Sí</t>
        </is>
      </c>
      <c r="J118" s="16" t="inlineStr">
        <is>
          <t>No requerido para PASS primario</t>
        </is>
      </c>
      <c r="K118" s="16" t="inlineStr">
        <is>
          <t>No para PASS primario</t>
        </is>
      </c>
      <c r="L118" s="16" t="inlineStr">
        <is>
          <t>No obligatorio fuera de regresión</t>
        </is>
      </c>
      <c r="M118" s="16" t="inlineStr">
        <is>
          <t>Sí · F5 journey crítico</t>
        </is>
      </c>
      <c r="N118" s="17" t="inlineStr">
        <is>
          <t>F1</t>
        </is>
      </c>
      <c r="O118" s="6" t="inlineStr">
        <is>
          <t>NO</t>
        </is>
      </c>
      <c r="P118" s="16" t="inlineStr">
        <is>
          <t>El resultado primario se determina en M05 con sus estados/reglas; una salida downstream no se trata como dependencia de entrada.</t>
        </is>
      </c>
      <c r="Q118" s="14" t="inlineStr">
        <is>
          <t>Walvy_M5_Matriz_Trazabilidad_Cliente_v1.2_RESPUESTA_WALVY.xlsx · Matriz Trazabilidad · M5-V21</t>
        </is>
      </c>
      <c r="R118" s="18">
        <f>COUNTIF($B$5:$B$190,B118)</f>
        <v/>
      </c>
    </row>
    <row r="119">
      <c r="A119" s="14" t="inlineStr">
        <is>
          <t>M05</t>
        </is>
      </c>
      <c r="B119" s="14" t="inlineStr">
        <is>
          <t>M5-V22</t>
        </is>
      </c>
      <c r="C119" s="14" t="inlineStr">
        <is>
          <t>Umbrales</t>
        </is>
      </c>
      <c r="D119" s="14" t="inlineStr">
        <is>
          <t>Umbral preventivo 80%-89%</t>
        </is>
      </c>
      <c r="E119" s="14" t="inlineStr">
        <is>
          <t>Avance entre 80% y 89% del objetivo</t>
        </is>
      </c>
      <c r="F119" s="14" t="inlineStr">
        <is>
          <t>Mostrar señal preventiva y CTA Revisar categoría.</t>
        </is>
      </c>
      <c r="G119" s="6" t="inlineStr">
        <is>
          <t>M05</t>
        </is>
      </c>
      <c r="H119" s="19" t="inlineStr">
        <is>
          <t>F1 · QA funcional local</t>
        </is>
      </c>
      <c r="I119" s="16" t="inlineStr">
        <is>
          <t>Sí</t>
        </is>
      </c>
      <c r="J119" s="16" t="inlineStr">
        <is>
          <t>No requerido para PASS primario</t>
        </is>
      </c>
      <c r="K119" s="16" t="inlineStr">
        <is>
          <t>No para PASS primario</t>
        </is>
      </c>
      <c r="L119" s="16" t="inlineStr">
        <is>
          <t>No obligatorio fuera de regresión</t>
        </is>
      </c>
      <c r="M119" s="16" t="inlineStr">
        <is>
          <t>Sí · F5 journey crítico</t>
        </is>
      </c>
      <c r="N119" s="17" t="inlineStr">
        <is>
          <t>F1</t>
        </is>
      </c>
      <c r="O119" s="6" t="inlineStr">
        <is>
          <t>NO</t>
        </is>
      </c>
      <c r="P119" s="16" t="inlineStr">
        <is>
          <t>El resultado primario se determina en M05 con sus estados/reglas; una salida downstream no se trata como dependencia de entrada.</t>
        </is>
      </c>
      <c r="Q119" s="14" t="inlineStr">
        <is>
          <t>Walvy_M5_Matriz_Trazabilidad_Cliente_v1.2_RESPUESTA_WALVY.xlsx · Matriz Trazabilidad · M5-V22</t>
        </is>
      </c>
      <c r="R119" s="18">
        <f>COUNTIF($B$5:$B$190,B119)</f>
        <v/>
      </c>
    </row>
    <row r="120">
      <c r="A120" s="14" t="inlineStr">
        <is>
          <t>M05</t>
        </is>
      </c>
      <c r="B120" s="14" t="inlineStr">
        <is>
          <t>M5-V23</t>
        </is>
      </c>
      <c r="C120" s="14" t="inlineStr">
        <is>
          <t>Umbrales</t>
        </is>
      </c>
      <c r="D120" s="14" t="inlineStr">
        <is>
          <t>Umbral advertencia 90%-99%</t>
        </is>
      </c>
      <c r="E120" s="14" t="inlineStr">
        <is>
          <t>Avance entre 90% y 99% del objetivo</t>
        </is>
      </c>
      <c r="F120" s="14" t="inlineStr">
        <is>
          <t>Mostrar advertencia y CTA Revisar presupuesto; no duplicar recomendación si no aporta.</t>
        </is>
      </c>
      <c r="G120" s="6" t="inlineStr">
        <is>
          <t>M05</t>
        </is>
      </c>
      <c r="H120" s="19" t="inlineStr">
        <is>
          <t>F1 · QA funcional local</t>
        </is>
      </c>
      <c r="I120" s="16" t="inlineStr">
        <is>
          <t>Sí</t>
        </is>
      </c>
      <c r="J120" s="16" t="inlineStr">
        <is>
          <t>No requerido para PASS primario</t>
        </is>
      </c>
      <c r="K120" s="16" t="inlineStr">
        <is>
          <t>No para PASS primario</t>
        </is>
      </c>
      <c r="L120" s="16" t="inlineStr">
        <is>
          <t>No obligatorio fuera de regresión</t>
        </is>
      </c>
      <c r="M120" s="16" t="inlineStr">
        <is>
          <t>Sí · F5 journey crítico</t>
        </is>
      </c>
      <c r="N120" s="17" t="inlineStr">
        <is>
          <t>F1</t>
        </is>
      </c>
      <c r="O120" s="6" t="inlineStr">
        <is>
          <t>NO</t>
        </is>
      </c>
      <c r="P120" s="16" t="inlineStr">
        <is>
          <t>El resultado primario se determina en M05 con sus estados/reglas; una salida downstream no se trata como dependencia de entrada.</t>
        </is>
      </c>
      <c r="Q120" s="14" t="inlineStr">
        <is>
          <t>Walvy_M5_Matriz_Trazabilidad_Cliente_v1.2_RESPUESTA_WALVY.xlsx · Matriz Trazabilidad · M5-V23</t>
        </is>
      </c>
      <c r="R120" s="18">
        <f>COUNTIF($B$5:$B$190,B120)</f>
        <v/>
      </c>
    </row>
    <row r="121">
      <c r="A121" s="14" t="inlineStr">
        <is>
          <t>M05</t>
        </is>
      </c>
      <c r="B121" s="14" t="inlineStr">
        <is>
          <t>M5-V24</t>
        </is>
      </c>
      <c r="C121" s="14" t="inlineStr">
        <is>
          <t>Umbrales</t>
        </is>
      </c>
      <c r="D121" s="14" t="inlineStr">
        <is>
          <t>Límite alcanzado 100%</t>
        </is>
      </c>
      <c r="E121" s="14" t="inlineStr">
        <is>
          <t>Gasto real igual al objetivo</t>
        </is>
      </c>
      <c r="F121" s="14" t="inlineStr">
        <is>
          <t>Mostrar límite alcanzado; CTA Revisar categoría / Ajustar objetivo; no reasignar automáticamente.</t>
        </is>
      </c>
      <c r="G121" s="6" t="inlineStr">
        <is>
          <t>M05</t>
        </is>
      </c>
      <c r="H121" s="19" t="inlineStr">
        <is>
          <t>F1 · QA funcional local</t>
        </is>
      </c>
      <c r="I121" s="16" t="inlineStr">
        <is>
          <t>Sí</t>
        </is>
      </c>
      <c r="J121" s="16" t="inlineStr">
        <is>
          <t>No requerido para PASS primario</t>
        </is>
      </c>
      <c r="K121" s="16" t="inlineStr">
        <is>
          <t>No para PASS primario</t>
        </is>
      </c>
      <c r="L121" s="16" t="inlineStr">
        <is>
          <t>No obligatorio fuera de regresión</t>
        </is>
      </c>
      <c r="M121" s="16" t="inlineStr">
        <is>
          <t>Sí · F5 journey crítico</t>
        </is>
      </c>
      <c r="N121" s="17" t="inlineStr">
        <is>
          <t>F1</t>
        </is>
      </c>
      <c r="O121" s="6" t="inlineStr">
        <is>
          <t>NO</t>
        </is>
      </c>
      <c r="P121" s="16" t="inlineStr">
        <is>
          <t>El resultado primario se determina en M05 con sus estados/reglas; una salida downstream no se trata como dependencia de entrada.</t>
        </is>
      </c>
      <c r="Q121" s="14" t="inlineStr">
        <is>
          <t>Walvy_M5_Matriz_Trazabilidad_Cliente_v1.2_RESPUESTA_WALVY.xlsx · Matriz Trazabilidad · M5-V24</t>
        </is>
      </c>
      <c r="R121" s="18">
        <f>COUNTIF($B$5:$B$190,B121)</f>
        <v/>
      </c>
    </row>
    <row r="122">
      <c r="A122" s="14" t="inlineStr">
        <is>
          <t>M05</t>
        </is>
      </c>
      <c r="B122" s="14" t="inlineStr">
        <is>
          <t>M5-V25</t>
        </is>
      </c>
      <c r="C122" s="14" t="inlineStr">
        <is>
          <t>Umbrales</t>
        </is>
      </c>
      <c r="D122" s="14" t="inlineStr">
        <is>
          <t>Sobreconsumo &gt;100%</t>
        </is>
      </c>
      <c r="E122" s="14" t="inlineStr">
        <is>
          <t>Gasto real supera el objetivo</t>
        </is>
      </c>
      <c r="F122" s="14" t="inlineStr">
        <is>
          <t>Mostrar sobreconsumo con evidencia y CTA Revisar movimientos.</t>
        </is>
      </c>
      <c r="G122" s="6" t="inlineStr">
        <is>
          <t>M05</t>
        </is>
      </c>
      <c r="H122" s="19" t="inlineStr">
        <is>
          <t>F1 · QA funcional local</t>
        </is>
      </c>
      <c r="I122" s="16" t="inlineStr">
        <is>
          <t>Sí</t>
        </is>
      </c>
      <c r="J122" s="16" t="inlineStr">
        <is>
          <t>No requerido para PASS primario</t>
        </is>
      </c>
      <c r="K122" s="16" t="inlineStr">
        <is>
          <t>No para PASS primario</t>
        </is>
      </c>
      <c r="L122" s="16" t="inlineStr">
        <is>
          <t>No obligatorio fuera de regresión</t>
        </is>
      </c>
      <c r="M122" s="16" t="inlineStr">
        <is>
          <t>Sí · F5 journey crítico</t>
        </is>
      </c>
      <c r="N122" s="17" t="inlineStr">
        <is>
          <t>F1</t>
        </is>
      </c>
      <c r="O122" s="6" t="inlineStr">
        <is>
          <t>NO</t>
        </is>
      </c>
      <c r="P122" s="16" t="inlineStr">
        <is>
          <t>El resultado primario se determina en M05 con sus estados/reglas; una salida downstream no se trata como dependencia de entrada.</t>
        </is>
      </c>
      <c r="Q122" s="14" t="inlineStr">
        <is>
          <t>Walvy_M5_Matriz_Trazabilidad_Cliente_v1.2_RESPUESTA_WALVY.xlsx · Matriz Trazabilidad · M5-V25</t>
        </is>
      </c>
      <c r="R122" s="18">
        <f>COUNTIF($B$5:$B$190,B122)</f>
        <v/>
      </c>
    </row>
    <row r="123">
      <c r="A123" s="14" t="inlineStr">
        <is>
          <t>M05</t>
        </is>
      </c>
      <c r="B123" s="14" t="inlineStr">
        <is>
          <t>M5-V26</t>
        </is>
      </c>
      <c r="C123" s="14" t="inlineStr">
        <is>
          <t>Umbrales</t>
        </is>
      </c>
      <c r="D123" s="14" t="inlineStr">
        <is>
          <t>Sobreconsumo alto &gt;=110%</t>
        </is>
      </c>
      <c r="E123" s="14" t="inlineStr">
        <is>
          <t>Gasto real alcanza o supera 110% del objetivo</t>
        </is>
      </c>
      <c r="F123" s="14" t="inlineStr">
        <is>
          <t>Elevar prioridad conforme regla producto; mantener baja confianza dominante y acción revisable.</t>
        </is>
      </c>
      <c r="G123" s="6" t="inlineStr">
        <is>
          <t>M05</t>
        </is>
      </c>
      <c r="H123" s="19" t="inlineStr">
        <is>
          <t>F1 · QA funcional local</t>
        </is>
      </c>
      <c r="I123" s="16" t="inlineStr">
        <is>
          <t>Sí</t>
        </is>
      </c>
      <c r="J123" s="16" t="inlineStr">
        <is>
          <t>No requerido para PASS primario</t>
        </is>
      </c>
      <c r="K123" s="16" t="inlineStr">
        <is>
          <t>No para PASS primario</t>
        </is>
      </c>
      <c r="L123" s="16" t="inlineStr">
        <is>
          <t>No obligatorio fuera de regresión</t>
        </is>
      </c>
      <c r="M123" s="16" t="inlineStr">
        <is>
          <t>Sí · F5 journey crítico</t>
        </is>
      </c>
      <c r="N123" s="17" t="inlineStr">
        <is>
          <t>F1</t>
        </is>
      </c>
      <c r="O123" s="6" t="inlineStr">
        <is>
          <t>NO</t>
        </is>
      </c>
      <c r="P123" s="16" t="inlineStr">
        <is>
          <t>El resultado primario se determina en M05 con sus estados/reglas; una salida downstream no se trata como dependencia de entrada.</t>
        </is>
      </c>
      <c r="Q123" s="14" t="inlineStr">
        <is>
          <t>Walvy_M5_Matriz_Trazabilidad_Cliente_v1.2_RESPUESTA_WALVY.xlsx · Matriz Trazabilidad · M5-V26</t>
        </is>
      </c>
      <c r="R123" s="18">
        <f>COUNTIF($B$5:$B$190,B123)</f>
        <v/>
      </c>
    </row>
    <row r="124">
      <c r="A124" s="14" t="inlineStr">
        <is>
          <t>M05</t>
        </is>
      </c>
      <c r="B124" s="14" t="inlineStr">
        <is>
          <t>M5-V27</t>
        </is>
      </c>
      <c r="C124" s="14" t="inlineStr">
        <is>
          <t>Patrones de gasto</t>
        </is>
      </c>
      <c r="D124" s="14" t="inlineStr">
        <is>
          <t>Gasto hormiga / fuga</t>
        </is>
      </c>
      <c r="E124" s="14" t="inlineStr">
        <is>
          <t>Patrón recurrente o drenante con exclusiones aplicadas</t>
        </is>
      </c>
      <c r="F124" s="14" t="inlineStr">
        <is>
          <t>Mostrar card/insight con evidencia; no definir fuga solo por monto bajo.</t>
        </is>
      </c>
      <c r="G124" s="6" t="inlineStr">
        <is>
          <t>M05</t>
        </is>
      </c>
      <c r="H124" s="19" t="inlineStr">
        <is>
          <t>F1 · QA funcional local</t>
        </is>
      </c>
      <c r="I124" s="16" t="inlineStr">
        <is>
          <t>Sí</t>
        </is>
      </c>
      <c r="J124" s="16" t="inlineStr">
        <is>
          <t>No requerido para PASS primario</t>
        </is>
      </c>
      <c r="K124" s="16" t="inlineStr">
        <is>
          <t>No para PASS primario</t>
        </is>
      </c>
      <c r="L124" s="16" t="inlineStr">
        <is>
          <t>No obligatorio fuera de regresión</t>
        </is>
      </c>
      <c r="M124" s="16" t="inlineStr">
        <is>
          <t>Sí · F5 smoke contractual</t>
        </is>
      </c>
      <c r="N124" s="17" t="inlineStr">
        <is>
          <t>F2</t>
        </is>
      </c>
      <c r="O124" s="21" t="inlineStr">
        <is>
          <t>SÍ</t>
        </is>
      </c>
      <c r="P124" s="16" t="inlineStr">
        <is>
          <t>El resultado primario se determina en M05 con sus estados/reglas; una salida downstream no se trata como dependencia de entrada.</t>
        </is>
      </c>
      <c r="Q124" s="14" t="inlineStr">
        <is>
          <t>Walvy_M5_Matriz_Trazabilidad_Cliente_v1.2_RESPUESTA_WALVY.xlsx · Matriz Trazabilidad · M5-V27</t>
        </is>
      </c>
      <c r="R124" s="18">
        <f>COUNTIF($B$5:$B$190,B124)</f>
        <v/>
      </c>
    </row>
    <row r="125">
      <c r="A125" s="14" t="inlineStr">
        <is>
          <t>M05</t>
        </is>
      </c>
      <c r="B125" s="14" t="inlineStr">
        <is>
          <t>M5-V28</t>
        </is>
      </c>
      <c r="C125" s="14" t="inlineStr">
        <is>
          <t>Margen estimado</t>
        </is>
      </c>
      <c r="D125" s="14" t="inlineStr">
        <is>
          <t>Margen estimado como ahorro</t>
        </is>
      </c>
      <c r="E125" s="14" t="inlineStr">
        <is>
          <t>Subejecución coincide con mejora de capacidad de ahorro</t>
        </is>
      </c>
      <c r="F125" s="14" t="inlineStr">
        <is>
          <t>Mostrar hipótesis prudente de contribución a ahorro; no afirmar causalidad absoluta.</t>
        </is>
      </c>
      <c r="G125" s="6" t="inlineStr">
        <is>
          <t>M05</t>
        </is>
      </c>
      <c r="H125" s="19" t="inlineStr">
        <is>
          <t>F1 · QA funcional local</t>
        </is>
      </c>
      <c r="I125" s="16" t="inlineStr">
        <is>
          <t>Sí</t>
        </is>
      </c>
      <c r="J125" s="16" t="inlineStr">
        <is>
          <t>No requerido para PASS primario</t>
        </is>
      </c>
      <c r="K125" s="16" t="inlineStr">
        <is>
          <t>No para PASS primario</t>
        </is>
      </c>
      <c r="L125" s="16" t="inlineStr">
        <is>
          <t>No obligatorio fuera de regresión</t>
        </is>
      </c>
      <c r="M125" s="16" t="inlineStr">
        <is>
          <t>Sí · F5 smoke contractual</t>
        </is>
      </c>
      <c r="N125" s="17" t="inlineStr">
        <is>
          <t>F1</t>
        </is>
      </c>
      <c r="O125" s="6" t="inlineStr">
        <is>
          <t>NO</t>
        </is>
      </c>
      <c r="P125" s="16" t="inlineStr">
        <is>
          <t>El resultado primario se determina en M05 con sus estados/reglas; una salida downstream no se trata como dependencia de entrada.</t>
        </is>
      </c>
      <c r="Q125" s="14" t="inlineStr">
        <is>
          <t>Walvy_M5_Matriz_Trazabilidad_Cliente_v1.2_RESPUESTA_WALVY.xlsx · Matriz Trazabilidad · M5-V28</t>
        </is>
      </c>
      <c r="R125" s="18">
        <f>COUNTIF($B$5:$B$190,B125)</f>
        <v/>
      </c>
    </row>
    <row r="126">
      <c r="A126" s="14" t="inlineStr">
        <is>
          <t>M05</t>
        </is>
      </c>
      <c r="B126" s="14" t="inlineStr">
        <is>
          <t>M5-V29</t>
        </is>
      </c>
      <c r="C126" s="14" t="inlineStr">
        <is>
          <t>Margen estimado</t>
        </is>
      </c>
      <c r="D126" s="14" t="inlineStr">
        <is>
          <t>Margen absorbido por otra categoría</t>
        </is>
      </c>
      <c r="E126" s="14" t="inlineStr">
        <is>
          <t>Otra categoría aumenta de forma comparable a la subejecución</t>
        </is>
      </c>
      <c r="F126" s="14" t="inlineStr">
        <is>
          <t>Mostrar como hipótesis de desplazamiento y permitir revisar categoría crítica.</t>
        </is>
      </c>
      <c r="G126" s="6" t="inlineStr">
        <is>
          <t>M05</t>
        </is>
      </c>
      <c r="H126" s="19" t="inlineStr">
        <is>
          <t>F1 · QA funcional local</t>
        </is>
      </c>
      <c r="I126" s="16" t="inlineStr">
        <is>
          <t>Sí</t>
        </is>
      </c>
      <c r="J126" s="16" t="inlineStr">
        <is>
          <t>No requerido para PASS primario</t>
        </is>
      </c>
      <c r="K126" s="16" t="inlineStr">
        <is>
          <t>No para PASS primario</t>
        </is>
      </c>
      <c r="L126" s="16" t="inlineStr">
        <is>
          <t>No obligatorio fuera de regresión</t>
        </is>
      </c>
      <c r="M126" s="16" t="inlineStr">
        <is>
          <t>Sí · F5 smoke contractual</t>
        </is>
      </c>
      <c r="N126" s="17" t="inlineStr">
        <is>
          <t>F1</t>
        </is>
      </c>
      <c r="O126" s="6" t="inlineStr">
        <is>
          <t>NO</t>
        </is>
      </c>
      <c r="P126" s="16" t="inlineStr">
        <is>
          <t>El resultado primario se determina en M05 con sus estados/reglas; una salida downstream no se trata como dependencia de entrada.</t>
        </is>
      </c>
      <c r="Q126" s="14" t="inlineStr">
        <is>
          <t>Walvy_M5_Matriz_Trazabilidad_Cliente_v1.2_RESPUESTA_WALVY.xlsx · Matriz Trazabilidad · M5-V29</t>
        </is>
      </c>
      <c r="R126" s="18">
        <f>COUNTIF($B$5:$B$190,B126)</f>
        <v/>
      </c>
    </row>
    <row r="127">
      <c r="A127" s="14" t="inlineStr">
        <is>
          <t>M05</t>
        </is>
      </c>
      <c r="B127" s="14" t="inlineStr">
        <is>
          <t>M5-V30</t>
        </is>
      </c>
      <c r="C127" s="14" t="inlineStr">
        <is>
          <t>Margen estimado</t>
        </is>
      </c>
      <c r="D127" s="14" t="inlineStr">
        <is>
          <t>Margen destinado a pagos</t>
        </is>
      </c>
      <c r="E127" s="14" t="inlineStr">
        <is>
          <t>Existe compromiso, fecha o recurrencia asociada</t>
        </is>
      </c>
      <c r="F127" s="14" t="inlineStr">
        <is>
          <t>Derivar señal a Pagos únicamente con condición explícita; M5 conserva lectura presupuestaria.</t>
        </is>
      </c>
      <c r="G127" s="6" t="inlineStr">
        <is>
          <t>Consume compromiso/fecha/recurrencia asociada M06</t>
        </is>
      </c>
      <c r="H127" s="20" t="inlineStr">
        <is>
          <t>F2 · Fixture cross-contract</t>
        </is>
      </c>
      <c r="I127" s="16" t="inlineStr">
        <is>
          <t>No como PASS completo</t>
        </is>
      </c>
      <c r="J127" s="16" t="inlineStr">
        <is>
          <t>Sí · fixture/payload canónico</t>
        </is>
      </c>
      <c r="K127" s="16" t="inlineStr">
        <is>
          <t>No para PASS primario</t>
        </is>
      </c>
      <c r="L127" s="16" t="inlineStr">
        <is>
          <t>Sí · F4</t>
        </is>
      </c>
      <c r="M127" s="16" t="inlineStr">
        <is>
          <t>Sí · F5 journey crítico</t>
        </is>
      </c>
      <c r="N127" s="17" t="inlineStr">
        <is>
          <t>F1</t>
        </is>
      </c>
      <c r="O127" s="21" t="inlineStr">
        <is>
          <t>SÍ</t>
        </is>
      </c>
      <c r="P127" s="16" t="inlineStr">
        <is>
          <t>El resultado CONSUME un contrato upstream; el contrato está cerrado y admite fixture/oráculo reproducible antes del E2E real.</t>
        </is>
      </c>
      <c r="Q127" s="14" t="inlineStr">
        <is>
          <t>Walvy_M5_Matriz_Trazabilidad_Cliente_v1.2_RESPUESTA_WALVY.xlsx · Matriz Trazabilidad · M5-V30</t>
        </is>
      </c>
      <c r="R127" s="18">
        <f>COUNTIF($B$5:$B$190,B127)</f>
        <v/>
      </c>
    </row>
    <row r="128">
      <c r="A128" s="14" t="inlineStr">
        <is>
          <t>M05</t>
        </is>
      </c>
      <c r="B128" s="14" t="inlineStr">
        <is>
          <t>M5-V31</t>
        </is>
      </c>
      <c r="C128" s="14" t="inlineStr">
        <is>
          <t>Margen estimado</t>
        </is>
      </c>
      <c r="D128" s="14" t="inlineStr">
        <is>
          <t>Margen asociado a deuda/mora</t>
        </is>
      </c>
      <c r="E128" s="14" t="inlineStr">
        <is>
          <t>Existe mora, atraso problemático o deuda mala</t>
        </is>
      </c>
      <c r="F128" s="14" t="inlineStr">
        <is>
          <t>Derivar a Módulo 4 solo con condición explícita; no activar plan automáticamente.</t>
        </is>
      </c>
      <c r="G128" s="6" t="inlineStr">
        <is>
          <t>Consume mora/deuda M04</t>
        </is>
      </c>
      <c r="H128" s="20" t="inlineStr">
        <is>
          <t>F2 · Fixture cross-contract</t>
        </is>
      </c>
      <c r="I128" s="16" t="inlineStr">
        <is>
          <t>No como PASS completo</t>
        </is>
      </c>
      <c r="J128" s="16" t="inlineStr">
        <is>
          <t>Sí · fixture/payload canónico</t>
        </is>
      </c>
      <c r="K128" s="16" t="inlineStr">
        <is>
          <t>No para PASS primario</t>
        </is>
      </c>
      <c r="L128" s="16" t="inlineStr">
        <is>
          <t>Sí · F4</t>
        </is>
      </c>
      <c r="M128" s="16" t="inlineStr">
        <is>
          <t>Sí · F5 journey crítico</t>
        </is>
      </c>
      <c r="N128" s="17" t="inlineStr">
        <is>
          <t>F1</t>
        </is>
      </c>
      <c r="O128" s="21" t="inlineStr">
        <is>
          <t>SÍ</t>
        </is>
      </c>
      <c r="P128" s="16" t="inlineStr">
        <is>
          <t>El resultado CONSUME un contrato upstream; el contrato está cerrado y admite fixture/oráculo reproducible antes del E2E real.</t>
        </is>
      </c>
      <c r="Q128" s="14" t="inlineStr">
        <is>
          <t>Walvy_M5_Matriz_Trazabilidad_Cliente_v1.2_RESPUESTA_WALVY.xlsx · Matriz Trazabilidad · M5-V31</t>
        </is>
      </c>
      <c r="R128" s="18">
        <f>COUNTIF($B$5:$B$190,B128)</f>
        <v/>
      </c>
    </row>
    <row r="129">
      <c r="A129" s="14" t="inlineStr">
        <is>
          <t>M05</t>
        </is>
      </c>
      <c r="B129" s="14" t="inlineStr">
        <is>
          <t>M5-V32</t>
        </is>
      </c>
      <c r="C129" s="14" t="inlineStr">
        <is>
          <t>Margen estimado</t>
        </is>
      </c>
      <c r="D129" s="14" t="inlineStr">
        <is>
          <t>Sin explicación suficiente</t>
        </is>
      </c>
      <c r="E129" s="14" t="inlineStr">
        <is>
          <t>No hay evidencia suficiente para estimar destino del margen</t>
        </is>
      </c>
      <c r="F129" s="14" t="inlineStr">
        <is>
          <t>No concluir; mostrar baja confianza y CTA Completar datos.</t>
        </is>
      </c>
      <c r="G129" s="6" t="inlineStr">
        <is>
          <t>M05</t>
        </is>
      </c>
      <c r="H129" s="19" t="inlineStr">
        <is>
          <t>F1 · QA funcional local</t>
        </is>
      </c>
      <c r="I129" s="16" t="inlineStr">
        <is>
          <t>Sí</t>
        </is>
      </c>
      <c r="J129" s="16" t="inlineStr">
        <is>
          <t>No requerido para PASS primario</t>
        </is>
      </c>
      <c r="K129" s="16" t="inlineStr">
        <is>
          <t>No para PASS primario</t>
        </is>
      </c>
      <c r="L129" s="16" t="inlineStr">
        <is>
          <t>No obligatorio fuera de regresión</t>
        </is>
      </c>
      <c r="M129" s="16" t="inlineStr">
        <is>
          <t>Sí · F5 smoke contractual</t>
        </is>
      </c>
      <c r="N129" s="17" t="inlineStr">
        <is>
          <t>F1</t>
        </is>
      </c>
      <c r="O129" s="6" t="inlineStr">
        <is>
          <t>NO</t>
        </is>
      </c>
      <c r="P129" s="16" t="inlineStr">
        <is>
          <t>El resultado primario se determina en M05 con sus estados/reglas; una salida downstream no se trata como dependencia de entrada.</t>
        </is>
      </c>
      <c r="Q129" s="14" t="inlineStr">
        <is>
          <t>Walvy_M5_Matriz_Trazabilidad_Cliente_v1.2_RESPUESTA_WALVY.xlsx · Matriz Trazabilidad · M5-V32</t>
        </is>
      </c>
      <c r="R129" s="18">
        <f>COUNTIF($B$5:$B$190,B129)</f>
        <v/>
      </c>
    </row>
    <row r="130">
      <c r="A130" s="14" t="inlineStr">
        <is>
          <t>M05</t>
        </is>
      </c>
      <c r="B130" s="14" t="inlineStr">
        <is>
          <t>M5-V33</t>
        </is>
      </c>
      <c r="C130" s="14" t="inlineStr">
        <is>
          <t>Perfil Financiero</t>
        </is>
      </c>
      <c r="D130" s="14" t="inlineStr">
        <is>
          <t>Perfil consume calidad/completitud</t>
        </is>
      </c>
      <c r="E130" s="14" t="inlineStr">
        <is>
          <t>Existe dato incompleto o baja confianza persistente</t>
        </is>
      </c>
      <c r="F130" s="14" t="inlineStr">
        <is>
          <t>Perfil puede mostrar completitud/calidad y CTA Completar datos, pero no editar el presupuesto.</t>
        </is>
      </c>
      <c r="G130" s="6" t="inlineStr">
        <is>
          <t>M05 produce calidad/completitud; M02/Perfil consume</t>
        </is>
      </c>
      <c r="H130" s="15" t="inlineStr">
        <is>
          <t>F3 · M02/M03 / superficie</t>
        </is>
      </c>
      <c r="I130" s="16" t="inlineStr">
        <is>
          <t>Parcial · productor</t>
        </is>
      </c>
      <c r="J130" s="16" t="inlineStr">
        <is>
          <t>Parcial · productor/oráculo sí; no sustituye PASS superficie</t>
        </is>
      </c>
      <c r="K130" s="16" t="inlineStr">
        <is>
          <t>Sí</t>
        </is>
      </c>
      <c r="L130" s="16" t="inlineStr">
        <is>
          <t>Sí · F3/F5</t>
        </is>
      </c>
      <c r="M130" s="16" t="inlineStr">
        <is>
          <t>Sí · F5 journey crítico</t>
        </is>
      </c>
      <c r="N130" s="17" t="inlineStr">
        <is>
          <t>F2</t>
        </is>
      </c>
      <c r="O130" s="21" t="inlineStr">
        <is>
          <t>SÍ</t>
        </is>
      </c>
      <c r="P130" s="16" t="inlineStr">
        <is>
          <t>El criterio de aceptación completo vive en Home/Perfil/avisos o en una superficie M02/M03; el productor puede probarse antes, pero no reemplaza el PASS de superficie.</t>
        </is>
      </c>
      <c r="Q130" s="14" t="inlineStr">
        <is>
          <t>Walvy_M5_Matriz_Trazabilidad_Cliente_v1.2_RESPUESTA_WALVY.xlsx · Matriz Trazabilidad · M5-V33</t>
        </is>
      </c>
      <c r="R130" s="18">
        <f>COUNTIF($B$5:$B$190,B130)</f>
        <v/>
      </c>
    </row>
    <row r="131">
      <c r="A131" s="14" t="inlineStr">
        <is>
          <t>M05</t>
        </is>
      </c>
      <c r="B131" s="14" t="inlineStr">
        <is>
          <t>M5-V34</t>
        </is>
      </c>
      <c r="C131" s="14" t="inlineStr">
        <is>
          <t>Alertas</t>
        </is>
      </c>
      <c r="D131" s="14" t="inlineStr">
        <is>
          <t>Alertas consume umbral</t>
        </is>
      </c>
      <c r="E131" s="14" t="inlineStr">
        <is>
          <t>Umbral o sobreconsumo activo y severidad cumple regla de alerta</t>
        </is>
      </c>
      <c r="F131" s="14" t="inlineStr">
        <is>
          <t>Mostrar alerta priorizada con CTA Revisar presupuesto; evitar duplicidad con recomendación.</t>
        </is>
      </c>
      <c r="G131" s="6" t="inlineStr">
        <is>
          <t>M05 produce alerta; M02/M03 gobierna canal/superficie</t>
        </is>
      </c>
      <c r="H131" s="15" t="inlineStr">
        <is>
          <t>F3 · M02/M03 / superficie</t>
        </is>
      </c>
      <c r="I131" s="16" t="inlineStr">
        <is>
          <t>Parcial · productor</t>
        </is>
      </c>
      <c r="J131" s="16" t="inlineStr">
        <is>
          <t>Parcial · productor/oráculo sí; no sustituye PASS superficie</t>
        </is>
      </c>
      <c r="K131" s="16" t="inlineStr">
        <is>
          <t>Sí</t>
        </is>
      </c>
      <c r="L131" s="16" t="inlineStr">
        <is>
          <t>Sí · F3/F5</t>
        </is>
      </c>
      <c r="M131" s="16" t="inlineStr">
        <is>
          <t>Sí · F5 journey crítico</t>
        </is>
      </c>
      <c r="N131" s="17" t="inlineStr">
        <is>
          <t>F3</t>
        </is>
      </c>
      <c r="O131" s="21" t="inlineStr">
        <is>
          <t>SÍ</t>
        </is>
      </c>
      <c r="P131" s="16" t="inlineStr">
        <is>
          <t>El criterio de aceptación completo vive en Home/Perfil/avisos o en una superficie M02/M03; el productor puede probarse antes, pero no reemplaza el PASS de superficie.</t>
        </is>
      </c>
      <c r="Q131" s="14" t="inlineStr">
        <is>
          <t>Walvy_M5_Matriz_Trazabilidad_Cliente_v1.2_RESPUESTA_WALVY.xlsx · Matriz Trazabilidad · M5-V34</t>
        </is>
      </c>
      <c r="R131" s="18">
        <f>COUNTIF($B$5:$B$190,B131)</f>
        <v/>
      </c>
    </row>
    <row r="132">
      <c r="A132" s="14" t="inlineStr">
        <is>
          <t>M06</t>
        </is>
      </c>
      <c r="B132" s="14" t="inlineStr">
        <is>
          <t>M6-V01</t>
        </is>
      </c>
      <c r="C132" s="14" t="inlineStr">
        <is>
          <t>Pagos / Hub</t>
        </is>
      </c>
      <c r="D132" s="14" t="inlineStr">
        <is>
          <t>Sin pagos registrados</t>
        </is>
      </c>
      <c r="E132" s="14" t="inlineStr">
        <is>
          <t>Usuario no tiene cuentas por pagar registradas</t>
        </is>
      </c>
      <c r="F132" s="14" t="inlineStr">
        <is>
          <t>Mostrar empty state orientativo y CTA Registrar cuenta por pagar, sin presión artificial.</t>
        </is>
      </c>
      <c r="G132" s="6" t="inlineStr">
        <is>
          <t>M06</t>
        </is>
      </c>
      <c r="H132" s="19" t="inlineStr">
        <is>
          <t>F1 · QA funcional local</t>
        </is>
      </c>
      <c r="I132" s="16" t="inlineStr">
        <is>
          <t>Sí</t>
        </is>
      </c>
      <c r="J132" s="16" t="inlineStr">
        <is>
          <t>No requerido para PASS primario</t>
        </is>
      </c>
      <c r="K132" s="16" t="inlineStr">
        <is>
          <t>No para PASS primario</t>
        </is>
      </c>
      <c r="L132" s="16" t="inlineStr">
        <is>
          <t>No obligatorio fuera de regresión</t>
        </is>
      </c>
      <c r="M132" s="16" t="inlineStr">
        <is>
          <t>Sí · F5 smoke contractual</t>
        </is>
      </c>
      <c r="N132" s="17" t="inlineStr">
        <is>
          <t>F1</t>
        </is>
      </c>
      <c r="O132" s="6" t="inlineStr">
        <is>
          <t>NO</t>
        </is>
      </c>
      <c r="P132" s="16" t="inlineStr">
        <is>
          <t>El resultado primario se determina en M06 con sus estados/reglas; una salida downstream no se trata como dependencia de entrada.</t>
        </is>
      </c>
      <c r="Q132" s="14" t="inlineStr">
        <is>
          <t>Walvy_M6_Matriz_Trazabilidad_Cliente_v1.0_RESPUESTA_WALVY.xlsx · Matriz Trazabilidad · M6-V01</t>
        </is>
      </c>
      <c r="R132" s="18">
        <f>COUNTIF($B$5:$B$190,B132)</f>
        <v/>
      </c>
    </row>
    <row r="133">
      <c r="A133" s="14" t="inlineStr">
        <is>
          <t>M06</t>
        </is>
      </c>
      <c r="B133" s="14" t="inlineStr">
        <is>
          <t>M6-V02</t>
        </is>
      </c>
      <c r="C133" s="14" t="inlineStr">
        <is>
          <t>Pagos / Hub</t>
        </is>
      </c>
      <c r="D133" s="14" t="inlineStr">
        <is>
          <t>Consolidado con pagos en distintos estados</t>
        </is>
      </c>
      <c r="E133" s="14" t="inlineStr">
        <is>
          <t>Existen compromisos registrados o detectados</t>
        </is>
      </c>
      <c r="F133" s="14" t="inlineStr">
        <is>
          <t>Mostrar una superficie Pagos o equivalente que permita distinguir Pendiente, Próximo, Vencido, Pagado, Detectado, Revisión, recurrencia y duplicidad con acciones seguras.</t>
        </is>
      </c>
      <c r="G133" s="6" t="inlineStr">
        <is>
          <t>M06</t>
        </is>
      </c>
      <c r="H133" s="19" t="inlineStr">
        <is>
          <t>F1 · QA funcional local</t>
        </is>
      </c>
      <c r="I133" s="16" t="inlineStr">
        <is>
          <t>Sí</t>
        </is>
      </c>
      <c r="J133" s="16" t="inlineStr">
        <is>
          <t>No requerido para PASS primario</t>
        </is>
      </c>
      <c r="K133" s="16" t="inlineStr">
        <is>
          <t>No para PASS primario</t>
        </is>
      </c>
      <c r="L133" s="16" t="inlineStr">
        <is>
          <t>No obligatorio fuera de regresión</t>
        </is>
      </c>
      <c r="M133" s="16" t="inlineStr">
        <is>
          <t>Sí · F5 smoke contractual</t>
        </is>
      </c>
      <c r="N133" s="17" t="inlineStr">
        <is>
          <t>F1</t>
        </is>
      </c>
      <c r="O133" s="6" t="inlineStr">
        <is>
          <t>NO</t>
        </is>
      </c>
      <c r="P133" s="16" t="inlineStr">
        <is>
          <t>El resultado primario se determina en M06 con sus estados/reglas; una salida downstream no se trata como dependencia de entrada.</t>
        </is>
      </c>
      <c r="Q133" s="14" t="inlineStr">
        <is>
          <t>Walvy_M6_Matriz_Trazabilidad_Cliente_v1.0_RESPUESTA_WALVY.xlsx · Matriz Trazabilidad · M6-V02</t>
        </is>
      </c>
      <c r="R133" s="18">
        <f>COUNTIF($B$5:$B$190,B133)</f>
        <v/>
      </c>
    </row>
    <row r="134">
      <c r="A134" s="14" t="inlineStr">
        <is>
          <t>M06</t>
        </is>
      </c>
      <c r="B134" s="14" t="inlineStr">
        <is>
          <t>M6-V03</t>
        </is>
      </c>
      <c r="C134" s="14" t="inlineStr">
        <is>
          <t>Pagos / Detalle</t>
        </is>
      </c>
      <c r="D134" s="14" t="inlineStr">
        <is>
          <t>Revisar detalle de pago</t>
        </is>
      </c>
      <c r="E134" s="14" t="inlineStr">
        <is>
          <t>Usuario abre Ver detalle / Revisar pago</t>
        </is>
      </c>
      <c r="F134" s="14" t="inlineStr">
        <is>
          <t>Mostrar estado, fecha, monto, origen, relación y acciones seguras; no representar checkout ni confirmación bancaria.</t>
        </is>
      </c>
      <c r="G134" s="6" t="inlineStr">
        <is>
          <t>M06</t>
        </is>
      </c>
      <c r="H134" s="19" t="inlineStr">
        <is>
          <t>F1 · QA funcional local</t>
        </is>
      </c>
      <c r="I134" s="16" t="inlineStr">
        <is>
          <t>Sí</t>
        </is>
      </c>
      <c r="J134" s="16" t="inlineStr">
        <is>
          <t>No requerido para PASS primario</t>
        </is>
      </c>
      <c r="K134" s="16" t="inlineStr">
        <is>
          <t>No para PASS primario</t>
        </is>
      </c>
      <c r="L134" s="16" t="inlineStr">
        <is>
          <t>No obligatorio fuera de regresión</t>
        </is>
      </c>
      <c r="M134" s="16" t="inlineStr">
        <is>
          <t>Sí · F5 smoke contractual</t>
        </is>
      </c>
      <c r="N134" s="17" t="inlineStr">
        <is>
          <t>F1</t>
        </is>
      </c>
      <c r="O134" s="6" t="inlineStr">
        <is>
          <t>NO</t>
        </is>
      </c>
      <c r="P134" s="16" t="inlineStr">
        <is>
          <t>El resultado primario se determina en M06 con sus estados/reglas; una salida downstream no se trata como dependencia de entrada.</t>
        </is>
      </c>
      <c r="Q134" s="14" t="inlineStr">
        <is>
          <t>Walvy_M6_Matriz_Trazabilidad_Cliente_v1.0_RESPUESTA_WALVY.xlsx · Matriz Trazabilidad · M6-V03</t>
        </is>
      </c>
      <c r="R134" s="18">
        <f>COUNTIF($B$5:$B$190,B134)</f>
        <v/>
      </c>
    </row>
    <row r="135">
      <c r="A135" s="14" t="inlineStr">
        <is>
          <t>M06</t>
        </is>
      </c>
      <c r="B135" s="14" t="inlineStr">
        <is>
          <t>M6-V04</t>
        </is>
      </c>
      <c r="C135" s="14" t="inlineStr">
        <is>
          <t>Alta manual</t>
        </is>
      </c>
      <c r="D135" s="14" t="inlineStr">
        <is>
          <t>Registro completo</t>
        </is>
      </c>
      <c r="E135" s="14" t="inlineStr">
        <is>
          <t>Usuario ingresa descripción y fecha de vencimiento</t>
        </is>
      </c>
      <c r="F135" s="14" t="inlineStr">
        <is>
          <t>Crear cuenta activa en estado Pendiente, conservar origen manual y no ejecutar pago.</t>
        </is>
      </c>
      <c r="G135" s="6" t="inlineStr">
        <is>
          <t>M06</t>
        </is>
      </c>
      <c r="H135" s="19" t="inlineStr">
        <is>
          <t>F1 · QA funcional local</t>
        </is>
      </c>
      <c r="I135" s="16" t="inlineStr">
        <is>
          <t>Sí</t>
        </is>
      </c>
      <c r="J135" s="16" t="inlineStr">
        <is>
          <t>No requerido para PASS primario</t>
        </is>
      </c>
      <c r="K135" s="16" t="inlineStr">
        <is>
          <t>No para PASS primario</t>
        </is>
      </c>
      <c r="L135" s="16" t="inlineStr">
        <is>
          <t>No obligatorio fuera de regresión</t>
        </is>
      </c>
      <c r="M135" s="16" t="inlineStr">
        <is>
          <t>Sí · F5 smoke contractual</t>
        </is>
      </c>
      <c r="N135" s="17" t="inlineStr">
        <is>
          <t>F1</t>
        </is>
      </c>
      <c r="O135" s="6" t="inlineStr">
        <is>
          <t>NO</t>
        </is>
      </c>
      <c r="P135" s="16" t="inlineStr">
        <is>
          <t>El resultado primario se determina en M06 con sus estados/reglas; una salida downstream no se trata como dependencia de entrada.</t>
        </is>
      </c>
      <c r="Q135" s="14" t="inlineStr">
        <is>
          <t>Walvy_M6_Matriz_Trazabilidad_Cliente_v1.0_RESPUESTA_WALVY.xlsx · Matriz Trazabilidad · M6-V04</t>
        </is>
      </c>
      <c r="R135" s="18">
        <f>COUNTIF($B$5:$B$190,B135)</f>
        <v/>
      </c>
    </row>
    <row r="136">
      <c r="A136" s="14" t="inlineStr">
        <is>
          <t>M06</t>
        </is>
      </c>
      <c r="B136" s="14" t="inlineStr">
        <is>
          <t>M6-V05</t>
        </is>
      </c>
      <c r="C136" s="14" t="inlineStr">
        <is>
          <t>Alta manual</t>
        </is>
      </c>
      <c r="D136" s="14" t="inlineStr">
        <is>
          <t>Registro incompleto</t>
        </is>
      </c>
      <c r="E136" s="14" t="inlineStr">
        <is>
          <t>Falta descripción o fecha de vencimiento</t>
        </is>
      </c>
      <c r="F136" s="14" t="inlineStr">
        <is>
          <t>Mantener Borrador / Sin datos suficientes; CTA Completar datos; no gatillar alerta fuerte.</t>
        </is>
      </c>
      <c r="G136" s="6" t="inlineStr">
        <is>
          <t>M06</t>
        </is>
      </c>
      <c r="H136" s="19" t="inlineStr">
        <is>
          <t>F1 · QA funcional local</t>
        </is>
      </c>
      <c r="I136" s="16" t="inlineStr">
        <is>
          <t>Sí</t>
        </is>
      </c>
      <c r="J136" s="16" t="inlineStr">
        <is>
          <t>No requerido para PASS primario</t>
        </is>
      </c>
      <c r="K136" s="16" t="inlineStr">
        <is>
          <t>No para PASS primario</t>
        </is>
      </c>
      <c r="L136" s="16" t="inlineStr">
        <is>
          <t>No obligatorio fuera de regresión</t>
        </is>
      </c>
      <c r="M136" s="16" t="inlineStr">
        <is>
          <t>Sí · F5 smoke contractual</t>
        </is>
      </c>
      <c r="N136" s="17" t="inlineStr">
        <is>
          <t>F1</t>
        </is>
      </c>
      <c r="O136" s="6" t="inlineStr">
        <is>
          <t>NO</t>
        </is>
      </c>
      <c r="P136" s="16" t="inlineStr">
        <is>
          <t>El resultado primario se determina en M06 con sus estados/reglas; una salida downstream no se trata como dependencia de entrada.</t>
        </is>
      </c>
      <c r="Q136" s="14" t="inlineStr">
        <is>
          <t>Walvy_M6_Matriz_Trazabilidad_Cliente_v1.0_RESPUESTA_WALVY.xlsx · Matriz Trazabilidad · M6-V05</t>
        </is>
      </c>
      <c r="R136" s="18">
        <f>COUNTIF($B$5:$B$190,B136)</f>
        <v/>
      </c>
    </row>
    <row r="137">
      <c r="A137" s="14" t="inlineStr">
        <is>
          <t>M06</t>
        </is>
      </c>
      <c r="B137" s="14" t="inlineStr">
        <is>
          <t>M6-V06</t>
        </is>
      </c>
      <c r="C137" s="14" t="inlineStr">
        <is>
          <t>Alta manual</t>
        </is>
      </c>
      <c r="D137" s="14" t="inlineStr">
        <is>
          <t>Monto ausente</t>
        </is>
      </c>
      <c r="E137" s="14" t="inlineStr">
        <is>
          <t>Descripción y fecha existen, pero falta monto</t>
        </is>
      </c>
      <c r="F137" s="14" t="inlineStr">
        <is>
          <t>La cuenta puede existir, pero el impacto económico no debe elevarse a severidad crítica solo por monto ausente.</t>
        </is>
      </c>
      <c r="G137" s="6" t="inlineStr">
        <is>
          <t>M06</t>
        </is>
      </c>
      <c r="H137" s="19" t="inlineStr">
        <is>
          <t>F1 · QA funcional local</t>
        </is>
      </c>
      <c r="I137" s="16" t="inlineStr">
        <is>
          <t>Sí</t>
        </is>
      </c>
      <c r="J137" s="16" t="inlineStr">
        <is>
          <t>No requerido para PASS primario</t>
        </is>
      </c>
      <c r="K137" s="16" t="inlineStr">
        <is>
          <t>No para PASS primario</t>
        </is>
      </c>
      <c r="L137" s="16" t="inlineStr">
        <is>
          <t>No obligatorio fuera de regresión</t>
        </is>
      </c>
      <c r="M137" s="16" t="inlineStr">
        <is>
          <t>Sí · F5 smoke contractual</t>
        </is>
      </c>
      <c r="N137" s="17" t="inlineStr">
        <is>
          <t>F1</t>
        </is>
      </c>
      <c r="O137" s="6" t="inlineStr">
        <is>
          <t>NO</t>
        </is>
      </c>
      <c r="P137" s="16" t="inlineStr">
        <is>
          <t>El resultado primario se determina en M06 con sus estados/reglas; una salida downstream no se trata como dependencia de entrada.</t>
        </is>
      </c>
      <c r="Q137" s="14" t="inlineStr">
        <is>
          <t>Walvy_M6_Matriz_Trazabilidad_Cliente_v1.0_RESPUESTA_WALVY.xlsx · Matriz Trazabilidad · M6-V06</t>
        </is>
      </c>
      <c r="R137" s="18">
        <f>COUNTIF($B$5:$B$190,B137)</f>
        <v/>
      </c>
    </row>
    <row r="138">
      <c r="A138" s="14" t="inlineStr">
        <is>
          <t>M06</t>
        </is>
      </c>
      <c r="B138" s="14" t="inlineStr">
        <is>
          <t>M6-V07</t>
        </is>
      </c>
      <c r="C138" s="14" t="inlineStr">
        <is>
          <t>Candidato detectado</t>
        </is>
      </c>
      <c r="D138" s="14" t="inlineStr">
        <is>
          <t>Crear candidato, no cuenta confirmada</t>
        </is>
      </c>
      <c r="E138" s="14" t="inlineStr">
        <is>
          <t>Captura, ingesta, glosa, documento, cartola o patrón sugiere un pago</t>
        </is>
      </c>
      <c r="F138" s="14" t="inlineStr">
        <is>
          <t>Crear estado Detectado con origen/confianza; no consolidar automáticamente.</t>
        </is>
      </c>
      <c r="G138" s="6" t="inlineStr">
        <is>
          <t>M06</t>
        </is>
      </c>
      <c r="H138" s="19" t="inlineStr">
        <is>
          <t>F1 · QA funcional local</t>
        </is>
      </c>
      <c r="I138" s="16" t="inlineStr">
        <is>
          <t>Sí</t>
        </is>
      </c>
      <c r="J138" s="16" t="inlineStr">
        <is>
          <t>No requerido para PASS primario</t>
        </is>
      </c>
      <c r="K138" s="16" t="inlineStr">
        <is>
          <t>No para PASS primario</t>
        </is>
      </c>
      <c r="L138" s="16" t="inlineStr">
        <is>
          <t>No obligatorio fuera de regresión</t>
        </is>
      </c>
      <c r="M138" s="16" t="inlineStr">
        <is>
          <t>Sí · F5 smoke contractual</t>
        </is>
      </c>
      <c r="N138" s="17" t="inlineStr">
        <is>
          <t>F1</t>
        </is>
      </c>
      <c r="O138" s="6" t="inlineStr">
        <is>
          <t>NO</t>
        </is>
      </c>
      <c r="P138" s="16" t="inlineStr">
        <is>
          <t>El resultado primario se determina en M06 con sus estados/reglas; una salida downstream no se trata como dependencia de entrada.</t>
        </is>
      </c>
      <c r="Q138" s="14" t="inlineStr">
        <is>
          <t>Walvy_M6_Matriz_Trazabilidad_Cliente_v1.0_RESPUESTA_WALVY.xlsx · Matriz Trazabilidad · M6-V07</t>
        </is>
      </c>
      <c r="R138" s="18">
        <f>COUNTIF($B$5:$B$190,B138)</f>
        <v/>
      </c>
    </row>
    <row r="139">
      <c r="A139" s="14" t="inlineStr">
        <is>
          <t>M06</t>
        </is>
      </c>
      <c r="B139" s="14" t="inlineStr">
        <is>
          <t>M6-V08</t>
        </is>
      </c>
      <c r="C139" s="14" t="inlineStr">
        <is>
          <t>Candidato detectado</t>
        </is>
      </c>
      <c r="D139" s="14" t="inlineStr">
        <is>
          <t>Confirmar cuenta detectada</t>
        </is>
      </c>
      <c r="E139" s="14" t="inlineStr">
        <is>
          <t>Candidato con datos mínimos y usuario confirma</t>
        </is>
      </c>
      <c r="F139" s="14" t="inlineStr">
        <is>
          <t>Transformar a Pendiente, Próximo o Pagado según contexto; usar CTA oficial Confirmar cuenta / Confirmar como pago pendiente.</t>
        </is>
      </c>
      <c r="G139" s="6" t="inlineStr">
        <is>
          <t>M06</t>
        </is>
      </c>
      <c r="H139" s="19" t="inlineStr">
        <is>
          <t>F1 · QA funcional local</t>
        </is>
      </c>
      <c r="I139" s="16" t="inlineStr">
        <is>
          <t>Sí</t>
        </is>
      </c>
      <c r="J139" s="16" t="inlineStr">
        <is>
          <t>No requerido para PASS primario</t>
        </is>
      </c>
      <c r="K139" s="16" t="inlineStr">
        <is>
          <t>No para PASS primario</t>
        </is>
      </c>
      <c r="L139" s="16" t="inlineStr">
        <is>
          <t>No obligatorio fuera de regresión</t>
        </is>
      </c>
      <c r="M139" s="16" t="inlineStr">
        <is>
          <t>Sí · F5 smoke contractual</t>
        </is>
      </c>
      <c r="N139" s="17" t="inlineStr">
        <is>
          <t>F1</t>
        </is>
      </c>
      <c r="O139" s="6" t="inlineStr">
        <is>
          <t>NO</t>
        </is>
      </c>
      <c r="P139" s="16" t="inlineStr">
        <is>
          <t>El resultado primario se determina en M06 con sus estados/reglas; una salida downstream no se trata como dependencia de entrada.</t>
        </is>
      </c>
      <c r="Q139" s="14" t="inlineStr">
        <is>
          <t>Walvy_M6_Matriz_Trazabilidad_Cliente_v1.0_RESPUESTA_WALVY.xlsx · Matriz Trazabilidad · M6-V08</t>
        </is>
      </c>
      <c r="R139" s="18">
        <f>COUNTIF($B$5:$B$190,B139)</f>
        <v/>
      </c>
    </row>
    <row r="140">
      <c r="A140" s="14" t="inlineStr">
        <is>
          <t>M06</t>
        </is>
      </c>
      <c r="B140" s="14" t="inlineStr">
        <is>
          <t>M6-V09</t>
        </is>
      </c>
      <c r="C140" s="14" t="inlineStr">
        <is>
          <t>Candidato detectado</t>
        </is>
      </c>
      <c r="D140" s="14" t="inlineStr">
        <is>
          <t>Corregir candidato</t>
        </is>
      </c>
      <c r="E140" s="14" t="inlineStr">
        <is>
          <t>Usuario corrige datos antes de consolidar</t>
        </is>
      </c>
      <c r="F140" s="14" t="inlineStr">
        <is>
          <t>Guardar dato corregido como fuente funcional prioritaria, conservar origen original y recalcular estado.</t>
        </is>
      </c>
      <c r="G140" s="6" t="inlineStr">
        <is>
          <t>M06</t>
        </is>
      </c>
      <c r="H140" s="19" t="inlineStr">
        <is>
          <t>F1 · QA funcional local</t>
        </is>
      </c>
      <c r="I140" s="16" t="inlineStr">
        <is>
          <t>Sí</t>
        </is>
      </c>
      <c r="J140" s="16" t="inlineStr">
        <is>
          <t>No requerido para PASS primario</t>
        </is>
      </c>
      <c r="K140" s="16" t="inlineStr">
        <is>
          <t>No para PASS primario</t>
        </is>
      </c>
      <c r="L140" s="16" t="inlineStr">
        <is>
          <t>No obligatorio fuera de regresión</t>
        </is>
      </c>
      <c r="M140" s="16" t="inlineStr">
        <is>
          <t>Sí · F5 smoke contractual</t>
        </is>
      </c>
      <c r="N140" s="17" t="inlineStr">
        <is>
          <t>F1</t>
        </is>
      </c>
      <c r="O140" s="6" t="inlineStr">
        <is>
          <t>NO</t>
        </is>
      </c>
      <c r="P140" s="16" t="inlineStr">
        <is>
          <t>El resultado primario se determina en M06 con sus estados/reglas; una salida downstream no se trata como dependencia de entrada.</t>
        </is>
      </c>
      <c r="Q140" s="14" t="inlineStr">
        <is>
          <t>Walvy_M6_Matriz_Trazabilidad_Cliente_v1.0_RESPUESTA_WALVY.xlsx · Matriz Trazabilidad · M6-V09</t>
        </is>
      </c>
      <c r="R140" s="18">
        <f>COUNTIF($B$5:$B$190,B140)</f>
        <v/>
      </c>
    </row>
    <row r="141">
      <c r="A141" s="14" t="inlineStr">
        <is>
          <t>M06</t>
        </is>
      </c>
      <c r="B141" s="14" t="inlineStr">
        <is>
          <t>M6-V10</t>
        </is>
      </c>
      <c r="C141" s="14" t="inlineStr">
        <is>
          <t>Candidato detectado</t>
        </is>
      </c>
      <c r="D141" s="14" t="inlineStr">
        <is>
          <t>Descartar candidato</t>
        </is>
      </c>
      <c r="E141" s="14" t="inlineStr">
        <is>
          <t>Usuario indica que el candidato no corresponde</t>
        </is>
      </c>
      <c r="F141" s="14" t="inlineStr">
        <is>
          <t>Estado Descartado; evitar reproponer de forma insistente salvo nueva señal/dato/regla.</t>
        </is>
      </c>
      <c r="G141" s="6" t="inlineStr">
        <is>
          <t>M06</t>
        </is>
      </c>
      <c r="H141" s="19" t="inlineStr">
        <is>
          <t>F1 · QA funcional local</t>
        </is>
      </c>
      <c r="I141" s="16" t="inlineStr">
        <is>
          <t>Sí</t>
        </is>
      </c>
      <c r="J141" s="16" t="inlineStr">
        <is>
          <t>No requerido para PASS primario</t>
        </is>
      </c>
      <c r="K141" s="16" t="inlineStr">
        <is>
          <t>No para PASS primario</t>
        </is>
      </c>
      <c r="L141" s="16" t="inlineStr">
        <is>
          <t>No obligatorio fuera de regresión</t>
        </is>
      </c>
      <c r="M141" s="16" t="inlineStr">
        <is>
          <t>Sí · F5 smoke contractual</t>
        </is>
      </c>
      <c r="N141" s="17" t="inlineStr">
        <is>
          <t>F1</t>
        </is>
      </c>
      <c r="O141" s="6" t="inlineStr">
        <is>
          <t>NO</t>
        </is>
      </c>
      <c r="P141" s="16" t="inlineStr">
        <is>
          <t>El resultado primario se determina en M06 con sus estados/reglas; una salida downstream no se trata como dependencia de entrada.</t>
        </is>
      </c>
      <c r="Q141" s="14" t="inlineStr">
        <is>
          <t>Walvy_M6_Matriz_Trazabilidad_Cliente_v1.0_RESPUESTA_WALVY.xlsx · Matriz Trazabilidad · M6-V10</t>
        </is>
      </c>
      <c r="R141" s="18">
        <f>COUNTIF($B$5:$B$190,B141)</f>
        <v/>
      </c>
    </row>
    <row r="142">
      <c r="A142" s="14" t="inlineStr">
        <is>
          <t>M06</t>
        </is>
      </c>
      <c r="B142" s="14" t="inlineStr">
        <is>
          <t>M6-V11</t>
        </is>
      </c>
      <c r="C142" s="14" t="inlineStr">
        <is>
          <t>Candidato detectado</t>
        </is>
      </c>
      <c r="D142" s="14" t="inlineStr">
        <is>
          <t>Baja confianza</t>
        </is>
      </c>
      <c r="E142" s="14" t="inlineStr">
        <is>
          <t>Candidato con dato ambiguo o de baja confianza</t>
        </is>
      </c>
      <c r="F142" s="14" t="inlineStr">
        <is>
          <t>Mantener Requiere revisión; CTA Revisar dato; no consolidar ni escalar a alerta crítica.</t>
        </is>
      </c>
      <c r="G142" s="6" t="inlineStr">
        <is>
          <t>M06</t>
        </is>
      </c>
      <c r="H142" s="19" t="inlineStr">
        <is>
          <t>F1 · QA funcional local</t>
        </is>
      </c>
      <c r="I142" s="16" t="inlineStr">
        <is>
          <t>Sí</t>
        </is>
      </c>
      <c r="J142" s="16" t="inlineStr">
        <is>
          <t>No requerido para PASS primario</t>
        </is>
      </c>
      <c r="K142" s="16" t="inlineStr">
        <is>
          <t>No para PASS primario</t>
        </is>
      </c>
      <c r="L142" s="16" t="inlineStr">
        <is>
          <t>No obligatorio fuera de regresión</t>
        </is>
      </c>
      <c r="M142" s="16" t="inlineStr">
        <is>
          <t>Sí · F5 smoke contractual</t>
        </is>
      </c>
      <c r="N142" s="17" t="inlineStr">
        <is>
          <t>F1</t>
        </is>
      </c>
      <c r="O142" s="6" t="inlineStr">
        <is>
          <t>NO</t>
        </is>
      </c>
      <c r="P142" s="16" t="inlineStr">
        <is>
          <t>El resultado primario se determina en M06 con sus estados/reglas; una salida downstream no se trata como dependencia de entrada.</t>
        </is>
      </c>
      <c r="Q142" s="14" t="inlineStr">
        <is>
          <t>Walvy_M6_Matriz_Trazabilidad_Cliente_v1.0_RESPUESTA_WALVY.xlsx · Matriz Trazabilidad · M6-V11</t>
        </is>
      </c>
      <c r="R142" s="18">
        <f>COUNTIF($B$5:$B$190,B142)</f>
        <v/>
      </c>
    </row>
    <row r="143">
      <c r="A143" s="14" t="inlineStr">
        <is>
          <t>M06</t>
        </is>
      </c>
      <c r="B143" s="14" t="inlineStr">
        <is>
          <t>M6-V12</t>
        </is>
      </c>
      <c r="C143" s="14" t="inlineStr">
        <is>
          <t>Vencimiento</t>
        </is>
      </c>
      <c r="D143" s="14" t="inlineStr">
        <is>
          <t>Paso a Próximo</t>
        </is>
      </c>
      <c r="E143" s="14" t="inlineStr">
        <is>
          <t>Cuenta Pendiente entra en umbral funcional</t>
        </is>
      </c>
      <c r="F143" s="14" t="inlineStr">
        <is>
          <t>Cambiar a Próximo con severidad Atención; umbral parametrizable.</t>
        </is>
      </c>
      <c r="G143" s="6" t="inlineStr">
        <is>
          <t>M06</t>
        </is>
      </c>
      <c r="H143" s="19" t="inlineStr">
        <is>
          <t>F1 · QA funcional local</t>
        </is>
      </c>
      <c r="I143" s="16" t="inlineStr">
        <is>
          <t>Sí</t>
        </is>
      </c>
      <c r="J143" s="16" t="inlineStr">
        <is>
          <t>No requerido para PASS primario</t>
        </is>
      </c>
      <c r="K143" s="16" t="inlineStr">
        <is>
          <t>No para PASS primario</t>
        </is>
      </c>
      <c r="L143" s="16" t="inlineStr">
        <is>
          <t>No obligatorio fuera de regresión</t>
        </is>
      </c>
      <c r="M143" s="16" t="inlineStr">
        <is>
          <t>Sí · F5 journey crítico</t>
        </is>
      </c>
      <c r="N143" s="17" t="inlineStr">
        <is>
          <t>F1</t>
        </is>
      </c>
      <c r="O143" s="6" t="inlineStr">
        <is>
          <t>NO</t>
        </is>
      </c>
      <c r="P143" s="16" t="inlineStr">
        <is>
          <t>El resultado primario se determina en M06 con sus estados/reglas; una salida downstream no se trata como dependencia de entrada.</t>
        </is>
      </c>
      <c r="Q143" s="14" t="inlineStr">
        <is>
          <t>Walvy_M6_Matriz_Trazabilidad_Cliente_v1.0_RESPUESTA_WALVY.xlsx · Matriz Trazabilidad · M6-V12</t>
        </is>
      </c>
      <c r="R143" s="18">
        <f>COUNTIF($B$5:$B$190,B143)</f>
        <v/>
      </c>
    </row>
    <row r="144">
      <c r="A144" s="14" t="inlineStr">
        <is>
          <t>M06</t>
        </is>
      </c>
      <c r="B144" s="14" t="inlineStr">
        <is>
          <t>M6-V13</t>
        </is>
      </c>
      <c r="C144" s="14" t="inlineStr">
        <is>
          <t>Vencimiento</t>
        </is>
      </c>
      <c r="D144" s="14" t="inlineStr">
        <is>
          <t>Próximo con impacto relevante</t>
        </is>
      </c>
      <c r="E144" s="14" t="inlineStr">
        <is>
          <t>Pago Próximo tiene fecha/origen confiables y alto impacto o deuda asociada</t>
        </is>
      </c>
      <c r="F144" s="14" t="inlineStr">
        <is>
          <t>Puede elevarse a Urgente y gatillar señal/recordatorio seguro; no implica pago directo.</t>
        </is>
      </c>
      <c r="G144" s="6" t="inlineStr">
        <is>
          <t>Consume ratio mensual canónico M05 y/o deterioro vigente M04 para escalar severidad</t>
        </is>
      </c>
      <c r="H144" s="20" t="inlineStr">
        <is>
          <t>F2 · Fixture cross-contract</t>
        </is>
      </c>
      <c r="I144" s="16" t="inlineStr">
        <is>
          <t>No como PASS completo</t>
        </is>
      </c>
      <c r="J144" s="16" t="inlineStr">
        <is>
          <t>Sí · fixture/payload canónico</t>
        </is>
      </c>
      <c r="K144" s="16" t="inlineStr">
        <is>
          <t>No para PASS primario</t>
        </is>
      </c>
      <c r="L144" s="16" t="inlineStr">
        <is>
          <t>Sí · F4</t>
        </is>
      </c>
      <c r="M144" s="16" t="inlineStr">
        <is>
          <t>Sí · F5 journey crítico</t>
        </is>
      </c>
      <c r="N144" s="17" t="inlineStr">
        <is>
          <t>F1</t>
        </is>
      </c>
      <c r="O144" s="21" t="inlineStr">
        <is>
          <t>SÍ</t>
        </is>
      </c>
      <c r="P144" s="16" t="inlineStr">
        <is>
          <t>El resultado CONSUME un contrato upstream; el contrato está cerrado y admite fixture/oráculo reproducible antes del E2E real.</t>
        </is>
      </c>
      <c r="Q144" s="14" t="inlineStr">
        <is>
          <t>Walvy_M6_Matriz_Trazabilidad_Cliente_v1.0_RESPUESTA_WALVY.xlsx · Matriz Trazabilidad · M6-V13</t>
        </is>
      </c>
      <c r="R144" s="18">
        <f>COUNTIF($B$5:$B$190,B144)</f>
        <v/>
      </c>
    </row>
    <row r="145">
      <c r="A145" s="14" t="inlineStr">
        <is>
          <t>M06</t>
        </is>
      </c>
      <c r="B145" s="14" t="inlineStr">
        <is>
          <t>M6-V14</t>
        </is>
      </c>
      <c r="C145" s="14" t="inlineStr">
        <is>
          <t>Vencimiento</t>
        </is>
      </c>
      <c r="D145" s="14" t="inlineStr">
        <is>
          <t>Próximo sin fecha confiable</t>
        </is>
      </c>
      <c r="E145" s="14" t="inlineStr">
        <is>
          <t>Falta fecha confiable, origen claro o dato suficiente</t>
        </is>
      </c>
      <c r="F145" s="14" t="inlineStr">
        <is>
          <t>Mantener Requiere revisión / Atención; no gatillar urgencia ni criticidad.</t>
        </is>
      </c>
      <c r="G145" s="6" t="inlineStr">
        <is>
          <t>M06</t>
        </is>
      </c>
      <c r="H145" s="19" t="inlineStr">
        <is>
          <t>F1 · QA funcional local</t>
        </is>
      </c>
      <c r="I145" s="16" t="inlineStr">
        <is>
          <t>Sí</t>
        </is>
      </c>
      <c r="J145" s="16" t="inlineStr">
        <is>
          <t>No requerido para PASS primario</t>
        </is>
      </c>
      <c r="K145" s="16" t="inlineStr">
        <is>
          <t>No para PASS primario</t>
        </is>
      </c>
      <c r="L145" s="16" t="inlineStr">
        <is>
          <t>No obligatorio fuera de regresión</t>
        </is>
      </c>
      <c r="M145" s="16" t="inlineStr">
        <is>
          <t>Sí · F5 journey crítico</t>
        </is>
      </c>
      <c r="N145" s="17" t="inlineStr">
        <is>
          <t>F1</t>
        </is>
      </c>
      <c r="O145" s="6" t="inlineStr">
        <is>
          <t>NO</t>
        </is>
      </c>
      <c r="P145" s="16" t="inlineStr">
        <is>
          <t>El resultado primario se determina en M06 con sus estados/reglas; una salida downstream no se trata como dependencia de entrada.</t>
        </is>
      </c>
      <c r="Q145" s="14" t="inlineStr">
        <is>
          <t>Walvy_M6_Matriz_Trazabilidad_Cliente_v1.0_RESPUESTA_WALVY.xlsx · Matriz Trazabilidad · M6-V14</t>
        </is>
      </c>
      <c r="R145" s="18">
        <f>COUNTIF($B$5:$B$190,B145)</f>
        <v/>
      </c>
    </row>
    <row r="146">
      <c r="A146" s="14" t="inlineStr">
        <is>
          <t>M06</t>
        </is>
      </c>
      <c r="B146" s="14" t="inlineStr">
        <is>
          <t>M6-V15</t>
        </is>
      </c>
      <c r="C146" s="14" t="inlineStr">
        <is>
          <t>Vencimiento</t>
        </is>
      </c>
      <c r="D146" s="14" t="inlineStr">
        <is>
          <t>Pago vencido</t>
        </is>
      </c>
      <c r="E146" s="14" t="inlineStr">
        <is>
          <t>Fecha confiable superada sin pago registrado ni vínculo suficiente</t>
        </is>
      </c>
      <c r="F146" s="14" t="inlineStr">
        <is>
          <t>Estado Vencido, severidad Urgente; puede gatillar alerta operativa; CTA Registrar pago realizado / Revisar pago.</t>
        </is>
      </c>
      <c r="G146" s="6" t="inlineStr">
        <is>
          <t>M06</t>
        </is>
      </c>
      <c r="H146" s="19" t="inlineStr">
        <is>
          <t>F1 · QA funcional local</t>
        </is>
      </c>
      <c r="I146" s="16" t="inlineStr">
        <is>
          <t>Sí</t>
        </is>
      </c>
      <c r="J146" s="16" t="inlineStr">
        <is>
          <t>No requerido para PASS primario</t>
        </is>
      </c>
      <c r="K146" s="16" t="inlineStr">
        <is>
          <t>No para PASS primario</t>
        </is>
      </c>
      <c r="L146" s="16" t="inlineStr">
        <is>
          <t>No obligatorio fuera de regresión</t>
        </is>
      </c>
      <c r="M146" s="16" t="inlineStr">
        <is>
          <t>Sí · F5 journey crítico</t>
        </is>
      </c>
      <c r="N146" s="17" t="inlineStr">
        <is>
          <t>F1</t>
        </is>
      </c>
      <c r="O146" s="6" t="inlineStr">
        <is>
          <t>NO</t>
        </is>
      </c>
      <c r="P146" s="16" t="inlineStr">
        <is>
          <t>El resultado primario se determina en M06 con sus estados/reglas; una salida downstream no se trata como dependencia de entrada.</t>
        </is>
      </c>
      <c r="Q146" s="14" t="inlineStr">
        <is>
          <t>Walvy_M6_Matriz_Trazabilidad_Cliente_v1.0_RESPUESTA_WALVY.xlsx · Matriz Trazabilidad · M6-V15</t>
        </is>
      </c>
      <c r="R146" s="18">
        <f>COUNTIF($B$5:$B$190,B146)</f>
        <v/>
      </c>
    </row>
    <row r="147">
      <c r="A147" s="14" t="inlineStr">
        <is>
          <t>M06</t>
        </is>
      </c>
      <c r="B147" s="14" t="inlineStr">
        <is>
          <t>M6-V16</t>
        </is>
      </c>
      <c r="C147" s="14" t="inlineStr">
        <is>
          <t>Vencimiento</t>
        </is>
      </c>
      <c r="D147" s="14" t="inlineStr">
        <is>
          <t>Pago vencido con severidad crítica</t>
        </is>
      </c>
      <c r="E147" s="14" t="inlineStr">
        <is>
          <t>Vencido con datos confiables y monto relevante, deuda bajo presión, mora, pago parcial/mínimo recurrente o fuerte impacto</t>
        </is>
      </c>
      <c r="F147" s="14" t="inlineStr">
        <is>
          <t>Elevar a Crítica internamente y mostrar revisión prioritaria sin usar 'crítico' como etiqueta visible por defecto.</t>
        </is>
      </c>
      <c r="G147" s="6" t="inlineStr">
        <is>
          <t>Consume ratio mensual canónico M05 y/o deterioro vigente M04 para escalar severidad</t>
        </is>
      </c>
      <c r="H147" s="20" t="inlineStr">
        <is>
          <t>F2 · Fixture cross-contract</t>
        </is>
      </c>
      <c r="I147" s="16" t="inlineStr">
        <is>
          <t>No como PASS completo</t>
        </is>
      </c>
      <c r="J147" s="16" t="inlineStr">
        <is>
          <t>Sí · fixture/payload canónico</t>
        </is>
      </c>
      <c r="K147" s="16" t="inlineStr">
        <is>
          <t>No para PASS primario</t>
        </is>
      </c>
      <c r="L147" s="16" t="inlineStr">
        <is>
          <t>Sí · F4</t>
        </is>
      </c>
      <c r="M147" s="16" t="inlineStr">
        <is>
          <t>Sí · F5 journey crítico</t>
        </is>
      </c>
      <c r="N147" s="17" t="inlineStr">
        <is>
          <t>F1</t>
        </is>
      </c>
      <c r="O147" s="21" t="inlineStr">
        <is>
          <t>SÍ</t>
        </is>
      </c>
      <c r="P147" s="16" t="inlineStr">
        <is>
          <t>El resultado CONSUME un contrato upstream; el contrato está cerrado y admite fixture/oráculo reproducible antes del E2E real.</t>
        </is>
      </c>
      <c r="Q147" s="14" t="inlineStr">
        <is>
          <t>Walvy_M6_Matriz_Trazabilidad_Cliente_v1.0_RESPUESTA_WALVY.xlsx · Matriz Trazabilidad · M6-V16</t>
        </is>
      </c>
      <c r="R147" s="18">
        <f>COUNTIF($B$5:$B$190,B147)</f>
        <v/>
      </c>
    </row>
    <row r="148">
      <c r="A148" s="14" t="inlineStr">
        <is>
          <t>M06</t>
        </is>
      </c>
      <c r="B148" s="14" t="inlineStr">
        <is>
          <t>M6-V17</t>
        </is>
      </c>
      <c r="C148" s="14" t="inlineStr">
        <is>
          <t>Vencimiento</t>
        </is>
      </c>
      <c r="D148" s="14" t="inlineStr">
        <is>
          <t>Vencido con datos insuficientes</t>
        </is>
      </c>
      <c r="E148" s="14" t="inlineStr">
        <is>
          <t>Monto/origen/fecha ambiguos o baja confianza</t>
        </is>
      </c>
      <c r="F148" s="14" t="inlineStr">
        <is>
          <t>No escalar a Crítica; mantener Requiere revisión / Atención.</t>
        </is>
      </c>
      <c r="G148" s="6" t="inlineStr">
        <is>
          <t>M06</t>
        </is>
      </c>
      <c r="H148" s="19" t="inlineStr">
        <is>
          <t>F1 · QA funcional local</t>
        </is>
      </c>
      <c r="I148" s="16" t="inlineStr">
        <is>
          <t>Sí</t>
        </is>
      </c>
      <c r="J148" s="16" t="inlineStr">
        <is>
          <t>No requerido para PASS primario</t>
        </is>
      </c>
      <c r="K148" s="16" t="inlineStr">
        <is>
          <t>No para PASS primario</t>
        </is>
      </c>
      <c r="L148" s="16" t="inlineStr">
        <is>
          <t>No obligatorio fuera de regresión</t>
        </is>
      </c>
      <c r="M148" s="16" t="inlineStr">
        <is>
          <t>Sí · F5 journey crítico</t>
        </is>
      </c>
      <c r="N148" s="17" t="inlineStr">
        <is>
          <t>F1</t>
        </is>
      </c>
      <c r="O148" s="6" t="inlineStr">
        <is>
          <t>NO</t>
        </is>
      </c>
      <c r="P148" s="16" t="inlineStr">
        <is>
          <t>El resultado primario se determina en M06 con sus estados/reglas; una salida downstream no se trata como dependencia de entrada.</t>
        </is>
      </c>
      <c r="Q148" s="14" t="inlineStr">
        <is>
          <t>Walvy_M6_Matriz_Trazabilidad_Cliente_v1.0_RESPUESTA_WALVY.xlsx · Matriz Trazabilidad · M6-V17</t>
        </is>
      </c>
      <c r="R148" s="18">
        <f>COUNTIF($B$5:$B$190,B148)</f>
        <v/>
      </c>
    </row>
    <row r="149">
      <c r="A149" s="14" t="inlineStr">
        <is>
          <t>M06</t>
        </is>
      </c>
      <c r="B149" s="14" t="inlineStr">
        <is>
          <t>M6-V18</t>
        </is>
      </c>
      <c r="C149" s="14" t="inlineStr">
        <is>
          <t>Pago realizado</t>
        </is>
      </c>
      <c r="D149" s="14" t="inlineStr">
        <is>
          <t>Registrar desde Pendiente/Próximo/Vencido</t>
        </is>
      </c>
      <c r="E149" s="14" t="inlineStr">
        <is>
          <t>Usuario declara que ya pagó fuera de Walvy</t>
        </is>
      </c>
      <c r="F149" s="14" t="inlineStr">
        <is>
          <t>Estado Pagado; conservar fecha/origen/actor; limpiar o reducir señal pendiente sin borrar historial.</t>
        </is>
      </c>
      <c r="G149" s="6" t="inlineStr">
        <is>
          <t>M06</t>
        </is>
      </c>
      <c r="H149" s="19" t="inlineStr">
        <is>
          <t>F1 · QA funcional local</t>
        </is>
      </c>
      <c r="I149" s="16" t="inlineStr">
        <is>
          <t>Sí</t>
        </is>
      </c>
      <c r="J149" s="16" t="inlineStr">
        <is>
          <t>No requerido para PASS primario</t>
        </is>
      </c>
      <c r="K149" s="16" t="inlineStr">
        <is>
          <t>No para PASS primario</t>
        </is>
      </c>
      <c r="L149" s="16" t="inlineStr">
        <is>
          <t>No obligatorio fuera de regresión</t>
        </is>
      </c>
      <c r="M149" s="16" t="inlineStr">
        <is>
          <t>Sí · F5 journey crítico</t>
        </is>
      </c>
      <c r="N149" s="17" t="inlineStr">
        <is>
          <t>F1</t>
        </is>
      </c>
      <c r="O149" s="6" t="inlineStr">
        <is>
          <t>NO</t>
        </is>
      </c>
      <c r="P149" s="16" t="inlineStr">
        <is>
          <t>El resultado primario se determina en M06 con sus estados/reglas; una salida downstream no se trata como dependencia de entrada.</t>
        </is>
      </c>
      <c r="Q149" s="14" t="inlineStr">
        <is>
          <t>Walvy_M6_Matriz_Trazabilidad_Cliente_v1.0_RESPUESTA_WALVY.xlsx · Matriz Trazabilidad · M6-V18</t>
        </is>
      </c>
      <c r="R149" s="18">
        <f>COUNTIF($B$5:$B$190,B149)</f>
        <v/>
      </c>
    </row>
    <row r="150">
      <c r="A150" s="14" t="inlineStr">
        <is>
          <t>M06</t>
        </is>
      </c>
      <c r="B150" s="14" t="inlineStr">
        <is>
          <t>M6-V19</t>
        </is>
      </c>
      <c r="C150" s="14" t="inlineStr">
        <is>
          <t>Pago realizado</t>
        </is>
      </c>
      <c r="D150" s="14" t="inlineStr">
        <is>
          <t>Pago realizado probable por ingesta</t>
        </is>
      </c>
      <c r="E150" s="14" t="inlineStr">
        <is>
          <t>Documento/cartola/movimiento sugiere que el pago ocurrió fuera de Walvy</t>
        </is>
      </c>
      <c r="F150" s="14" t="inlineStr">
        <is>
          <t>Representar Pago realizado probable; si coincidencia/validación suficiente puede registrarse Pagado; si no, mantener sugerencia/revisión.</t>
        </is>
      </c>
      <c r="G150" s="6" t="inlineStr">
        <is>
          <t>M06</t>
        </is>
      </c>
      <c r="H150" s="19" t="inlineStr">
        <is>
          <t>F1 · QA funcional local</t>
        </is>
      </c>
      <c r="I150" s="16" t="inlineStr">
        <is>
          <t>Sí</t>
        </is>
      </c>
      <c r="J150" s="16" t="inlineStr">
        <is>
          <t>No requerido para PASS primario</t>
        </is>
      </c>
      <c r="K150" s="16" t="inlineStr">
        <is>
          <t>No para PASS primario</t>
        </is>
      </c>
      <c r="L150" s="16" t="inlineStr">
        <is>
          <t>No obligatorio fuera de regresión</t>
        </is>
      </c>
      <c r="M150" s="16" t="inlineStr">
        <is>
          <t>Sí · F5 journey crítico</t>
        </is>
      </c>
      <c r="N150" s="17" t="inlineStr">
        <is>
          <t>F2</t>
        </is>
      </c>
      <c r="O150" s="21" t="inlineStr">
        <is>
          <t>SÍ</t>
        </is>
      </c>
      <c r="P150" s="16" t="inlineStr">
        <is>
          <t>El resultado primario se determina en M06 con sus estados/reglas; una salida downstream no se trata como dependencia de entrada.</t>
        </is>
      </c>
      <c r="Q150" s="14" t="inlineStr">
        <is>
          <t>Walvy_M6_Matriz_Trazabilidad_Cliente_v1.0_RESPUESTA_WALVY.xlsx · Matriz Trazabilidad · M6-V19</t>
        </is>
      </c>
      <c r="R150" s="18">
        <f>COUNTIF($B$5:$B$190,B150)</f>
        <v/>
      </c>
    </row>
    <row r="151">
      <c r="A151" s="14" t="inlineStr">
        <is>
          <t>M06</t>
        </is>
      </c>
      <c r="B151" s="14" t="inlineStr">
        <is>
          <t>M6-V20</t>
        </is>
      </c>
      <c r="C151" s="14" t="inlineStr">
        <is>
          <t>Pago realizado</t>
        </is>
      </c>
      <c r="D151" s="14" t="inlineStr">
        <is>
          <t>Corregir pago marcado</t>
        </is>
      </c>
      <c r="E151" s="14" t="inlineStr">
        <is>
          <t>Usuario detecta un dato incorrecto en un registro Pagado</t>
        </is>
      </c>
      <c r="F151" s="14" t="inlineStr">
        <is>
          <t>Permitir corregir fecha, monto, origen o vínculo; conservar historial funcional.</t>
        </is>
      </c>
      <c r="G151" s="6" t="inlineStr">
        <is>
          <t>M06</t>
        </is>
      </c>
      <c r="H151" s="19" t="inlineStr">
        <is>
          <t>F1 · QA funcional local</t>
        </is>
      </c>
      <c r="I151" s="16" t="inlineStr">
        <is>
          <t>Sí</t>
        </is>
      </c>
      <c r="J151" s="16" t="inlineStr">
        <is>
          <t>No requerido para PASS primario</t>
        </is>
      </c>
      <c r="K151" s="16" t="inlineStr">
        <is>
          <t>No para PASS primario</t>
        </is>
      </c>
      <c r="L151" s="16" t="inlineStr">
        <is>
          <t>No obligatorio fuera de regresión</t>
        </is>
      </c>
      <c r="M151" s="16" t="inlineStr">
        <is>
          <t>Sí · F5 journey crítico</t>
        </is>
      </c>
      <c r="N151" s="17" t="inlineStr">
        <is>
          <t>F1</t>
        </is>
      </c>
      <c r="O151" s="6" t="inlineStr">
        <is>
          <t>NO</t>
        </is>
      </c>
      <c r="P151" s="16" t="inlineStr">
        <is>
          <t>El resultado primario se determina en M06 con sus estados/reglas; una salida downstream no se trata como dependencia de entrada.</t>
        </is>
      </c>
      <c r="Q151" s="14" t="inlineStr">
        <is>
          <t>Walvy_M6_Matriz_Trazabilidad_Cliente_v1.0_RESPUESTA_WALVY.xlsx · Matriz Trazabilidad · M6-V20</t>
        </is>
      </c>
      <c r="R151" s="18">
        <f>COUNTIF($B$5:$B$190,B151)</f>
        <v/>
      </c>
    </row>
    <row r="152">
      <c r="A152" s="14" t="inlineStr">
        <is>
          <t>M06</t>
        </is>
      </c>
      <c r="B152" s="14" t="inlineStr">
        <is>
          <t>M6-V21</t>
        </is>
      </c>
      <c r="C152" s="14" t="inlineStr">
        <is>
          <t>Pago realizado</t>
        </is>
      </c>
      <c r="D152" s="14" t="inlineStr">
        <is>
          <t>Deshacer pago marcado</t>
        </is>
      </c>
      <c r="E152" s="14" t="inlineStr">
        <is>
          <t>Usuario deshace un pago realizado por error</t>
        </is>
      </c>
      <c r="F152" s="14" t="inlineStr">
        <is>
          <t>Recalcular a Pendiente, Próximo, Vencido, Requiere revisión o Corregido según datos vigentes; mantener trazabilidad.</t>
        </is>
      </c>
      <c r="G152" s="6" t="inlineStr">
        <is>
          <t>M06</t>
        </is>
      </c>
      <c r="H152" s="19" t="inlineStr">
        <is>
          <t>F1 · QA funcional local</t>
        </is>
      </c>
      <c r="I152" s="16" t="inlineStr">
        <is>
          <t>Sí</t>
        </is>
      </c>
      <c r="J152" s="16" t="inlineStr">
        <is>
          <t>No requerido para PASS primario</t>
        </is>
      </c>
      <c r="K152" s="16" t="inlineStr">
        <is>
          <t>No para PASS primario</t>
        </is>
      </c>
      <c r="L152" s="16" t="inlineStr">
        <is>
          <t>No obligatorio fuera de regresión</t>
        </is>
      </c>
      <c r="M152" s="16" t="inlineStr">
        <is>
          <t>Sí · F5 journey crítico</t>
        </is>
      </c>
      <c r="N152" s="17" t="inlineStr">
        <is>
          <t>F1</t>
        </is>
      </c>
      <c r="O152" s="6" t="inlineStr">
        <is>
          <t>NO</t>
        </is>
      </c>
      <c r="P152" s="16" t="inlineStr">
        <is>
          <t>El resultado primario se determina en M06 con sus estados/reglas; una salida downstream no se trata como dependencia de entrada.</t>
        </is>
      </c>
      <c r="Q152" s="14" t="inlineStr">
        <is>
          <t>Walvy_M6_Matriz_Trazabilidad_Cliente_v1.0_RESPUESTA_WALVY.xlsx · Matriz Trazabilidad · M6-V21</t>
        </is>
      </c>
      <c r="R152" s="18">
        <f>COUNTIF($B$5:$B$190,B152)</f>
        <v/>
      </c>
    </row>
    <row r="153">
      <c r="A153" s="14" t="inlineStr">
        <is>
          <t>M06</t>
        </is>
      </c>
      <c r="B153" s="14" t="inlineStr">
        <is>
          <t>M6-V22</t>
        </is>
      </c>
      <c r="C153" s="14" t="inlineStr">
        <is>
          <t>Origen del dato</t>
        </is>
      </c>
      <c r="D153" s="14" t="inlineStr">
        <is>
          <t>Mostrar origen asociado</t>
        </is>
      </c>
      <c r="E153" s="14" t="inlineStr">
        <is>
          <t>Pago tiene registro manual o dato detectado asociado</t>
        </is>
      </c>
      <c r="F153" s="14" t="inlineStr">
        <is>
          <t>Mostrar origen/registro de forma acotada; no interpretarlo como comprobante formal, pago ejecutado o deuda cerrada.</t>
        </is>
      </c>
      <c r="G153" s="6" t="inlineStr">
        <is>
          <t>M06</t>
        </is>
      </c>
      <c r="H153" s="19" t="inlineStr">
        <is>
          <t>F1 · QA funcional local</t>
        </is>
      </c>
      <c r="I153" s="16" t="inlineStr">
        <is>
          <t>Sí</t>
        </is>
      </c>
      <c r="J153" s="16" t="inlineStr">
        <is>
          <t>No requerido para PASS primario</t>
        </is>
      </c>
      <c r="K153" s="16" t="inlineStr">
        <is>
          <t>No para PASS primario</t>
        </is>
      </c>
      <c r="L153" s="16" t="inlineStr">
        <is>
          <t>No obligatorio fuera de regresión</t>
        </is>
      </c>
      <c r="M153" s="16" t="inlineStr">
        <is>
          <t>Sí · F5 smoke contractual</t>
        </is>
      </c>
      <c r="N153" s="17" t="inlineStr">
        <is>
          <t>F1</t>
        </is>
      </c>
      <c r="O153" s="6" t="inlineStr">
        <is>
          <t>NO</t>
        </is>
      </c>
      <c r="P153" s="16" t="inlineStr">
        <is>
          <t>El resultado primario se determina en M06 con sus estados/reglas; una salida downstream no se trata como dependencia de entrada.</t>
        </is>
      </c>
      <c r="Q153" s="14" t="inlineStr">
        <is>
          <t>Walvy_M6_Matriz_Trazabilidad_Cliente_v1.0_RESPUESTA_WALVY.xlsx · Matriz Trazabilidad · M6-V22</t>
        </is>
      </c>
      <c r="R153" s="18">
        <f>COUNTIF($B$5:$B$190,B153)</f>
        <v/>
      </c>
    </row>
    <row r="154">
      <c r="A154" s="14" t="inlineStr">
        <is>
          <t>M06</t>
        </is>
      </c>
      <c r="B154" s="14" t="inlineStr">
        <is>
          <t>M6-V23</t>
        </is>
      </c>
      <c r="C154" s="14" t="inlineStr">
        <is>
          <t>Origen del dato</t>
        </is>
      </c>
      <c r="D154" s="14" t="inlineStr">
        <is>
          <t>Dato detectado con coincidencia mínima</t>
        </is>
      </c>
      <c r="E154" s="14" t="inlineStr">
        <is>
          <t>Existe coincidencia funcional por monto, fecha, glosa, categoría/proveedor u otro identificador razonable</t>
        </is>
      </c>
      <c r="F154" s="14" t="inlineStr">
        <is>
          <t>Permitir vínculo/revisión con confianza media/alta; no consolidar de forma opaca.</t>
        </is>
      </c>
      <c r="G154" s="6" t="inlineStr">
        <is>
          <t>M06</t>
        </is>
      </c>
      <c r="H154" s="19" t="inlineStr">
        <is>
          <t>F1 · QA funcional local</t>
        </is>
      </c>
      <c r="I154" s="16" t="inlineStr">
        <is>
          <t>Sí</t>
        </is>
      </c>
      <c r="J154" s="16" t="inlineStr">
        <is>
          <t>No requerido para PASS primario</t>
        </is>
      </c>
      <c r="K154" s="16" t="inlineStr">
        <is>
          <t>No para PASS primario</t>
        </is>
      </c>
      <c r="L154" s="16" t="inlineStr">
        <is>
          <t>No obligatorio fuera de regresión</t>
        </is>
      </c>
      <c r="M154" s="16" t="inlineStr">
        <is>
          <t>Sí · F5 smoke contractual</t>
        </is>
      </c>
      <c r="N154" s="17" t="inlineStr">
        <is>
          <t>F1</t>
        </is>
      </c>
      <c r="O154" s="6" t="inlineStr">
        <is>
          <t>NO</t>
        </is>
      </c>
      <c r="P154" s="16" t="inlineStr">
        <is>
          <t>El resultado primario se determina en M06 con sus estados/reglas; una salida downstream no se trata como dependencia de entrada.</t>
        </is>
      </c>
      <c r="Q154" s="14" t="inlineStr">
        <is>
          <t>Walvy_M6_Matriz_Trazabilidad_Cliente_v1.0_RESPUESTA_WALVY.xlsx · Matriz Trazabilidad · M6-V23</t>
        </is>
      </c>
      <c r="R154" s="18">
        <f>COUNTIF($B$5:$B$190,B154)</f>
        <v/>
      </c>
    </row>
    <row r="155">
      <c r="A155" s="14" t="inlineStr">
        <is>
          <t>M06</t>
        </is>
      </c>
      <c r="B155" s="14" t="inlineStr">
        <is>
          <t>M6-V24</t>
        </is>
      </c>
      <c r="C155" s="14" t="inlineStr">
        <is>
          <t>Origen del dato</t>
        </is>
      </c>
      <c r="D155" s="14" t="inlineStr">
        <is>
          <t>Dato ilegible o insuficiente</t>
        </is>
      </c>
      <c r="E155" s="14" t="inlineStr">
        <is>
          <t>Documento/dato no permite lectura confiable</t>
        </is>
      </c>
      <c r="F155" s="14" t="inlineStr">
        <is>
          <t>Estado Requiere revisión / baja confianza; CTA Revisar archivo/origen o ingresar manualmente; no exigir comprobante obligatorio.</t>
        </is>
      </c>
      <c r="G155" s="6" t="inlineStr">
        <is>
          <t>M06</t>
        </is>
      </c>
      <c r="H155" s="19" t="inlineStr">
        <is>
          <t>F1 · QA funcional local</t>
        </is>
      </c>
      <c r="I155" s="16" t="inlineStr">
        <is>
          <t>Sí</t>
        </is>
      </c>
      <c r="J155" s="16" t="inlineStr">
        <is>
          <t>No requerido para PASS primario</t>
        </is>
      </c>
      <c r="K155" s="16" t="inlineStr">
        <is>
          <t>No para PASS primario</t>
        </is>
      </c>
      <c r="L155" s="16" t="inlineStr">
        <is>
          <t>No obligatorio fuera de regresión</t>
        </is>
      </c>
      <c r="M155" s="16" t="inlineStr">
        <is>
          <t>Sí · F5 smoke contractual</t>
        </is>
      </c>
      <c r="N155" s="17" t="inlineStr">
        <is>
          <t>F1</t>
        </is>
      </c>
      <c r="O155" s="6" t="inlineStr">
        <is>
          <t>NO</t>
        </is>
      </c>
      <c r="P155" s="16" t="inlineStr">
        <is>
          <t>El resultado primario se determina en M06 con sus estados/reglas; una salida downstream no se trata como dependencia de entrada.</t>
        </is>
      </c>
      <c r="Q155" s="14" t="inlineStr">
        <is>
          <t>Walvy_M6_Matriz_Trazabilidad_Cliente_v1.0_RESPUESTA_WALVY.xlsx · Matriz Trazabilidad · M6-V24</t>
        </is>
      </c>
      <c r="R155" s="18">
        <f>COUNTIF($B$5:$B$190,B155)</f>
        <v/>
      </c>
    </row>
    <row r="156">
      <c r="A156" s="14" t="inlineStr">
        <is>
          <t>M06</t>
        </is>
      </c>
      <c r="B156" s="14" t="inlineStr">
        <is>
          <t>M6-V25</t>
        </is>
      </c>
      <c r="C156" s="14" t="inlineStr">
        <is>
          <t>Origen del dato</t>
        </is>
      </c>
      <c r="D156" s="14" t="inlineStr">
        <is>
          <t>Dato contradictorio</t>
        </is>
      </c>
      <c r="E156" s="14" t="inlineStr">
        <is>
          <t>Dato detectado contradice dato declarado</t>
        </is>
      </c>
      <c r="F156" s="14" t="inlineStr">
        <is>
          <t>Solicitar revisión o corrección; no confirmar sin revisión.</t>
        </is>
      </c>
      <c r="G156" s="6" t="inlineStr">
        <is>
          <t>M06</t>
        </is>
      </c>
      <c r="H156" s="19" t="inlineStr">
        <is>
          <t>F1 · QA funcional local</t>
        </is>
      </c>
      <c r="I156" s="16" t="inlineStr">
        <is>
          <t>Sí</t>
        </is>
      </c>
      <c r="J156" s="16" t="inlineStr">
        <is>
          <t>No requerido para PASS primario</t>
        </is>
      </c>
      <c r="K156" s="16" t="inlineStr">
        <is>
          <t>No para PASS primario</t>
        </is>
      </c>
      <c r="L156" s="16" t="inlineStr">
        <is>
          <t>No obligatorio fuera de regresión</t>
        </is>
      </c>
      <c r="M156" s="16" t="inlineStr">
        <is>
          <t>Sí · F5 smoke contractual</t>
        </is>
      </c>
      <c r="N156" s="17" t="inlineStr">
        <is>
          <t>F1</t>
        </is>
      </c>
      <c r="O156" s="6" t="inlineStr">
        <is>
          <t>NO</t>
        </is>
      </c>
      <c r="P156" s="16" t="inlineStr">
        <is>
          <t>El resultado primario se determina en M06 con sus estados/reglas; una salida downstream no se trata como dependencia de entrada.</t>
        </is>
      </c>
      <c r="Q156" s="14" t="inlineStr">
        <is>
          <t>Walvy_M6_Matriz_Trazabilidad_Cliente_v1.0_RESPUESTA_WALVY.xlsx · Matriz Trazabilidad · M6-V25</t>
        </is>
      </c>
      <c r="R156" s="18">
        <f>COUNTIF($B$5:$B$190,B156)</f>
        <v/>
      </c>
    </row>
    <row r="157">
      <c r="A157" s="14" t="inlineStr">
        <is>
          <t>M06</t>
        </is>
      </c>
      <c r="B157" s="14" t="inlineStr">
        <is>
          <t>M6-V26</t>
        </is>
      </c>
      <c r="C157" s="14" t="inlineStr">
        <is>
          <t>Origen del dato</t>
        </is>
      </c>
      <c r="D157" s="14" t="inlineStr">
        <is>
          <t>Pago informado sin confianza suficiente</t>
        </is>
      </c>
      <c r="E157" s="14" t="inlineStr">
        <is>
          <t>Dato informado/detectado no alcanza confianza suficiente</t>
        </is>
      </c>
      <c r="F157" s="14" t="inlineStr">
        <is>
          <t>Mantener Requiere revisión y no marcar Pagado por defecto.</t>
        </is>
      </c>
      <c r="G157" s="6" t="inlineStr">
        <is>
          <t>M06</t>
        </is>
      </c>
      <c r="H157" s="19" t="inlineStr">
        <is>
          <t>F1 · QA funcional local</t>
        </is>
      </c>
      <c r="I157" s="16" t="inlineStr">
        <is>
          <t>Sí</t>
        </is>
      </c>
      <c r="J157" s="16" t="inlineStr">
        <is>
          <t>No requerido para PASS primario</t>
        </is>
      </c>
      <c r="K157" s="16" t="inlineStr">
        <is>
          <t>No para PASS primario</t>
        </is>
      </c>
      <c r="L157" s="16" t="inlineStr">
        <is>
          <t>No obligatorio fuera de regresión</t>
        </is>
      </c>
      <c r="M157" s="16" t="inlineStr">
        <is>
          <t>Sí · F5 smoke contractual</t>
        </is>
      </c>
      <c r="N157" s="17" t="inlineStr">
        <is>
          <t>F1</t>
        </is>
      </c>
      <c r="O157" s="6" t="inlineStr">
        <is>
          <t>NO</t>
        </is>
      </c>
      <c r="P157" s="16" t="inlineStr">
        <is>
          <t>El resultado primario se determina en M06 con sus estados/reglas; una salida downstream no se trata como dependencia de entrada.</t>
        </is>
      </c>
      <c r="Q157" s="14" t="inlineStr">
        <is>
          <t>Walvy_M6_Matriz_Trazabilidad_Cliente_v1.0_RESPUESTA_WALVY.xlsx · Matriz Trazabilidad · M6-V26</t>
        </is>
      </c>
      <c r="R157" s="18">
        <f>COUNTIF($B$5:$B$190,B157)</f>
        <v/>
      </c>
    </row>
    <row r="158">
      <c r="A158" s="14" t="inlineStr">
        <is>
          <t>M06</t>
        </is>
      </c>
      <c r="B158" s="14" t="inlineStr">
        <is>
          <t>M6-V27</t>
        </is>
      </c>
      <c r="C158" s="14" t="inlineStr">
        <is>
          <t>Duplicidad</t>
        </is>
      </c>
      <c r="D158" s="14" t="inlineStr">
        <is>
          <t>Detectar duplicado probable</t>
        </is>
      </c>
      <c r="E158" s="14" t="inlineStr">
        <is>
          <t>Candidato coincide con cuenta existente por monto, fecha, descripción, glosa o categoría</t>
        </is>
      </c>
      <c r="F158" s="14" t="inlineStr">
        <is>
          <t>Estado Duplicado probable; bloquear fusión/consolidación automática y CTA Revisar duplicado.</t>
        </is>
      </c>
      <c r="G158" s="6" t="inlineStr">
        <is>
          <t>M06</t>
        </is>
      </c>
      <c r="H158" s="19" t="inlineStr">
        <is>
          <t>F1 · QA funcional local</t>
        </is>
      </c>
      <c r="I158" s="16" t="inlineStr">
        <is>
          <t>Sí</t>
        </is>
      </c>
      <c r="J158" s="16" t="inlineStr">
        <is>
          <t>No requerido para PASS primario</t>
        </is>
      </c>
      <c r="K158" s="16" t="inlineStr">
        <is>
          <t>No para PASS primario</t>
        </is>
      </c>
      <c r="L158" s="16" t="inlineStr">
        <is>
          <t>No obligatorio fuera de regresión</t>
        </is>
      </c>
      <c r="M158" s="16" t="inlineStr">
        <is>
          <t>Sí · F5 smoke contractual</t>
        </is>
      </c>
      <c r="N158" s="17" t="inlineStr">
        <is>
          <t>F1</t>
        </is>
      </c>
      <c r="O158" s="6" t="inlineStr">
        <is>
          <t>NO</t>
        </is>
      </c>
      <c r="P158" s="16" t="inlineStr">
        <is>
          <t>El resultado primario se determina en M06 con sus estados/reglas; una salida downstream no se trata como dependencia de entrada.</t>
        </is>
      </c>
      <c r="Q158" s="14" t="inlineStr">
        <is>
          <t>Walvy_M6_Matriz_Trazabilidad_Cliente_v1.0_RESPUESTA_WALVY.xlsx · Matriz Trazabilidad · M6-V27</t>
        </is>
      </c>
      <c r="R158" s="18">
        <f>COUNTIF($B$5:$B$190,B158)</f>
        <v/>
      </c>
    </row>
    <row r="159">
      <c r="A159" s="14" t="inlineStr">
        <is>
          <t>M06</t>
        </is>
      </c>
      <c r="B159" s="14" t="inlineStr">
        <is>
          <t>M6-V28</t>
        </is>
      </c>
      <c r="C159" s="14" t="inlineStr">
        <is>
          <t>Duplicidad</t>
        </is>
      </c>
      <c r="D159" s="14" t="inlineStr">
        <is>
          <t>Confirmar que no es duplicado</t>
        </is>
      </c>
      <c r="E159" s="14" t="inlineStr">
        <is>
          <t>Usuario determina que corresponde a compromiso distinto</t>
        </is>
      </c>
      <c r="F159" s="14" t="inlineStr">
        <is>
          <t>Mantener cuenta separada como Pendiente/Detectado y conservar trazabilidad.</t>
        </is>
      </c>
      <c r="G159" s="6" t="inlineStr">
        <is>
          <t>M06</t>
        </is>
      </c>
      <c r="H159" s="19" t="inlineStr">
        <is>
          <t>F1 · QA funcional local</t>
        </is>
      </c>
      <c r="I159" s="16" t="inlineStr">
        <is>
          <t>Sí</t>
        </is>
      </c>
      <c r="J159" s="16" t="inlineStr">
        <is>
          <t>No requerido para PASS primario</t>
        </is>
      </c>
      <c r="K159" s="16" t="inlineStr">
        <is>
          <t>No para PASS primario</t>
        </is>
      </c>
      <c r="L159" s="16" t="inlineStr">
        <is>
          <t>No obligatorio fuera de regresión</t>
        </is>
      </c>
      <c r="M159" s="16" t="inlineStr">
        <is>
          <t>Sí · F5 smoke contractual</t>
        </is>
      </c>
      <c r="N159" s="17" t="inlineStr">
        <is>
          <t>F1</t>
        </is>
      </c>
      <c r="O159" s="6" t="inlineStr">
        <is>
          <t>NO</t>
        </is>
      </c>
      <c r="P159" s="16" t="inlineStr">
        <is>
          <t>El resultado primario se determina en M06 con sus estados/reglas; una salida downstream no se trata como dependencia de entrada.</t>
        </is>
      </c>
      <c r="Q159" s="14" t="inlineStr">
        <is>
          <t>Walvy_M6_Matriz_Trazabilidad_Cliente_v1.0_RESPUESTA_WALVY.xlsx · Matriz Trazabilidad · M6-V28</t>
        </is>
      </c>
      <c r="R159" s="18">
        <f>COUNTIF($B$5:$B$190,B159)</f>
        <v/>
      </c>
    </row>
    <row r="160">
      <c r="A160" s="14" t="inlineStr">
        <is>
          <t>M06</t>
        </is>
      </c>
      <c r="B160" s="14" t="inlineStr">
        <is>
          <t>M6-V29</t>
        </is>
      </c>
      <c r="C160" s="14" t="inlineStr">
        <is>
          <t>Duplicidad</t>
        </is>
      </c>
      <c r="D160" s="14" t="inlineStr">
        <is>
          <t>Confirmar duplicado</t>
        </is>
      </c>
      <c r="E160" s="14" t="inlineStr">
        <is>
          <t>Usuario confirma que corresponde al mismo pago</t>
        </is>
      </c>
      <c r="F160" s="14" t="inlineStr">
        <is>
          <t>Descartar o vincular al pago existente según regla; mantener historial y no borrar de forma opaca.</t>
        </is>
      </c>
      <c r="G160" s="6" t="inlineStr">
        <is>
          <t>M06</t>
        </is>
      </c>
      <c r="H160" s="19" t="inlineStr">
        <is>
          <t>F1 · QA funcional local</t>
        </is>
      </c>
      <c r="I160" s="16" t="inlineStr">
        <is>
          <t>Sí</t>
        </is>
      </c>
      <c r="J160" s="16" t="inlineStr">
        <is>
          <t>No requerido para PASS primario</t>
        </is>
      </c>
      <c r="K160" s="16" t="inlineStr">
        <is>
          <t>No para PASS primario</t>
        </is>
      </c>
      <c r="L160" s="16" t="inlineStr">
        <is>
          <t>No obligatorio fuera de regresión</t>
        </is>
      </c>
      <c r="M160" s="16" t="inlineStr">
        <is>
          <t>Sí · F5 smoke contractual</t>
        </is>
      </c>
      <c r="N160" s="17" t="inlineStr">
        <is>
          <t>F1</t>
        </is>
      </c>
      <c r="O160" s="6" t="inlineStr">
        <is>
          <t>NO</t>
        </is>
      </c>
      <c r="P160" s="16" t="inlineStr">
        <is>
          <t>El resultado primario se determina en M06 con sus estados/reglas; una salida downstream no se trata como dependencia de entrada.</t>
        </is>
      </c>
      <c r="Q160" s="14" t="inlineStr">
        <is>
          <t>Walvy_M6_Matriz_Trazabilidad_Cliente_v1.0_RESPUESTA_WALVY.xlsx · Matriz Trazabilidad · M6-V29</t>
        </is>
      </c>
      <c r="R160" s="18">
        <f>COUNTIF($B$5:$B$190,B160)</f>
        <v/>
      </c>
    </row>
    <row r="161">
      <c r="A161" s="14" t="inlineStr">
        <is>
          <t>M06</t>
        </is>
      </c>
      <c r="B161" s="14" t="inlineStr">
        <is>
          <t>M6-V30</t>
        </is>
      </c>
      <c r="C161" s="14" t="inlineStr">
        <is>
          <t>Recurrencia</t>
        </is>
      </c>
      <c r="D161" s="14" t="inlineStr">
        <is>
          <t>Sugerir recurrencia probable</t>
        </is>
      </c>
      <c r="E161" s="14" t="inlineStr">
        <is>
          <t>Patrón de fecha, monto, glosa, categoría, proveedor o historial sugiere repetición</t>
        </is>
      </c>
      <c r="F161" s="14" t="inlineStr">
        <is>
          <t>Estado Recurrente probable; CTA Confirmar recurrencia; no activar automáticamente.</t>
        </is>
      </c>
      <c r="G161" s="6" t="inlineStr">
        <is>
          <t>M06</t>
        </is>
      </c>
      <c r="H161" s="19" t="inlineStr">
        <is>
          <t>F1 · QA funcional local</t>
        </is>
      </c>
      <c r="I161" s="16" t="inlineStr">
        <is>
          <t>Sí</t>
        </is>
      </c>
      <c r="J161" s="16" t="inlineStr">
        <is>
          <t>No requerido para PASS primario</t>
        </is>
      </c>
      <c r="K161" s="16" t="inlineStr">
        <is>
          <t>No para PASS primario</t>
        </is>
      </c>
      <c r="L161" s="16" t="inlineStr">
        <is>
          <t>No obligatorio fuera de regresión</t>
        </is>
      </c>
      <c r="M161" s="16" t="inlineStr">
        <is>
          <t>Sí · F5 smoke contractual</t>
        </is>
      </c>
      <c r="N161" s="17" t="inlineStr">
        <is>
          <t>F1</t>
        </is>
      </c>
      <c r="O161" s="6" t="inlineStr">
        <is>
          <t>NO</t>
        </is>
      </c>
      <c r="P161" s="16" t="inlineStr">
        <is>
          <t>El resultado primario se determina en M06 con sus estados/reglas; una salida downstream no se trata como dependencia de entrada.</t>
        </is>
      </c>
      <c r="Q161" s="14" t="inlineStr">
        <is>
          <t>Walvy_M6_Matriz_Trazabilidad_Cliente_v1.0_RESPUESTA_WALVY.xlsx · Matriz Trazabilidad · M6-V30</t>
        </is>
      </c>
      <c r="R161" s="18">
        <f>COUNTIF($B$5:$B$190,B161)</f>
        <v/>
      </c>
    </row>
    <row r="162">
      <c r="A162" s="14" t="inlineStr">
        <is>
          <t>M06</t>
        </is>
      </c>
      <c r="B162" s="14" t="inlineStr">
        <is>
          <t>M6-V31</t>
        </is>
      </c>
      <c r="C162" s="14" t="inlineStr">
        <is>
          <t>Recurrencia</t>
        </is>
      </c>
      <c r="D162" s="14" t="inlineStr">
        <is>
          <t>Confirmar recurrencia</t>
        </is>
      </c>
      <c r="E162" s="14" t="inlineStr">
        <is>
          <t>Usuario confirma recurrencia</t>
        </is>
      </c>
      <c r="F162" s="14" t="inlineStr">
        <is>
          <t>Marcar recurrencia confirmada/preparable; cualquier compromiso futuro depende de regla definida y no de pago automático.</t>
        </is>
      </c>
      <c r="G162" s="6" t="inlineStr">
        <is>
          <t>M06</t>
        </is>
      </c>
      <c r="H162" s="19" t="inlineStr">
        <is>
          <t>F1 · QA funcional local</t>
        </is>
      </c>
      <c r="I162" s="16" t="inlineStr">
        <is>
          <t>Sí</t>
        </is>
      </c>
      <c r="J162" s="16" t="inlineStr">
        <is>
          <t>No requerido para PASS primario</t>
        </is>
      </c>
      <c r="K162" s="16" t="inlineStr">
        <is>
          <t>No para PASS primario</t>
        </is>
      </c>
      <c r="L162" s="16" t="inlineStr">
        <is>
          <t>No obligatorio fuera de regresión</t>
        </is>
      </c>
      <c r="M162" s="16" t="inlineStr">
        <is>
          <t>Sí · F5 smoke contractual</t>
        </is>
      </c>
      <c r="N162" s="17" t="inlineStr">
        <is>
          <t>F1</t>
        </is>
      </c>
      <c r="O162" s="6" t="inlineStr">
        <is>
          <t>NO</t>
        </is>
      </c>
      <c r="P162" s="16" t="inlineStr">
        <is>
          <t>El resultado primario se determina en M06 con sus estados/reglas; una salida downstream no se trata como dependencia de entrada.</t>
        </is>
      </c>
      <c r="Q162" s="14" t="inlineStr">
        <is>
          <t>Walvy_M6_Matriz_Trazabilidad_Cliente_v1.0_RESPUESTA_WALVY.xlsx · Matriz Trazabilidad · M6-V31</t>
        </is>
      </c>
      <c r="R162" s="18">
        <f>COUNTIF($B$5:$B$190,B162)</f>
        <v/>
      </c>
    </row>
    <row r="163">
      <c r="A163" s="14" t="inlineStr">
        <is>
          <t>M06</t>
        </is>
      </c>
      <c r="B163" s="14" t="inlineStr">
        <is>
          <t>M6-V32</t>
        </is>
      </c>
      <c r="C163" s="14" t="inlineStr">
        <is>
          <t>Recurrencia</t>
        </is>
      </c>
      <c r="D163" s="14" t="inlineStr">
        <is>
          <t>Rechazar recurrencia</t>
        </is>
      </c>
      <c r="E163" s="14" t="inlineStr">
        <is>
          <t>Usuario indica No es recurrente</t>
        </is>
      </c>
      <c r="F163" s="14" t="inlineStr">
        <is>
          <t>Mantener como pago único / recurrencia descartada, evitando insistencia.</t>
        </is>
      </c>
      <c r="G163" s="6" t="inlineStr">
        <is>
          <t>M06</t>
        </is>
      </c>
      <c r="H163" s="19" t="inlineStr">
        <is>
          <t>F1 · QA funcional local</t>
        </is>
      </c>
      <c r="I163" s="16" t="inlineStr">
        <is>
          <t>Sí</t>
        </is>
      </c>
      <c r="J163" s="16" t="inlineStr">
        <is>
          <t>No requerido para PASS primario</t>
        </is>
      </c>
      <c r="K163" s="16" t="inlineStr">
        <is>
          <t>No para PASS primario</t>
        </is>
      </c>
      <c r="L163" s="16" t="inlineStr">
        <is>
          <t>No obligatorio fuera de regresión</t>
        </is>
      </c>
      <c r="M163" s="16" t="inlineStr">
        <is>
          <t>Sí · F5 smoke contractual</t>
        </is>
      </c>
      <c r="N163" s="17" t="inlineStr">
        <is>
          <t>F1</t>
        </is>
      </c>
      <c r="O163" s="6" t="inlineStr">
        <is>
          <t>NO</t>
        </is>
      </c>
      <c r="P163" s="16" t="inlineStr">
        <is>
          <t>El resultado primario se determina en M06 con sus estados/reglas; una salida downstream no se trata como dependencia de entrada.</t>
        </is>
      </c>
      <c r="Q163" s="14" t="inlineStr">
        <is>
          <t>Walvy_M6_Matriz_Trazabilidad_Cliente_v1.0_RESPUESTA_WALVY.xlsx · Matriz Trazabilidad · M6-V32</t>
        </is>
      </c>
      <c r="R163" s="18">
        <f>COUNTIF($B$5:$B$190,B163)</f>
        <v/>
      </c>
    </row>
    <row r="164">
      <c r="A164" s="14" t="inlineStr">
        <is>
          <t>M06</t>
        </is>
      </c>
      <c r="B164" s="14" t="inlineStr">
        <is>
          <t>M6-V33</t>
        </is>
      </c>
      <c r="C164" s="14" t="inlineStr">
        <is>
          <t>Recurrencia</t>
        </is>
      </c>
      <c r="D164" s="14" t="inlineStr">
        <is>
          <t>Patrón de baja confianza</t>
        </is>
      </c>
      <c r="E164" s="14" t="inlineStr">
        <is>
          <t>Se detecta posible recurrencia con confianza baja</t>
        </is>
      </c>
      <c r="F164" s="14" t="inlineStr">
        <is>
          <t>Mostrar Requiere revisión; no presentar recurrencia sugerida fuerte ni crear futuros.</t>
        </is>
      </c>
      <c r="G164" s="6" t="inlineStr">
        <is>
          <t>M06</t>
        </is>
      </c>
      <c r="H164" s="19" t="inlineStr">
        <is>
          <t>F1 · QA funcional local</t>
        </is>
      </c>
      <c r="I164" s="16" t="inlineStr">
        <is>
          <t>Sí</t>
        </is>
      </c>
      <c r="J164" s="16" t="inlineStr">
        <is>
          <t>No requerido para PASS primario</t>
        </is>
      </c>
      <c r="K164" s="16" t="inlineStr">
        <is>
          <t>No para PASS primario</t>
        </is>
      </c>
      <c r="L164" s="16" t="inlineStr">
        <is>
          <t>No obligatorio fuera de regresión</t>
        </is>
      </c>
      <c r="M164" s="16" t="inlineStr">
        <is>
          <t>Sí · F5 smoke contractual</t>
        </is>
      </c>
      <c r="N164" s="17" t="inlineStr">
        <is>
          <t>F1</t>
        </is>
      </c>
      <c r="O164" s="6" t="inlineStr">
        <is>
          <t>NO</t>
        </is>
      </c>
      <c r="P164" s="16" t="inlineStr">
        <is>
          <t>El resultado primario se determina en M06 con sus estados/reglas; una salida downstream no se trata como dependencia de entrada.</t>
        </is>
      </c>
      <c r="Q164" s="14" t="inlineStr">
        <is>
          <t>Walvy_M6_Matriz_Trazabilidad_Cliente_v1.0_RESPUESTA_WALVY.xlsx · Matriz Trazabilidad · M6-V33</t>
        </is>
      </c>
      <c r="R164" s="18">
        <f>COUNTIF($B$5:$B$190,B164)</f>
        <v/>
      </c>
    </row>
    <row r="165">
      <c r="A165" s="14" t="inlineStr">
        <is>
          <t>M06</t>
        </is>
      </c>
      <c r="B165" s="14" t="inlineStr">
        <is>
          <t>M6-V34</t>
        </is>
      </c>
      <c r="C165" s="14" t="inlineStr">
        <is>
          <t>Alertas</t>
        </is>
      </c>
      <c r="D165" s="14" t="inlineStr">
        <is>
          <t>Recordatorio de pago próximo</t>
        </is>
      </c>
      <c r="E165" s="14" t="inlineStr">
        <is>
          <t>Estado Próximo</t>
        </is>
      </c>
      <c r="F165" s="14" t="inlineStr">
        <is>
          <t>Gatillar alerta/recordatorio seguro con CTA Revisar pago; no inducir pago.</t>
        </is>
      </c>
      <c r="G165" s="6" t="inlineStr">
        <is>
          <t>M06 produce situación; M02/motor avisos decide entrega/canal</t>
        </is>
      </c>
      <c r="H165" s="15" t="inlineStr">
        <is>
          <t>F3 · M02/M03 / superficie</t>
        </is>
      </c>
      <c r="I165" s="16" t="inlineStr">
        <is>
          <t>Parcial · productor</t>
        </is>
      </c>
      <c r="J165" s="16" t="inlineStr">
        <is>
          <t>Parcial · productor/oráculo sí; no sustituye PASS superficie</t>
        </is>
      </c>
      <c r="K165" s="16" t="inlineStr">
        <is>
          <t>Sí</t>
        </is>
      </c>
      <c r="L165" s="16" t="inlineStr">
        <is>
          <t>Sí · F3/F5</t>
        </is>
      </c>
      <c r="M165" s="16" t="inlineStr">
        <is>
          <t>Sí · F5 journey crítico</t>
        </is>
      </c>
      <c r="N165" s="17" t="inlineStr">
        <is>
          <t>F3</t>
        </is>
      </c>
      <c r="O165" s="21" t="inlineStr">
        <is>
          <t>SÍ</t>
        </is>
      </c>
      <c r="P165" s="16" t="inlineStr">
        <is>
          <t>El criterio de aceptación completo vive en Home/Perfil/avisos o en una superficie M02/M03; el productor puede probarse antes, pero no reemplaza el PASS de superficie.</t>
        </is>
      </c>
      <c r="Q165" s="14" t="inlineStr">
        <is>
          <t>Walvy_M6_Matriz_Trazabilidad_Cliente_v1.0_RESPUESTA_WALVY.xlsx · Matriz Trazabilidad · M6-V34</t>
        </is>
      </c>
      <c r="R165" s="18">
        <f>COUNTIF($B$5:$B$190,B165)</f>
        <v/>
      </c>
    </row>
    <row r="166">
      <c r="A166" s="14" t="inlineStr">
        <is>
          <t>M06</t>
        </is>
      </c>
      <c r="B166" s="14" t="inlineStr">
        <is>
          <t>M6-V35</t>
        </is>
      </c>
      <c r="C166" s="14" t="inlineStr">
        <is>
          <t>Alertas</t>
        </is>
      </c>
      <c r="D166" s="14" t="inlineStr">
        <is>
          <t>Alerta de pago vencido</t>
        </is>
      </c>
      <c r="E166" s="14" t="inlineStr">
        <is>
          <t>Estado Vencido</t>
        </is>
      </c>
      <c r="F166" s="14" t="inlineStr">
        <is>
          <t>Gatillar alerta operativa con CTA seguro; no usar Pagar ahora ni lenguaje transaccional.</t>
        </is>
      </c>
      <c r="G166" s="6" t="inlineStr">
        <is>
          <t>M06 produce situación; M02/motor avisos decide entrega/canal</t>
        </is>
      </c>
      <c r="H166" s="15" t="inlineStr">
        <is>
          <t>F3 · M02/M03 / superficie</t>
        </is>
      </c>
      <c r="I166" s="16" t="inlineStr">
        <is>
          <t>Parcial · productor</t>
        </is>
      </c>
      <c r="J166" s="16" t="inlineStr">
        <is>
          <t>Parcial · productor/oráculo sí; no sustituye PASS superficie</t>
        </is>
      </c>
      <c r="K166" s="16" t="inlineStr">
        <is>
          <t>Sí</t>
        </is>
      </c>
      <c r="L166" s="16" t="inlineStr">
        <is>
          <t>Sí · F3/F5</t>
        </is>
      </c>
      <c r="M166" s="16" t="inlineStr">
        <is>
          <t>Sí · F5 journey crítico</t>
        </is>
      </c>
      <c r="N166" s="17" t="inlineStr">
        <is>
          <t>F3</t>
        </is>
      </c>
      <c r="O166" s="21" t="inlineStr">
        <is>
          <t>SÍ</t>
        </is>
      </c>
      <c r="P166" s="16" t="inlineStr">
        <is>
          <t>El criterio de aceptación completo vive en Home/Perfil/avisos o en una superficie M02/M03; el productor puede probarse antes, pero no reemplaza el PASS de superficie.</t>
        </is>
      </c>
      <c r="Q166" s="14" t="inlineStr">
        <is>
          <t>Walvy_M6_Matriz_Trazabilidad_Cliente_v1.0_RESPUESTA_WALVY.xlsx · Matriz Trazabilidad · M6-V35</t>
        </is>
      </c>
      <c r="R166" s="18">
        <f>COUNTIF($B$5:$B$190,B166)</f>
        <v/>
      </c>
    </row>
    <row r="167">
      <c r="A167" s="14" t="inlineStr">
        <is>
          <t>M06</t>
        </is>
      </c>
      <c r="B167" s="14" t="inlineStr">
        <is>
          <t>M6-V36</t>
        </is>
      </c>
      <c r="C167" s="14" t="inlineStr">
        <is>
          <t>Alertas</t>
        </is>
      </c>
      <c r="D167" s="14" t="inlineStr">
        <is>
          <t>Aviso por dato incompleto</t>
        </is>
      </c>
      <c r="E167" s="14" t="inlineStr">
        <is>
          <t>Estado Requiere revisión / dato incompleto</t>
        </is>
      </c>
      <c r="F167" s="14" t="inlineStr">
        <is>
          <t>Mostrar aviso de revisión, sin urgencia artificial ni criticidad.</t>
        </is>
      </c>
      <c r="G167" s="6" t="inlineStr">
        <is>
          <t>M06 produce situación; M02/motor avisos decide entrega/canal</t>
        </is>
      </c>
      <c r="H167" s="15" t="inlineStr">
        <is>
          <t>F3 · M02/M03 / superficie</t>
        </is>
      </c>
      <c r="I167" s="16" t="inlineStr">
        <is>
          <t>Parcial · productor</t>
        </is>
      </c>
      <c r="J167" s="16" t="inlineStr">
        <is>
          <t>Parcial · productor/oráculo sí; no sustituye PASS superficie</t>
        </is>
      </c>
      <c r="K167" s="16" t="inlineStr">
        <is>
          <t>Sí</t>
        </is>
      </c>
      <c r="L167" s="16" t="inlineStr">
        <is>
          <t>Sí · F3/F5</t>
        </is>
      </c>
      <c r="M167" s="16" t="inlineStr">
        <is>
          <t>Sí · F5 journey crítico</t>
        </is>
      </c>
      <c r="N167" s="17" t="inlineStr">
        <is>
          <t>F3</t>
        </is>
      </c>
      <c r="O167" s="21" t="inlineStr">
        <is>
          <t>SÍ</t>
        </is>
      </c>
      <c r="P167" s="16" t="inlineStr">
        <is>
          <t>El criterio de aceptación completo vive en Home/Perfil/avisos o en una superficie M02/M03; el productor puede probarse antes, pero no reemplaza el PASS de superficie.</t>
        </is>
      </c>
      <c r="Q167" s="14" t="inlineStr">
        <is>
          <t>Walvy_M6_Matriz_Trazabilidad_Cliente_v1.0_RESPUESTA_WALVY.xlsx · Matriz Trazabilidad · M6-V36</t>
        </is>
      </c>
      <c r="R167" s="18">
        <f>COUNTIF($B$5:$B$190,B167)</f>
        <v/>
      </c>
    </row>
    <row r="168">
      <c r="A168" s="14" t="inlineStr">
        <is>
          <t>M06</t>
        </is>
      </c>
      <c r="B168" s="14" t="inlineStr">
        <is>
          <t>M6-V37</t>
        </is>
      </c>
      <c r="C168" s="14" t="inlineStr">
        <is>
          <t>Alertas</t>
        </is>
      </c>
      <c r="D168" s="14" t="inlineStr">
        <is>
          <t>Aviso de recurrencia probable</t>
        </is>
      </c>
      <c r="E168" s="14" t="inlineStr">
        <is>
          <t>Estado Recurrente probable</t>
        </is>
      </c>
      <c r="F168" s="14" t="inlineStr">
        <is>
          <t>Solicitar confirmación, sin activar recurrencia ni pagos futuros automáticamente.</t>
        </is>
      </c>
      <c r="G168" s="6" t="inlineStr">
        <is>
          <t>M06 produce situación; M02/motor avisos decide entrega/canal</t>
        </is>
      </c>
      <c r="H168" s="15" t="inlineStr">
        <is>
          <t>F3 · M02/M03 / superficie</t>
        </is>
      </c>
      <c r="I168" s="16" t="inlineStr">
        <is>
          <t>Parcial · productor</t>
        </is>
      </c>
      <c r="J168" s="16" t="inlineStr">
        <is>
          <t>Parcial · productor/oráculo sí; no sustituye PASS superficie</t>
        </is>
      </c>
      <c r="K168" s="16" t="inlineStr">
        <is>
          <t>Sí</t>
        </is>
      </c>
      <c r="L168" s="16" t="inlineStr">
        <is>
          <t>Sí · F3/F5</t>
        </is>
      </c>
      <c r="M168" s="16" t="inlineStr">
        <is>
          <t>Sí · F5 journey crítico</t>
        </is>
      </c>
      <c r="N168" s="17" t="inlineStr">
        <is>
          <t>F3</t>
        </is>
      </c>
      <c r="O168" s="21" t="inlineStr">
        <is>
          <t>SÍ</t>
        </is>
      </c>
      <c r="P168" s="16" t="inlineStr">
        <is>
          <t>El criterio de aceptación completo vive en Home/Perfil/avisos o en una superficie M02/M03; el productor puede probarse antes, pero no reemplaza el PASS de superficie.</t>
        </is>
      </c>
      <c r="Q168" s="14" t="inlineStr">
        <is>
          <t>Walvy_M6_Matriz_Trazabilidad_Cliente_v1.0_RESPUESTA_WALVY.xlsx · Matriz Trazabilidad · M6-V37</t>
        </is>
      </c>
      <c r="R168" s="18">
        <f>COUNTIF($B$5:$B$190,B168)</f>
        <v/>
      </c>
    </row>
    <row r="169">
      <c r="A169" s="14" t="inlineStr">
        <is>
          <t>M06</t>
        </is>
      </c>
      <c r="B169" s="14" t="inlineStr">
        <is>
          <t>M6-V38</t>
        </is>
      </c>
      <c r="C169" s="14" t="inlineStr">
        <is>
          <t>Recomendaciones</t>
        </is>
      </c>
      <c r="D169" s="14" t="inlineStr">
        <is>
          <t>Recomendación contextual segura</t>
        </is>
      </c>
      <c r="E169" s="14" t="inlineStr">
        <is>
          <t>Vencido, recurrente o dato por revisar</t>
        </is>
      </c>
      <c r="F169" s="14" t="inlineStr">
        <is>
          <t>Mensaje informativo para ordenar/revisar; sin asesoría financiera regulada, promesa, culpa o instrucción de pago.</t>
        </is>
      </c>
      <c r="G169" s="6" t="inlineStr">
        <is>
          <t>M06 produce situación; M02/motor avisos decide entrega/canal</t>
        </is>
      </c>
      <c r="H169" s="15" t="inlineStr">
        <is>
          <t>F3 · M02/M03 / superficie</t>
        </is>
      </c>
      <c r="I169" s="16" t="inlineStr">
        <is>
          <t>Parcial · productor</t>
        </is>
      </c>
      <c r="J169" s="16" t="inlineStr">
        <is>
          <t>Parcial · productor/oráculo sí; no sustituye PASS superficie</t>
        </is>
      </c>
      <c r="K169" s="16" t="inlineStr">
        <is>
          <t>Sí</t>
        </is>
      </c>
      <c r="L169" s="16" t="inlineStr">
        <is>
          <t>Sí · F3/F5</t>
        </is>
      </c>
      <c r="M169" s="16" t="inlineStr">
        <is>
          <t>Sí · F5 journey crítico</t>
        </is>
      </c>
      <c r="N169" s="17" t="inlineStr">
        <is>
          <t>F3</t>
        </is>
      </c>
      <c r="O169" s="21" t="inlineStr">
        <is>
          <t>SÍ</t>
        </is>
      </c>
      <c r="P169" s="16" t="inlineStr">
        <is>
          <t>El criterio de aceptación completo vive en Home/Perfil/avisos o en una superficie M02/M03; el productor puede probarse antes, pero no reemplaza el PASS de superficie.</t>
        </is>
      </c>
      <c r="Q169" s="14" t="inlineStr">
        <is>
          <t>Walvy_M6_Matriz_Trazabilidad_Cliente_v1.0_RESPUESTA_WALVY.xlsx · Matriz Trazabilidad · M6-V38</t>
        </is>
      </c>
      <c r="R169" s="18">
        <f>COUNTIF($B$5:$B$190,B169)</f>
        <v/>
      </c>
    </row>
    <row r="170">
      <c r="A170" s="14" t="inlineStr">
        <is>
          <t>M06</t>
        </is>
      </c>
      <c r="B170" s="14" t="inlineStr">
        <is>
          <t>M6-V39</t>
        </is>
      </c>
      <c r="C170" s="14" t="inlineStr">
        <is>
          <t>Señal Home</t>
        </is>
      </c>
      <c r="D170" s="14" t="inlineStr">
        <is>
          <t>Pago vencido urgente/crítico</t>
        </is>
      </c>
      <c r="E170" s="14" t="inlineStr">
        <is>
          <t>Pago vencido relevante con datos confiables</t>
        </is>
      </c>
      <c r="F170" s="14" t="inlineStr">
        <is>
          <t>Enviar foco o próxima acción candidata a Home; no definir prioridad visual final ni convertir Home en panel de pagos.</t>
        </is>
      </c>
      <c r="G170" s="6" t="inlineStr">
        <is>
          <t>M06 produce candidato; M03/Home decide superficie/prioridad global</t>
        </is>
      </c>
      <c r="H170" s="15" t="inlineStr">
        <is>
          <t>F3 · M02/M03 / superficie</t>
        </is>
      </c>
      <c r="I170" s="16" t="inlineStr">
        <is>
          <t>Parcial · productor</t>
        </is>
      </c>
      <c r="J170" s="16" t="inlineStr">
        <is>
          <t>Parcial · productor/oráculo sí; no sustituye PASS superficie</t>
        </is>
      </c>
      <c r="K170" s="16" t="inlineStr">
        <is>
          <t>Sí</t>
        </is>
      </c>
      <c r="L170" s="16" t="inlineStr">
        <is>
          <t>Sí · F3/F5</t>
        </is>
      </c>
      <c r="M170" s="16" t="inlineStr">
        <is>
          <t>Sí · F5 journey crítico</t>
        </is>
      </c>
      <c r="N170" s="17" t="inlineStr">
        <is>
          <t>F3</t>
        </is>
      </c>
      <c r="O170" s="21" t="inlineStr">
        <is>
          <t>SÍ</t>
        </is>
      </c>
      <c r="P170" s="16" t="inlineStr">
        <is>
          <t>El criterio de aceptación completo vive en Home/Perfil/avisos o en una superficie M02/M03; el productor puede probarse antes, pero no reemplaza el PASS de superficie.</t>
        </is>
      </c>
      <c r="Q170" s="14" t="inlineStr">
        <is>
          <t>Walvy_M6_Matriz_Trazabilidad_Cliente_v1.0_RESPUESTA_WALVY.xlsx · Matriz Trazabilidad · M6-V39</t>
        </is>
      </c>
      <c r="R170" s="18">
        <f>COUNTIF($B$5:$B$190,B170)</f>
        <v/>
      </c>
    </row>
    <row r="171">
      <c r="A171" s="14" t="inlineStr">
        <is>
          <t>M06</t>
        </is>
      </c>
      <c r="B171" s="14" t="inlineStr">
        <is>
          <t>M6-V40</t>
        </is>
      </c>
      <c r="C171" s="14" t="inlineStr">
        <is>
          <t>Señal Home</t>
        </is>
      </c>
      <c r="D171" s="14" t="inlineStr">
        <is>
          <t>Pago próximo de alto impacto</t>
        </is>
      </c>
      <c r="E171" s="14" t="inlineStr">
        <is>
          <t>Próximo urgente/crítico con datos confiables</t>
        </is>
      </c>
      <c r="F171" s="14" t="inlineStr">
        <is>
          <t>Enviar foco candidato a Home, sujeto a priorización posterior.</t>
        </is>
      </c>
      <c r="G171" s="6" t="inlineStr">
        <is>
          <t>M06 produce candidato; M03/Home decide superficie/prioridad global</t>
        </is>
      </c>
      <c r="H171" s="15" t="inlineStr">
        <is>
          <t>F3 · M02/M03 / superficie</t>
        </is>
      </c>
      <c r="I171" s="16" t="inlineStr">
        <is>
          <t>Parcial · productor</t>
        </is>
      </c>
      <c r="J171" s="16" t="inlineStr">
        <is>
          <t>Parcial · productor/oráculo sí; no sustituye PASS superficie</t>
        </is>
      </c>
      <c r="K171" s="16" t="inlineStr">
        <is>
          <t>Sí</t>
        </is>
      </c>
      <c r="L171" s="16" t="inlineStr">
        <is>
          <t>Sí · F3/F5</t>
        </is>
      </c>
      <c r="M171" s="16" t="inlineStr">
        <is>
          <t>Sí · F5 journey crítico</t>
        </is>
      </c>
      <c r="N171" s="17" t="inlineStr">
        <is>
          <t>F3</t>
        </is>
      </c>
      <c r="O171" s="21" t="inlineStr">
        <is>
          <t>SÍ</t>
        </is>
      </c>
      <c r="P171" s="16" t="inlineStr">
        <is>
          <t>El criterio de aceptación completo vive en Home/Perfil/avisos o en una superficie M02/M03; el productor puede probarse antes, pero no reemplaza el PASS de superficie.</t>
        </is>
      </c>
      <c r="Q171" s="14" t="inlineStr">
        <is>
          <t>Walvy_M6_Matriz_Trazabilidad_Cliente_v1.0_RESPUESTA_WALVY.xlsx · Matriz Trazabilidad · M6-V40</t>
        </is>
      </c>
      <c r="R171" s="18">
        <f>COUNTIF($B$5:$B$190,B171)</f>
        <v/>
      </c>
    </row>
    <row r="172">
      <c r="A172" s="14" t="inlineStr">
        <is>
          <t>M06</t>
        </is>
      </c>
      <c r="B172" s="14" t="inlineStr">
        <is>
          <t>M6-V41</t>
        </is>
      </c>
      <c r="C172" s="14" t="inlineStr">
        <is>
          <t>Señal Home</t>
        </is>
      </c>
      <c r="D172" s="14" t="inlineStr">
        <is>
          <t>Revisión relevante por baja confianza</t>
        </is>
      </c>
      <c r="E172" s="14" t="inlineStr">
        <is>
          <t>Dato de baja confianza afecta materialmente la claridad del mes</t>
        </is>
      </c>
      <c r="F172" s="14" t="inlineStr">
        <is>
          <t>Puede enviar foco de revisión evitando ruido; no presentar certeza.</t>
        </is>
      </c>
      <c r="G172" s="6" t="inlineStr">
        <is>
          <t>M06 produce candidato; M03/Home decide superficie/prioridad global</t>
        </is>
      </c>
      <c r="H172" s="15" t="inlineStr">
        <is>
          <t>F3 · M02/M03 / superficie</t>
        </is>
      </c>
      <c r="I172" s="16" t="inlineStr">
        <is>
          <t>Parcial · productor</t>
        </is>
      </c>
      <c r="J172" s="16" t="inlineStr">
        <is>
          <t>Parcial · productor/oráculo sí; no sustituye PASS superficie</t>
        </is>
      </c>
      <c r="K172" s="16" t="inlineStr">
        <is>
          <t>Sí</t>
        </is>
      </c>
      <c r="L172" s="16" t="inlineStr">
        <is>
          <t>Sí · F3/F5</t>
        </is>
      </c>
      <c r="M172" s="16" t="inlineStr">
        <is>
          <t>Sí · F5 journey crítico</t>
        </is>
      </c>
      <c r="N172" s="17" t="inlineStr">
        <is>
          <t>F3</t>
        </is>
      </c>
      <c r="O172" s="21" t="inlineStr">
        <is>
          <t>SÍ</t>
        </is>
      </c>
      <c r="P172" s="16" t="inlineStr">
        <is>
          <t>El criterio de aceptación completo vive en Home/Perfil/avisos o en una superficie M02/M03; el productor puede probarse antes, pero no reemplaza el PASS de superficie.</t>
        </is>
      </c>
      <c r="Q172" s="14" t="inlineStr">
        <is>
          <t>Walvy_M6_Matriz_Trazabilidad_Cliente_v1.0_RESPUESTA_WALVY.xlsx · Matriz Trazabilidad · M6-V41</t>
        </is>
      </c>
      <c r="R172" s="18">
        <f>COUNTIF($B$5:$B$190,B172)</f>
        <v/>
      </c>
    </row>
    <row r="173">
      <c r="A173" s="14" t="inlineStr">
        <is>
          <t>M06</t>
        </is>
      </c>
      <c r="B173" s="14" t="inlineStr">
        <is>
          <t>M6-V42</t>
        </is>
      </c>
      <c r="C173" s="14" t="inlineStr">
        <is>
          <t>Señal M5</t>
        </is>
      </c>
      <c r="D173" s="14" t="inlineStr">
        <is>
          <t>Impacto mensual/categoría</t>
        </is>
      </c>
      <c r="E173" s="14" t="inlineStr">
        <is>
          <t>Cuenta Pendiente/Próxima/Vencida tiene impacto trazable</t>
        </is>
      </c>
      <c r="F173" s="14" t="inlineStr">
        <is>
          <t>Enviar señal de impacto a Presupuesto Vivo; M6 no reasigna presupuesto ni reabre M5.</t>
        </is>
      </c>
      <c r="G173" s="6" t="inlineStr">
        <is>
          <t>M06 produce evento hacia M05; salida no bloquea QA local del productor</t>
        </is>
      </c>
      <c r="H173" s="19" t="inlineStr">
        <is>
          <t>F1 · QA funcional local</t>
        </is>
      </c>
      <c r="I173" s="16" t="inlineStr">
        <is>
          <t>Sí</t>
        </is>
      </c>
      <c r="J173" s="16" t="inlineStr">
        <is>
          <t>No requerido para PASS primario</t>
        </is>
      </c>
      <c r="K173" s="16" t="inlineStr">
        <is>
          <t>No para PASS primario</t>
        </is>
      </c>
      <c r="L173" s="16" t="inlineStr">
        <is>
          <t>Sí · F3/F4 según consumidor</t>
        </is>
      </c>
      <c r="M173" s="16" t="inlineStr">
        <is>
          <t>Sí · F5 journey crítico</t>
        </is>
      </c>
      <c r="N173" s="17" t="inlineStr">
        <is>
          <t>F4</t>
        </is>
      </c>
      <c r="O173" s="21" t="inlineStr">
        <is>
          <t>SÍ</t>
        </is>
      </c>
      <c r="P173" s="16" t="inlineStr">
        <is>
          <t>La variante PRODUCE una señal/evento downstream. Eso no es un input bloqueante: validar payload/regla en F1 y la entrega real en F4.</t>
        </is>
      </c>
      <c r="Q173" s="14" t="inlineStr">
        <is>
          <t>Walvy_M6_Matriz_Trazabilidad_Cliente_v1.0_RESPUESTA_WALVY.xlsx · Matriz Trazabilidad · M6-V42</t>
        </is>
      </c>
      <c r="R173" s="18">
        <f>COUNTIF($B$5:$B$190,B173)</f>
        <v/>
      </c>
    </row>
    <row r="174">
      <c r="A174" s="14" t="inlineStr">
        <is>
          <t>M06</t>
        </is>
      </c>
      <c r="B174" s="14" t="inlineStr">
        <is>
          <t>M6-V43</t>
        </is>
      </c>
      <c r="C174" s="14" t="inlineStr">
        <is>
          <t>Señal M5</t>
        </is>
      </c>
      <c r="D174" s="14" t="inlineStr">
        <is>
          <t>Pago realizado explica impacto</t>
        </is>
      </c>
      <c r="E174" s="14" t="inlineStr">
        <is>
          <t>Pago vinculado pasa a Pagado</t>
        </is>
      </c>
      <c r="F174" s="14" t="inlineStr">
        <is>
          <t>Enviar señal de ajuste/explicación a M5 sin reasignación automática.</t>
        </is>
      </c>
      <c r="G174" s="6" t="inlineStr">
        <is>
          <t>M06 produce evento hacia M05; salida no bloquea QA local del productor</t>
        </is>
      </c>
      <c r="H174" s="19" t="inlineStr">
        <is>
          <t>F1 · QA funcional local</t>
        </is>
      </c>
      <c r="I174" s="16" t="inlineStr">
        <is>
          <t>Sí</t>
        </is>
      </c>
      <c r="J174" s="16" t="inlineStr">
        <is>
          <t>No requerido para PASS primario</t>
        </is>
      </c>
      <c r="K174" s="16" t="inlineStr">
        <is>
          <t>No para PASS primario</t>
        </is>
      </c>
      <c r="L174" s="16" t="inlineStr">
        <is>
          <t>Sí · F3/F4 según consumidor</t>
        </is>
      </c>
      <c r="M174" s="16" t="inlineStr">
        <is>
          <t>Sí · F5 journey crítico</t>
        </is>
      </c>
      <c r="N174" s="17" t="inlineStr">
        <is>
          <t>F4</t>
        </is>
      </c>
      <c r="O174" s="21" t="inlineStr">
        <is>
          <t>SÍ</t>
        </is>
      </c>
      <c r="P174" s="16" t="inlineStr">
        <is>
          <t>La variante PRODUCE una señal/evento downstream. Eso no es un input bloqueante: validar payload/regla en F1 y la entrega real en F4.</t>
        </is>
      </c>
      <c r="Q174" s="14" t="inlineStr">
        <is>
          <t>Walvy_M6_Matriz_Trazabilidad_Cliente_v1.0_RESPUESTA_WALVY.xlsx · Matriz Trazabilidad · M6-V43</t>
        </is>
      </c>
      <c r="R174" s="18">
        <f>COUNTIF($B$5:$B$190,B174)</f>
        <v/>
      </c>
    </row>
    <row r="175">
      <c r="A175" s="14" t="inlineStr">
        <is>
          <t>M06</t>
        </is>
      </c>
      <c r="B175" s="14" t="inlineStr">
        <is>
          <t>M6-V44</t>
        </is>
      </c>
      <c r="C175" s="14" t="inlineStr">
        <is>
          <t>Señal M5</t>
        </is>
      </c>
      <c r="D175" s="14" t="inlineStr">
        <is>
          <t>Recurrencia confirmada futura</t>
        </is>
      </c>
      <c r="E175" s="14" t="inlineStr">
        <is>
          <t>Recurrencia confirmada y regla suficiente</t>
        </is>
      </c>
      <c r="F175" s="14" t="inlineStr">
        <is>
          <t>Puede alimentar previsibilidad futura a M5; requiere regla suficiente.</t>
        </is>
      </c>
      <c r="G175" s="6" t="inlineStr">
        <is>
          <t>M06 produce evento hacia M05; salida no bloquea QA local del productor</t>
        </is>
      </c>
      <c r="H175" s="19" t="inlineStr">
        <is>
          <t>F1 · QA funcional local</t>
        </is>
      </c>
      <c r="I175" s="16" t="inlineStr">
        <is>
          <t>Sí</t>
        </is>
      </c>
      <c r="J175" s="16" t="inlineStr">
        <is>
          <t>No requerido para PASS primario</t>
        </is>
      </c>
      <c r="K175" s="16" t="inlineStr">
        <is>
          <t>No para PASS primario</t>
        </is>
      </c>
      <c r="L175" s="16" t="inlineStr">
        <is>
          <t>Sí · F3/F4 según consumidor</t>
        </is>
      </c>
      <c r="M175" s="16" t="inlineStr">
        <is>
          <t>Sí · F5 journey crítico</t>
        </is>
      </c>
      <c r="N175" s="17" t="inlineStr">
        <is>
          <t>F4</t>
        </is>
      </c>
      <c r="O175" s="21" t="inlineStr">
        <is>
          <t>SÍ</t>
        </is>
      </c>
      <c r="P175" s="16" t="inlineStr">
        <is>
          <t>La variante PRODUCE una señal/evento downstream. Eso no es un input bloqueante: validar payload/regla en F1 y la entrega real en F4.</t>
        </is>
      </c>
      <c r="Q175" s="14" t="inlineStr">
        <is>
          <t>Walvy_M6_Matriz_Trazabilidad_Cliente_v1.0_RESPUESTA_WALVY.xlsx · Matriz Trazabilidad · M6-V44</t>
        </is>
      </c>
      <c r="R175" s="18">
        <f>COUNTIF($B$5:$B$190,B175)</f>
        <v/>
      </c>
    </row>
    <row r="176">
      <c r="A176" s="14" t="inlineStr">
        <is>
          <t>M06</t>
        </is>
      </c>
      <c r="B176" s="14" t="inlineStr">
        <is>
          <t>M6-V45</t>
        </is>
      </c>
      <c r="C176" s="14" t="inlineStr">
        <is>
          <t>Señal M4</t>
        </is>
      </c>
      <c r="D176" s="14" t="inlineStr">
        <is>
          <t>Pago asociado a deuda sin presión</t>
        </is>
      </c>
      <c r="E176" s="14" t="inlineStr">
        <is>
          <t>Existe deuda asociada, pero sin mora/presión/atraso material</t>
        </is>
      </c>
      <c r="F176" s="14" t="inlineStr">
        <is>
          <t>Mantener el compromiso en M6; no activar M4 ni Ruta Despeje por la sola asociación.</t>
        </is>
      </c>
      <c r="G176" s="6" t="inlineStr">
        <is>
          <t>M06 produce hechos/señal hacia M04; M04 conserva interpretación/Ruta</t>
        </is>
      </c>
      <c r="H176" s="19" t="inlineStr">
        <is>
          <t>F1 · QA funcional local</t>
        </is>
      </c>
      <c r="I176" s="16" t="inlineStr">
        <is>
          <t>Sí</t>
        </is>
      </c>
      <c r="J176" s="16" t="inlineStr">
        <is>
          <t>No requerido para PASS primario</t>
        </is>
      </c>
      <c r="K176" s="16" t="inlineStr">
        <is>
          <t>No para PASS primario</t>
        </is>
      </c>
      <c r="L176" s="16" t="inlineStr">
        <is>
          <t>Sí · F3/F4 según consumidor</t>
        </is>
      </c>
      <c r="M176" s="16" t="inlineStr">
        <is>
          <t>Sí · F5 journey crítico</t>
        </is>
      </c>
      <c r="N176" s="17" t="inlineStr">
        <is>
          <t>F4</t>
        </is>
      </c>
      <c r="O176" s="21" t="inlineStr">
        <is>
          <t>SÍ</t>
        </is>
      </c>
      <c r="P176" s="16" t="inlineStr">
        <is>
          <t>La variante PRODUCE una señal/evento downstream. Eso no es un input bloqueante: validar payload/regla en F1 y la entrega real en F4.</t>
        </is>
      </c>
      <c r="Q176" s="14" t="inlineStr">
        <is>
          <t>Walvy_M6_Matriz_Trazabilidad_Cliente_v1.0_RESPUESTA_WALVY.xlsx · Matriz Trazabilidad · M6-V45</t>
        </is>
      </c>
      <c r="R176" s="18">
        <f>COUNTIF($B$5:$B$190,B176)</f>
        <v/>
      </c>
    </row>
    <row r="177">
      <c r="A177" s="14" t="inlineStr">
        <is>
          <t>M06</t>
        </is>
      </c>
      <c r="B177" s="14" t="inlineStr">
        <is>
          <t>M6-V46</t>
        </is>
      </c>
      <c r="C177" s="14" t="inlineStr">
        <is>
          <t>Señal M4</t>
        </is>
      </c>
      <c r="D177" s="14" t="inlineStr">
        <is>
          <t>Deuda bajo presión</t>
        </is>
      </c>
      <c r="E177" s="14" t="inlineStr">
        <is>
          <t>Pago asociado a deuda presenta presión, mora, pago mínimo recurrente, pago parcial, saldo arrastrado, atraso acumulado o riesgo de incumplimiento</t>
        </is>
      </c>
      <c r="F177" s="14" t="inlineStr">
        <is>
          <t>Enviar señal controlada a evaluación M4; M4 conserva estrategia y M6 no activa Ruta Despeje automáticamente.</t>
        </is>
      </c>
      <c r="G177" s="6" t="inlineStr">
        <is>
          <t>M06 produce hechos/señal hacia M04; M04 conserva interpretación/Ruta</t>
        </is>
      </c>
      <c r="H177" s="19" t="inlineStr">
        <is>
          <t>F1 · QA funcional local</t>
        </is>
      </c>
      <c r="I177" s="16" t="inlineStr">
        <is>
          <t>Sí</t>
        </is>
      </c>
      <c r="J177" s="16" t="inlineStr">
        <is>
          <t>No requerido para PASS primario</t>
        </is>
      </c>
      <c r="K177" s="16" t="inlineStr">
        <is>
          <t>No para PASS primario</t>
        </is>
      </c>
      <c r="L177" s="16" t="inlineStr">
        <is>
          <t>Sí · F3/F4 según consumidor</t>
        </is>
      </c>
      <c r="M177" s="16" t="inlineStr">
        <is>
          <t>Sí · F5 journey crítico</t>
        </is>
      </c>
      <c r="N177" s="17" t="inlineStr">
        <is>
          <t>F4</t>
        </is>
      </c>
      <c r="O177" s="21" t="inlineStr">
        <is>
          <t>SÍ</t>
        </is>
      </c>
      <c r="P177" s="16" t="inlineStr">
        <is>
          <t>La variante PRODUCE una señal/evento downstream. Eso no es un input bloqueante: validar payload/regla en F1 y la entrega real en F4.</t>
        </is>
      </c>
      <c r="Q177" s="14" t="inlineStr">
        <is>
          <t>Walvy_M6_Matriz_Trazabilidad_Cliente_v1.0_RESPUESTA_WALVY.xlsx · Matriz Trazabilidad · M6-V46</t>
        </is>
      </c>
      <c r="R177" s="18">
        <f>COUNTIF($B$5:$B$190,B177)</f>
        <v/>
      </c>
    </row>
    <row r="178">
      <c r="A178" s="14" t="inlineStr">
        <is>
          <t>M06</t>
        </is>
      </c>
      <c r="B178" s="14" t="inlineStr">
        <is>
          <t>M6-V47</t>
        </is>
      </c>
      <c r="C178" s="14" t="inlineStr">
        <is>
          <t>Señal M4</t>
        </is>
      </c>
      <c r="D178" s="14" t="inlineStr">
        <is>
          <t>Pago mínimo / parcial / saldo arrastrado</t>
        </is>
      </c>
      <c r="E178" s="14" t="inlineStr">
        <is>
          <t>Se registra o detecta de forma recurrente o presiona el flujo</t>
        </is>
      </c>
      <c r="F178" s="14" t="inlineStr">
        <is>
          <t>Tratar como señal de alerta/deterioro y posible evaluación M4; no recomendar pago mínimo ni considerarlo sano.</t>
        </is>
      </c>
      <c r="G178" s="6" t="inlineStr">
        <is>
          <t>M06 produce hechos/señal hacia M04; M04 conserva interpretación/Ruta</t>
        </is>
      </c>
      <c r="H178" s="19" t="inlineStr">
        <is>
          <t>F1 · QA funcional local</t>
        </is>
      </c>
      <c r="I178" s="16" t="inlineStr">
        <is>
          <t>Sí</t>
        </is>
      </c>
      <c r="J178" s="16" t="inlineStr">
        <is>
          <t>No requerido para PASS primario</t>
        </is>
      </c>
      <c r="K178" s="16" t="inlineStr">
        <is>
          <t>No para PASS primario</t>
        </is>
      </c>
      <c r="L178" s="16" t="inlineStr">
        <is>
          <t>Sí · F3/F4 según consumidor</t>
        </is>
      </c>
      <c r="M178" s="16" t="inlineStr">
        <is>
          <t>Sí · F5 journey crítico</t>
        </is>
      </c>
      <c r="N178" s="17" t="inlineStr">
        <is>
          <t>F4</t>
        </is>
      </c>
      <c r="O178" s="21" t="inlineStr">
        <is>
          <t>SÍ</t>
        </is>
      </c>
      <c r="P178" s="16" t="inlineStr">
        <is>
          <t>La variante PRODUCE una señal/evento downstream. Eso no es un input bloqueante: validar payload/regla en F1 y la entrega real en F4.</t>
        </is>
      </c>
      <c r="Q178" s="14" t="inlineStr">
        <is>
          <t>Walvy_M6_Matriz_Trazabilidad_Cliente_v1.0_RESPUESTA_WALVY.xlsx · Matriz Trazabilidad · M6-V47</t>
        </is>
      </c>
      <c r="R178" s="18">
        <f>COUNTIF($B$5:$B$190,B178)</f>
        <v/>
      </c>
    </row>
    <row r="179">
      <c r="A179" s="14" t="inlineStr">
        <is>
          <t>M06</t>
        </is>
      </c>
      <c r="B179" s="14" t="inlineStr">
        <is>
          <t>M6-V48</t>
        </is>
      </c>
      <c r="C179" s="14" t="inlineStr">
        <is>
          <t>Presión de flujo</t>
        </is>
      </c>
      <c r="D179" s="14" t="inlineStr">
        <is>
          <t>Zona de atención 50%-79%</t>
        </is>
      </c>
      <c r="E179" s="14" t="inlineStr">
        <is>
          <t>Presión mensual entre 50% y 79%</t>
        </is>
      </c>
      <c r="F179" s="14" t="inlineStr">
        <is>
          <t>M6 puede mostrar señales preventivas si hay concentración, pagos próximos o pérdida de margen.</t>
        </is>
      </c>
      <c r="G179" s="6" t="inlineStr">
        <is>
          <t>Consume ratio mensual canónico M05 y contexto de deterioro M04 para lectura de presión</t>
        </is>
      </c>
      <c r="H179" s="20" t="inlineStr">
        <is>
          <t>F2 · Fixture cross-contract</t>
        </is>
      </c>
      <c r="I179" s="16" t="inlineStr">
        <is>
          <t>No como PASS completo</t>
        </is>
      </c>
      <c r="J179" s="16" t="inlineStr">
        <is>
          <t>Sí · fixture/payload canónico</t>
        </is>
      </c>
      <c r="K179" s="16" t="inlineStr">
        <is>
          <t>No para PASS primario</t>
        </is>
      </c>
      <c r="L179" s="16" t="inlineStr">
        <is>
          <t>Sí · F4</t>
        </is>
      </c>
      <c r="M179" s="16" t="inlineStr">
        <is>
          <t>Sí · F5 journey crítico</t>
        </is>
      </c>
      <c r="N179" s="17" t="inlineStr">
        <is>
          <t>F4</t>
        </is>
      </c>
      <c r="O179" s="21" t="inlineStr">
        <is>
          <t>SÍ</t>
        </is>
      </c>
      <c r="P179" s="16" t="inlineStr">
        <is>
          <t>El resultado CONSUME un contrato upstream; el contrato está cerrado y admite fixture/oráculo reproducible antes del E2E real.</t>
        </is>
      </c>
      <c r="Q179" s="14" t="inlineStr">
        <is>
          <t>Walvy_M6_Matriz_Trazabilidad_Cliente_v1.0_RESPUESTA_WALVY.xlsx · Matriz Trazabilidad · M6-V48</t>
        </is>
      </c>
      <c r="R179" s="18">
        <f>COUNTIF($B$5:$B$190,B179)</f>
        <v/>
      </c>
    </row>
    <row r="180">
      <c r="A180" s="14" t="inlineStr">
        <is>
          <t>M06</t>
        </is>
      </c>
      <c r="B180" s="14" t="inlineStr">
        <is>
          <t>M6-V49</t>
        </is>
      </c>
      <c r="C180" s="14" t="inlineStr">
        <is>
          <t>Presión de flujo</t>
        </is>
      </c>
      <c r="D180" s="14" t="inlineStr">
        <is>
          <t>Alerta preventiva &gt;=80%</t>
        </is>
      </c>
      <c r="E180" s="14" t="inlineStr">
        <is>
          <t>Presión mensual &gt;=80% sin condición suficiente de deuda bajo presión</t>
        </is>
      </c>
      <c r="F180" s="14" t="inlineStr">
        <is>
          <t>Advertir poco margen de reacción; no activar M4 automáticamente.</t>
        </is>
      </c>
      <c r="G180" s="6" t="inlineStr">
        <is>
          <t>Consume ratio mensual canónico M05 y contexto de deterioro M04 para lectura de presión</t>
        </is>
      </c>
      <c r="H180" s="20" t="inlineStr">
        <is>
          <t>F2 · Fixture cross-contract</t>
        </is>
      </c>
      <c r="I180" s="16" t="inlineStr">
        <is>
          <t>No como PASS completo</t>
        </is>
      </c>
      <c r="J180" s="16" t="inlineStr">
        <is>
          <t>Sí · fixture/payload canónico</t>
        </is>
      </c>
      <c r="K180" s="16" t="inlineStr">
        <is>
          <t>No para PASS primario</t>
        </is>
      </c>
      <c r="L180" s="16" t="inlineStr">
        <is>
          <t>Sí · F4</t>
        </is>
      </c>
      <c r="M180" s="16" t="inlineStr">
        <is>
          <t>Sí · F5 journey crítico</t>
        </is>
      </c>
      <c r="N180" s="17" t="inlineStr">
        <is>
          <t>F4</t>
        </is>
      </c>
      <c r="O180" s="21" t="inlineStr">
        <is>
          <t>SÍ</t>
        </is>
      </c>
      <c r="P180" s="16" t="inlineStr">
        <is>
          <t>El resultado CONSUME un contrato upstream; el contrato está cerrado y admite fixture/oráculo reproducible antes del E2E real.</t>
        </is>
      </c>
      <c r="Q180" s="14" t="inlineStr">
        <is>
          <t>Walvy_M6_Matriz_Trazabilidad_Cliente_v1.0_RESPUESTA_WALVY.xlsx · Matriz Trazabilidad · M6-V49</t>
        </is>
      </c>
      <c r="R180" s="18">
        <f>COUNTIF($B$5:$B$190,B180)</f>
        <v/>
      </c>
    </row>
    <row r="181">
      <c r="A181" s="14" t="inlineStr">
        <is>
          <t>M06</t>
        </is>
      </c>
      <c r="B181" s="14" t="inlineStr">
        <is>
          <t>M6-V50</t>
        </is>
      </c>
      <c r="C181" s="14" t="inlineStr">
        <is>
          <t>Presión de flujo</t>
        </is>
      </c>
      <c r="D181" s="14" t="inlineStr">
        <is>
          <t>Presión alta &gt;=90% con deuda</t>
        </is>
      </c>
      <c r="E181" s="14" t="inlineStr">
        <is>
          <t>Presión &gt;=90% y causa incluye deuda/compromiso financiero bajo presión</t>
        </is>
      </c>
      <c r="F181" s="14" t="inlineStr">
        <is>
          <t>Puede gatillar evaluación M4 de forma controlada.</t>
        </is>
      </c>
      <c r="G181" s="6" t="inlineStr">
        <is>
          <t>Consume ratio mensual canónico M05 y contexto de deterioro M04 para lectura de presión</t>
        </is>
      </c>
      <c r="H181" s="20" t="inlineStr">
        <is>
          <t>F2 · Fixture cross-contract</t>
        </is>
      </c>
      <c r="I181" s="16" t="inlineStr">
        <is>
          <t>No como PASS completo</t>
        </is>
      </c>
      <c r="J181" s="16" t="inlineStr">
        <is>
          <t>Sí · fixture/payload canónico</t>
        </is>
      </c>
      <c r="K181" s="16" t="inlineStr">
        <is>
          <t>No para PASS primario</t>
        </is>
      </c>
      <c r="L181" s="16" t="inlineStr">
        <is>
          <t>Sí · F4</t>
        </is>
      </c>
      <c r="M181" s="16" t="inlineStr">
        <is>
          <t>Sí · F5 journey crítico</t>
        </is>
      </c>
      <c r="N181" s="17" t="inlineStr">
        <is>
          <t>F4</t>
        </is>
      </c>
      <c r="O181" s="21" t="inlineStr">
        <is>
          <t>SÍ</t>
        </is>
      </c>
      <c r="P181" s="16" t="inlineStr">
        <is>
          <t>El resultado CONSUME un contrato upstream; el contrato está cerrado y admite fixture/oráculo reproducible antes del E2E real.</t>
        </is>
      </c>
      <c r="Q181" s="14" t="inlineStr">
        <is>
          <t>Walvy_M6_Matriz_Trazabilidad_Cliente_v1.0_RESPUESTA_WALVY.xlsx · Matriz Trazabilidad · M6-V50</t>
        </is>
      </c>
      <c r="R181" s="18">
        <f>COUNTIF($B$5:$B$190,B181)</f>
        <v/>
      </c>
    </row>
    <row r="182">
      <c r="A182" s="14" t="inlineStr">
        <is>
          <t>M06</t>
        </is>
      </c>
      <c r="B182" s="14" t="inlineStr">
        <is>
          <t>M6-V51</t>
        </is>
      </c>
      <c r="C182" s="14" t="inlineStr">
        <is>
          <t>Presión de flujo</t>
        </is>
      </c>
      <c r="D182" s="14" t="inlineStr">
        <is>
          <t>Flujo negativo &gt;=100% sin deuda bajo presión</t>
        </is>
      </c>
      <c r="E182" s="14" t="inlineStr">
        <is>
          <t>Mes no cierra por gasto general o compromisos cerrables sin condición de deuda bajo presión</t>
        </is>
      </c>
      <c r="F182" s="14" t="inlineStr">
        <is>
          <t>Bifurcar: M5/Home explica presupuesto; M6 revisa compromisos cerrables; M4 no se activa sin deuda bajo presión.</t>
        </is>
      </c>
      <c r="G182" s="6" t="inlineStr">
        <is>
          <t>Consume ratio mensual canónico M05 y contexto de deterioro M04 para lectura de presión</t>
        </is>
      </c>
      <c r="H182" s="20" t="inlineStr">
        <is>
          <t>F2 · Fixture cross-contract</t>
        </is>
      </c>
      <c r="I182" s="16" t="inlineStr">
        <is>
          <t>No como PASS completo</t>
        </is>
      </c>
      <c r="J182" s="16" t="inlineStr">
        <is>
          <t>Sí · fixture/payload canónico</t>
        </is>
      </c>
      <c r="K182" s="16" t="inlineStr">
        <is>
          <t>No para PASS primario</t>
        </is>
      </c>
      <c r="L182" s="16" t="inlineStr">
        <is>
          <t>Sí · F4</t>
        </is>
      </c>
      <c r="M182" s="16" t="inlineStr">
        <is>
          <t>Sí · F5 journey crítico</t>
        </is>
      </c>
      <c r="N182" s="17" t="inlineStr">
        <is>
          <t>F4</t>
        </is>
      </c>
      <c r="O182" s="21" t="inlineStr">
        <is>
          <t>SÍ</t>
        </is>
      </c>
      <c r="P182" s="16" t="inlineStr">
        <is>
          <t>El resultado CONSUME un contrato upstream; el contrato está cerrado y admite fixture/oráculo reproducible antes del E2E real.</t>
        </is>
      </c>
      <c r="Q182" s="14" t="inlineStr">
        <is>
          <t>Walvy_M6_Matriz_Trazabilidad_Cliente_v1.0_RESPUESTA_WALVY.xlsx · Matriz Trazabilidad · M6-V51</t>
        </is>
      </c>
      <c r="R182" s="18">
        <f>COUNTIF($B$5:$B$190,B182)</f>
        <v/>
      </c>
    </row>
    <row r="183">
      <c r="A183" s="14" t="inlineStr">
        <is>
          <t>M06</t>
        </is>
      </c>
      <c r="B183" s="14" t="inlineStr">
        <is>
          <t>M6-V52</t>
        </is>
      </c>
      <c r="C183" s="14" t="inlineStr">
        <is>
          <t>Presión de flujo</t>
        </is>
      </c>
      <c r="D183" s="14" t="inlineStr">
        <is>
          <t>Sobrepresión &gt;=110% o recurrente 2+ ciclos</t>
        </is>
      </c>
      <c r="E183" s="14" t="inlineStr">
        <is>
          <t>Presión extrema o estructural</t>
        </is>
      </c>
      <c r="F183" s="14" t="inlineStr">
        <is>
          <t>Elevar severidad/señal a Home/M5; evaluar M4 solo si existe deuda o compromiso financiero presionante.</t>
        </is>
      </c>
      <c r="G183" s="6" t="inlineStr">
        <is>
          <t>Consume ratio mensual canónico M05 y contexto de deterioro M04 para lectura de presión</t>
        </is>
      </c>
      <c r="H183" s="20" t="inlineStr">
        <is>
          <t>F2 · Fixture cross-contract</t>
        </is>
      </c>
      <c r="I183" s="16" t="inlineStr">
        <is>
          <t>No como PASS completo</t>
        </is>
      </c>
      <c r="J183" s="16" t="inlineStr">
        <is>
          <t>Sí · fixture/payload canónico</t>
        </is>
      </c>
      <c r="K183" s="16" t="inlineStr">
        <is>
          <t>No para PASS primario</t>
        </is>
      </c>
      <c r="L183" s="16" t="inlineStr">
        <is>
          <t>Sí · F4</t>
        </is>
      </c>
      <c r="M183" s="16" t="inlineStr">
        <is>
          <t>Sí · F5 journey crítico</t>
        </is>
      </c>
      <c r="N183" s="17" t="inlineStr">
        <is>
          <t>F4</t>
        </is>
      </c>
      <c r="O183" s="21" t="inlineStr">
        <is>
          <t>SÍ</t>
        </is>
      </c>
      <c r="P183" s="16" t="inlineStr">
        <is>
          <t>El resultado CONSUME un contrato upstream; el contrato está cerrado y admite fixture/oráculo reproducible antes del E2E real.</t>
        </is>
      </c>
      <c r="Q183" s="14" t="inlineStr">
        <is>
          <t>Walvy_M6_Matriz_Trazabilidad_Cliente_v1.0_RESPUESTA_WALVY.xlsx · Matriz Trazabilidad · M6-V52</t>
        </is>
      </c>
      <c r="R183" s="18">
        <f>COUNTIF($B$5:$B$190,B183)</f>
        <v/>
      </c>
    </row>
    <row r="184">
      <c r="A184" s="14" t="inlineStr">
        <is>
          <t>M06</t>
        </is>
      </c>
      <c r="B184" s="14" t="inlineStr">
        <is>
          <t>M6-V53</t>
        </is>
      </c>
      <c r="C184" s="14" t="inlineStr">
        <is>
          <t>Historial</t>
        </is>
      </c>
      <c r="D184" s="14" t="inlineStr">
        <is>
          <t>Ver historial de pagos y estados</t>
        </is>
      </c>
      <c r="E184" s="14" t="inlineStr">
        <is>
          <t>Usuario selecciona Ver historial</t>
        </is>
      </c>
      <c r="F184" s="14" t="inlineStr">
        <is>
          <t>Mostrar cambios y estados funcionales con trazabilidad; no cartola bancaria ni conciliación contable.</t>
        </is>
      </c>
      <c r="G184" s="6" t="inlineStr">
        <is>
          <t>M06</t>
        </is>
      </c>
      <c r="H184" s="19" t="inlineStr">
        <is>
          <t>F1 · QA funcional local</t>
        </is>
      </c>
      <c r="I184" s="16" t="inlineStr">
        <is>
          <t>Sí</t>
        </is>
      </c>
      <c r="J184" s="16" t="inlineStr">
        <is>
          <t>No requerido para PASS primario</t>
        </is>
      </c>
      <c r="K184" s="16" t="inlineStr">
        <is>
          <t>No para PASS primario</t>
        </is>
      </c>
      <c r="L184" s="16" t="inlineStr">
        <is>
          <t>No obligatorio fuera de regresión</t>
        </is>
      </c>
      <c r="M184" s="16" t="inlineStr">
        <is>
          <t>Sí · F5 smoke contractual</t>
        </is>
      </c>
      <c r="N184" s="17" t="inlineStr">
        <is>
          <t>F1</t>
        </is>
      </c>
      <c r="O184" s="6" t="inlineStr">
        <is>
          <t>NO</t>
        </is>
      </c>
      <c r="P184" s="16" t="inlineStr">
        <is>
          <t>El resultado primario se determina en M06 con sus estados/reglas; una salida downstream no se trata como dependencia de entrada.</t>
        </is>
      </c>
      <c r="Q184" s="14" t="inlineStr">
        <is>
          <t>Walvy_M6_Matriz_Trazabilidad_Cliente_v1.0_RESPUESTA_WALVY.xlsx · Matriz Trazabilidad · M6-V53</t>
        </is>
      </c>
      <c r="R184" s="18">
        <f>COUNTIF($B$5:$B$190,B184)</f>
        <v/>
      </c>
    </row>
    <row r="185">
      <c r="A185" s="14" t="inlineStr">
        <is>
          <t>M06</t>
        </is>
      </c>
      <c r="B185" s="14" t="inlineStr">
        <is>
          <t>M6-V54</t>
        </is>
      </c>
      <c r="C185" s="14" t="inlineStr">
        <is>
          <t>Calidad de dato</t>
        </is>
      </c>
      <c r="D185" s="14" t="inlineStr">
        <is>
          <t>Revisión repetida</t>
        </is>
      </c>
      <c r="E185" s="14" t="inlineStr">
        <is>
          <t>Existen datos incompletos recurrentes</t>
        </is>
      </c>
      <c r="F185" s="14" t="inlineStr">
        <is>
          <t>Puede alimentar una señal de calidad de dato a Perfil; no operar pagos desde Perfil.</t>
        </is>
      </c>
      <c r="G185" s="6" t="inlineStr">
        <is>
          <t>M06 produce calidad; M02/Perfil consume</t>
        </is>
      </c>
      <c r="H185" s="15" t="inlineStr">
        <is>
          <t>F3 · M02/M03 / superficie</t>
        </is>
      </c>
      <c r="I185" s="16" t="inlineStr">
        <is>
          <t>Parcial · productor</t>
        </is>
      </c>
      <c r="J185" s="16" t="inlineStr">
        <is>
          <t>Parcial · productor/oráculo sí; no sustituye PASS superficie</t>
        </is>
      </c>
      <c r="K185" s="16" t="inlineStr">
        <is>
          <t>Sí</t>
        </is>
      </c>
      <c r="L185" s="16" t="inlineStr">
        <is>
          <t>Sí · F3/F5</t>
        </is>
      </c>
      <c r="M185" s="16" t="inlineStr">
        <is>
          <t>Sí · F5 journey crítico</t>
        </is>
      </c>
      <c r="N185" s="17" t="inlineStr">
        <is>
          <t>F1</t>
        </is>
      </c>
      <c r="O185" s="21" t="inlineStr">
        <is>
          <t>SÍ</t>
        </is>
      </c>
      <c r="P185" s="16" t="inlineStr">
        <is>
          <t>El criterio de aceptación completo vive en Home/Perfil/avisos o en una superficie M02/M03; el productor puede probarse antes, pero no reemplaza el PASS de superficie.</t>
        </is>
      </c>
      <c r="Q185" s="14" t="inlineStr">
        <is>
          <t>Walvy_M6_Matriz_Trazabilidad_Cliente_v1.0_RESPUESTA_WALVY.xlsx · Matriz Trazabilidad · M6-V54</t>
        </is>
      </c>
      <c r="R185" s="18">
        <f>COUNTIF($B$5:$B$190,B185)</f>
        <v/>
      </c>
    </row>
    <row r="186">
      <c r="A186" s="14" t="inlineStr">
        <is>
          <t>M06</t>
        </is>
      </c>
      <c r="B186" s="14" t="inlineStr">
        <is>
          <t>M6-V55</t>
        </is>
      </c>
      <c r="C186" s="14" t="inlineStr">
        <is>
          <t>Calidad de dato</t>
        </is>
      </c>
      <c r="D186" s="14" t="inlineStr">
        <is>
          <t>Baja confianza como señal de calidad</t>
        </is>
      </c>
      <c r="E186" s="14" t="inlineStr">
        <is>
          <t>Dato detectado insuficiente o baja confianza</t>
        </is>
      </c>
      <c r="F186" s="14" t="inlineStr">
        <is>
          <t>Puede indicar baja confiabilidad; no validar automáticamente.</t>
        </is>
      </c>
      <c r="G186" s="6" t="inlineStr">
        <is>
          <t>M06 produce calidad; M02/Perfil consume</t>
        </is>
      </c>
      <c r="H186" s="15" t="inlineStr">
        <is>
          <t>F3 · M02/M03 / superficie</t>
        </is>
      </c>
      <c r="I186" s="16" t="inlineStr">
        <is>
          <t>Parcial · productor</t>
        </is>
      </c>
      <c r="J186" s="16" t="inlineStr">
        <is>
          <t>Parcial · productor/oráculo sí; no sustituye PASS superficie</t>
        </is>
      </c>
      <c r="K186" s="16" t="inlineStr">
        <is>
          <t>Sí</t>
        </is>
      </c>
      <c r="L186" s="16" t="inlineStr">
        <is>
          <t>Sí · F3/F5</t>
        </is>
      </c>
      <c r="M186" s="16" t="inlineStr">
        <is>
          <t>Sí · F5 journey crítico</t>
        </is>
      </c>
      <c r="N186" s="17" t="inlineStr">
        <is>
          <t>F1</t>
        </is>
      </c>
      <c r="O186" s="21" t="inlineStr">
        <is>
          <t>SÍ</t>
        </is>
      </c>
      <c r="P186" s="16" t="inlineStr">
        <is>
          <t>El criterio de aceptación completo vive en Home/Perfil/avisos o en una superficie M02/M03; el productor puede probarse antes, pero no reemplaza el PASS de superficie.</t>
        </is>
      </c>
      <c r="Q186" s="14" t="inlineStr">
        <is>
          <t>Walvy_M6_Matriz_Trazabilidad_Cliente_v1.0_RESPUESTA_WALVY.xlsx · Matriz Trazabilidad · M6-V55</t>
        </is>
      </c>
      <c r="R186" s="18">
        <f>COUNTIF($B$5:$B$190,B186)</f>
        <v/>
      </c>
    </row>
    <row r="187">
      <c r="A187" s="14" t="inlineStr">
        <is>
          <t>M06</t>
        </is>
      </c>
      <c r="B187" s="14" t="inlineStr">
        <is>
          <t>M6-V56</t>
        </is>
      </c>
      <c r="C187" s="14" t="inlineStr">
        <is>
          <t>Guardrail transversal</t>
        </is>
      </c>
      <c r="D187" s="14" t="inlineStr">
        <is>
          <t>Bloqueo de lenguaje transaccional</t>
        </is>
      </c>
      <c r="E187" s="14" t="inlineStr">
        <is>
          <t>Cualquier pantalla/card/modal/alerta de M6</t>
        </is>
      </c>
      <c r="F187" s="14" t="inlineStr">
        <is>
          <t>No usar Pagar ahora, Pagar desde Walvy, Transferir, pago automático ni lenguaje que sugiera movimiento de fondos.</t>
        </is>
      </c>
      <c r="G187" s="6" t="inlineStr">
        <is>
          <t>M06</t>
        </is>
      </c>
      <c r="H187" s="19" t="inlineStr">
        <is>
          <t>F1 · QA funcional local</t>
        </is>
      </c>
      <c r="I187" s="16" t="inlineStr">
        <is>
          <t>Sí</t>
        </is>
      </c>
      <c r="J187" s="16" t="inlineStr">
        <is>
          <t>No requerido para PASS primario</t>
        </is>
      </c>
      <c r="K187" s="16" t="inlineStr">
        <is>
          <t>No para PASS primario</t>
        </is>
      </c>
      <c r="L187" s="16" t="inlineStr">
        <is>
          <t>No obligatorio fuera de regresión</t>
        </is>
      </c>
      <c r="M187" s="16" t="inlineStr">
        <is>
          <t>Sí · F5 smoke contractual</t>
        </is>
      </c>
      <c r="N187" s="17" t="inlineStr">
        <is>
          <t>F1</t>
        </is>
      </c>
      <c r="O187" s="6" t="inlineStr">
        <is>
          <t>NO</t>
        </is>
      </c>
      <c r="P187" s="16" t="inlineStr">
        <is>
          <t>El resultado primario se determina en M06 con sus estados/reglas; una salida downstream no se trata como dependencia de entrada.</t>
        </is>
      </c>
      <c r="Q187" s="14" t="inlineStr">
        <is>
          <t>Walvy_M6_Matriz_Trazabilidad_Cliente_v1.0_RESPUESTA_WALVY.xlsx · Matriz Trazabilidad · M6-V56</t>
        </is>
      </c>
      <c r="R187" s="18">
        <f>COUNTIF($B$5:$B$190,B187)</f>
        <v/>
      </c>
    </row>
    <row r="188">
      <c r="A188" s="14" t="inlineStr">
        <is>
          <t>M06</t>
        </is>
      </c>
      <c r="B188" s="14" t="inlineStr">
        <is>
          <t>M6-V57</t>
        </is>
      </c>
      <c r="C188" s="14" t="inlineStr">
        <is>
          <t>Guardrail transversal</t>
        </is>
      </c>
      <c r="D188" s="14" t="inlineStr">
        <is>
          <t>Severidad crítica no visible por defecto</t>
        </is>
      </c>
      <c r="E188" s="14" t="inlineStr">
        <is>
          <t>Estado interno Crítica</t>
        </is>
      </c>
      <c r="F188" s="14" t="inlineStr">
        <is>
          <t>Comunicar revisión prioritaria sin usar 'Crítica' como etiqueta visible por defecto, con datos confiables suficientes y sin alarmismo.</t>
        </is>
      </c>
      <c r="G188" s="6" t="inlineStr">
        <is>
          <t>M06</t>
        </is>
      </c>
      <c r="H188" s="19" t="inlineStr">
        <is>
          <t>F1 · QA funcional local</t>
        </is>
      </c>
      <c r="I188" s="16" t="inlineStr">
        <is>
          <t>Sí</t>
        </is>
      </c>
      <c r="J188" s="16" t="inlineStr">
        <is>
          <t>No requerido para PASS primario</t>
        </is>
      </c>
      <c r="K188" s="16" t="inlineStr">
        <is>
          <t>No para PASS primario</t>
        </is>
      </c>
      <c r="L188" s="16" t="inlineStr">
        <is>
          <t>No obligatorio fuera de regresión</t>
        </is>
      </c>
      <c r="M188" s="16" t="inlineStr">
        <is>
          <t>Sí · F5 smoke contractual</t>
        </is>
      </c>
      <c r="N188" s="17" t="inlineStr">
        <is>
          <t>F1</t>
        </is>
      </c>
      <c r="O188" s="6" t="inlineStr">
        <is>
          <t>NO</t>
        </is>
      </c>
      <c r="P188" s="16" t="inlineStr">
        <is>
          <t>El resultado primario se determina en M06 con sus estados/reglas; una salida downstream no se trata como dependencia de entrada.</t>
        </is>
      </c>
      <c r="Q188" s="14" t="inlineStr">
        <is>
          <t>Walvy_M6_Matriz_Trazabilidad_Cliente_v1.0_RESPUESTA_WALVY.xlsx · Matriz Trazabilidad · M6-V57</t>
        </is>
      </c>
      <c r="R188" s="18">
        <f>COUNTIF($B$5:$B$190,B188)</f>
        <v/>
      </c>
    </row>
    <row r="189">
      <c r="A189" s="14" t="inlineStr">
        <is>
          <t>M06</t>
        </is>
      </c>
      <c r="B189" s="14" t="inlineStr">
        <is>
          <t>M6-V58</t>
        </is>
      </c>
      <c r="C189" s="14" t="inlineStr">
        <is>
          <t>Guardrail transversal</t>
        </is>
      </c>
      <c r="D189" s="14" t="inlineStr">
        <is>
          <t>Sin comprobante obligatorio</t>
        </is>
      </c>
      <c r="E189" s="14" t="inlineStr">
        <is>
          <t>Pago informado o detectado</t>
        </is>
      </c>
      <c r="F189" s="14" t="inlineStr">
        <is>
          <t>No abrir flujo obligatorio de comprobantes ni exigir evidencia formal; conservar origen funcional y confianza.</t>
        </is>
      </c>
      <c r="G189" s="6" t="inlineStr">
        <is>
          <t>M06</t>
        </is>
      </c>
      <c r="H189" s="19" t="inlineStr">
        <is>
          <t>F1 · QA funcional local</t>
        </is>
      </c>
      <c r="I189" s="16" t="inlineStr">
        <is>
          <t>Sí</t>
        </is>
      </c>
      <c r="J189" s="16" t="inlineStr">
        <is>
          <t>No requerido para PASS primario</t>
        </is>
      </c>
      <c r="K189" s="16" t="inlineStr">
        <is>
          <t>No para PASS primario</t>
        </is>
      </c>
      <c r="L189" s="16" t="inlineStr">
        <is>
          <t>No obligatorio fuera de regresión</t>
        </is>
      </c>
      <c r="M189" s="16" t="inlineStr">
        <is>
          <t>Sí · F5 smoke contractual</t>
        </is>
      </c>
      <c r="N189" s="17" t="inlineStr">
        <is>
          <t>F1</t>
        </is>
      </c>
      <c r="O189" s="6" t="inlineStr">
        <is>
          <t>NO</t>
        </is>
      </c>
      <c r="P189" s="16" t="inlineStr">
        <is>
          <t>El resultado primario se determina en M06 con sus estados/reglas; una salida downstream no se trata como dependencia de entrada.</t>
        </is>
      </c>
      <c r="Q189" s="14" t="inlineStr">
        <is>
          <t>Walvy_M6_Matriz_Trazabilidad_Cliente_v1.0_RESPUESTA_WALVY.xlsx · Matriz Trazabilidad · M6-V58</t>
        </is>
      </c>
      <c r="R189" s="18">
        <f>COUNTIF($B$5:$B$190,B189)</f>
        <v/>
      </c>
    </row>
    <row r="190">
      <c r="A190" s="14" t="inlineStr">
        <is>
          <t>M06</t>
        </is>
      </c>
      <c r="B190" s="14" t="inlineStr">
        <is>
          <t>M6-V59</t>
        </is>
      </c>
      <c r="C190" s="14" t="inlineStr">
        <is>
          <t>Diseño / Equivalencia</t>
        </is>
      </c>
      <c r="D190" s="14" t="inlineStr">
        <is>
          <t>Pantalla Pagos vs superficie equivalente</t>
        </is>
      </c>
      <c r="E190" s="14" t="inlineStr">
        <is>
          <t>Se debe representar M6 en UX</t>
        </is>
      </c>
      <c r="F190" s="14" t="inlineStr">
        <is>
          <t>La solución debe cubrir todas las obligaciones MVP mínimas; la pantalla propia es candidata fuerte, pero el cierre visual final requiere validación UX/QA.</t>
        </is>
      </c>
      <c r="G190" s="6" t="inlineStr">
        <is>
          <t>M06</t>
        </is>
      </c>
      <c r="H190" s="19" t="inlineStr">
        <is>
          <t>F1 · QA funcional local</t>
        </is>
      </c>
      <c r="I190" s="16" t="inlineStr">
        <is>
          <t>Sí</t>
        </is>
      </c>
      <c r="J190" s="16" t="inlineStr">
        <is>
          <t>No requerido para PASS primario</t>
        </is>
      </c>
      <c r="K190" s="16" t="inlineStr">
        <is>
          <t>No para PASS primario</t>
        </is>
      </c>
      <c r="L190" s="16" t="inlineStr">
        <is>
          <t>No obligatorio fuera de regresión</t>
        </is>
      </c>
      <c r="M190" s="16" t="inlineStr">
        <is>
          <t>Sí · F5 smoke contractual</t>
        </is>
      </c>
      <c r="N190" s="17" t="inlineStr">
        <is>
          <t>F5</t>
        </is>
      </c>
      <c r="O190" s="21" t="inlineStr">
        <is>
          <t>SÍ</t>
        </is>
      </c>
      <c r="P190" s="16" t="inlineStr">
        <is>
          <t>El resultado primario se determina en M06 con sus estados/reglas; una salida downstream no se trata como dependencia de entrada.</t>
        </is>
      </c>
      <c r="Q190" s="14" t="inlineStr">
        <is>
          <t>Walvy_M6_Matriz_Trazabilidad_Cliente_v1.0_RESPUESTA_WALVY.xlsx · Matriz Trazabilidad · M6-V59</t>
        </is>
      </c>
      <c r="R190" s="18">
        <f>COUNTIF($B$5:$B$190,B190)</f>
        <v/>
      </c>
    </row>
  </sheetData>
  <mergeCells count="2">
    <mergeCell ref="A2:R2"/>
    <mergeCell ref="A1:R1"/>
  </mergeCells>
  <pageMargins left="0.75" right="0.75" top="1" bottom="1" header="0.5" footer="0.5"/>
  <pageSetup orientation="landscape" fitToHeight="0" fitToWidth="1"/>
  <headerFooter>
    <oddHeader/>
    <oddFooter>&amp;CWalvy · QA fases PMO · v1.0&amp;RPágina &amp;P de &amp;N</oddFooter>
    <evenHeader/>
    <evenFooter/>
    <firstHeader/>
    <firstFooter/>
  </headerFooter>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fitToPage="1"/>
  </sheetPr>
  <dimension ref="A1:J27"/>
  <sheetViews>
    <sheetView showGridLines="0" workbookViewId="0">
      <pane ySplit="4" topLeftCell="A5" activePane="bottomLeft" state="frozen"/>
      <selection pane="bottomLeft" activeCell="A1" sqref="A1"/>
    </sheetView>
  </sheetViews>
  <sheetFormatPr baseColWidth="8" defaultRowHeight="15"/>
  <cols>
    <col width="9" customWidth="1" min="1" max="1"/>
    <col width="22" customWidth="1" min="2" max="2"/>
    <col width="18" customWidth="1" min="3" max="3"/>
    <col width="30" customWidth="1" min="4" max="4"/>
    <col width="24" customWidth="1" min="5" max="5"/>
    <col width="55" customWidth="1" min="6" max="6"/>
    <col width="42" customWidth="1" min="7" max="7"/>
    <col width="12" customWidth="1" min="8" max="8"/>
    <col width="36" customWidth="1" min="9" max="9"/>
    <col width="38" customWidth="1" min="10" max="10"/>
  </cols>
  <sheetData>
    <row r="1" ht="26" customHeight="1">
      <c r="A1" s="1" t="inlineStr">
        <is>
          <t>Excepciones respecto de la propuesta de Miguel</t>
        </is>
      </c>
    </row>
    <row r="2" ht="32" customHeight="1">
      <c r="A2" s="2" t="inlineStr">
        <is>
          <t>Solo diferencias materiales. Comparación contra plan_fases_qa_pmo.html; el Excel/CSV simple mencionado en el HTML no está adjunto.</t>
        </is>
      </c>
    </row>
    <row r="4" ht="34" customHeight="1">
      <c r="A4" s="7" t="inlineStr">
        <is>
          <t>Módulo</t>
        </is>
      </c>
      <c r="B4" s="7" t="inlineStr">
        <is>
          <t>ID / rango Miguel</t>
        </is>
      </c>
      <c r="C4" s="7" t="inlineStr">
        <is>
          <t>Miguel</t>
        </is>
      </c>
      <c r="D4" s="7" t="inlineStr">
        <is>
          <t>Walvy recomendado</t>
        </is>
      </c>
      <c r="E4" s="7" t="inlineStr">
        <is>
          <t>Tipo de corrección</t>
        </is>
      </c>
      <c r="F4" s="7" t="inlineStr">
        <is>
          <t>Por qué</t>
        </is>
      </c>
      <c r="G4" s="7" t="inlineStr">
        <is>
          <t>Acción para Miguel</t>
        </is>
      </c>
      <c r="H4" s="7" t="inlineStr">
        <is>
          <t>Certeza</t>
        </is>
      </c>
      <c r="I4" s="7" t="inlineStr">
        <is>
          <t>Fuente</t>
        </is>
      </c>
      <c r="J4" s="26" t="inlineStr">
        <is>
          <t>Revisión</t>
        </is>
      </c>
    </row>
    <row r="5">
      <c r="A5" s="6" t="inlineStr">
        <is>
          <t>M04</t>
        </is>
      </c>
      <c r="B5" s="6" t="inlineStr">
        <is>
          <t>Universo / IDs</t>
        </is>
      </c>
      <c r="C5" s="17" t="inlineStr">
        <is>
          <t>93 “variantes” M4-Vxx</t>
        </is>
      </c>
      <c r="D5" s="16" t="inlineStr">
        <is>
          <t>93 Trace vigentes TR-M04-044…136</t>
        </is>
      </c>
      <c r="E5" s="22" t="inlineStr">
        <is>
          <t>ID / universo</t>
        </is>
      </c>
      <c r="F5" s="16" t="inlineStr">
        <is>
          <t>El contrato final M04 ya no usa M4-V como ID rector. El lineage histórico localiza M4-V01…V86; V87/V88 aparecen solo en el HTML y V89–V93 no tienen fuente explícita localizada.</t>
        </is>
      </c>
      <c r="G5" s="16" t="inlineStr">
        <is>
          <t>Mantener plan operativo sobre TR-M04 vigente y usar el crosswalk legacy solo como referencia; no inventar V89–V93.</t>
        </is>
      </c>
      <c r="H5" s="6" t="inlineStr">
        <is>
          <t>Alta</t>
        </is>
      </c>
      <c r="I5" s="17" t="inlineStr">
        <is>
          <t>M04 final v1.3 + matriz reconciliada producto</t>
        </is>
      </c>
      <c r="J5" s="17" t="inlineStr">
        <is>
          <t>Aprobado</t>
        </is>
      </c>
    </row>
    <row r="6">
      <c r="A6" s="6" t="inlineStr">
        <is>
          <t>M04</t>
        </is>
      </c>
      <c r="B6" s="6" t="inlineStr">
        <is>
          <t>M4-V87–V88</t>
        </is>
      </c>
      <c r="C6" s="17" t="inlineStr">
        <is>
          <t>F1 y también dentro de V50–V88/F5</t>
        </is>
      </c>
      <c r="D6" s="16" t="inlineStr">
        <is>
          <t>Una sola disposición; semanticamente entrada directa/reingreso.</t>
        </is>
      </c>
      <c r="E6" s="22" t="inlineStr">
        <is>
          <t>Duplicidad</t>
        </is>
      </c>
      <c r="F6" s="16" t="inlineStr">
        <is>
          <t>El HTML los incluye en F1 y simultáneamente el rango F5 los vuelve a incluir.</t>
        </is>
      </c>
      <c r="G6" s="16" t="inlineStr">
        <is>
          <t>Eliminar la duplicidad; no contar dos veces.</t>
        </is>
      </c>
      <c r="H6" s="6" t="inlineStr">
        <is>
          <t>Alta</t>
        </is>
      </c>
      <c r="I6" s="17" t="inlineStr">
        <is>
          <t>plan_fases_qa_pmo.html</t>
        </is>
      </c>
      <c r="J6" s="17" t="inlineStr">
        <is>
          <t>Aprobado</t>
        </is>
      </c>
    </row>
    <row r="7">
      <c r="A7" s="6" t="inlineStr">
        <is>
          <t>M04</t>
        </is>
      </c>
      <c r="B7" s="6" t="inlineStr">
        <is>
          <t>M4-V89–V93</t>
        </is>
      </c>
      <c r="C7" s="17" t="inlineStr">
        <is>
          <t>No aparecen</t>
        </is>
      </c>
      <c r="D7" s="16" t="inlineStr">
        <is>
          <t>SOURCE_GAP: no asignar hasta mapear contra TR vigentes</t>
        </is>
      </c>
      <c r="E7" s="22" t="inlineStr">
        <is>
          <t>Ausencia</t>
        </is>
      </c>
      <c r="F7" s="16" t="inlineStr">
        <is>
          <t>El HTML declara M04=93, pero no dispone V89–V93. No se localizó un crosswalk autoritativo que convierta TR-M04-132…136 en esos V IDs.</t>
        </is>
      </c>
      <c r="G7" s="16" t="inlineStr">
        <is>
          <t>No fabricar IDs. Si Miguel aporta su Excel simple, reconciliar esos cinco contra TR vigentes.</t>
        </is>
      </c>
      <c r="H7" s="6" t="inlineStr">
        <is>
          <t>Alta</t>
        </is>
      </c>
      <c r="I7" s="17" t="inlineStr">
        <is>
          <t>plan_fases_qa_pmo.html + M04 final v1.3</t>
        </is>
      </c>
      <c r="J7" s="17" t="inlineStr">
        <is>
          <t>Aprobado</t>
        </is>
      </c>
    </row>
    <row r="8">
      <c r="A8" s="6" t="inlineStr">
        <is>
          <t>M04</t>
        </is>
      </c>
      <c r="B8" s="6" t="inlineStr">
        <is>
          <t>M4-V30–V49</t>
        </is>
      </c>
      <c r="C8" s="17" t="inlineStr">
        <is>
          <t>F4</t>
        </is>
      </c>
      <c r="D8" s="16" t="inlineStr">
        <is>
          <t>Separar: consumo upstream → F2 con fixture; output/local → F1; E2E → F4</t>
        </is>
      </c>
      <c r="E8" s="22" t="inlineStr">
        <is>
          <t>Partición demasiado gruesa</t>
        </is>
      </c>
      <c r="F8" s="16" t="inlineStr">
        <is>
          <t>“Cross-module” no significa que todo deba esperar integración real; solo los inputs externos bloquean el PASS sin fixture.</t>
        </is>
      </c>
      <c r="G8" s="16" t="inlineStr">
        <is>
          <t>Desagregar por dependencia real, usando matriz operativa vigente.</t>
        </is>
      </c>
      <c r="H8" s="6" t="inlineStr">
        <is>
          <t>Alta</t>
        </is>
      </c>
      <c r="I8" s="17" t="inlineStr">
        <is>
          <t>M04 final v1.3 · P4 / owner inputs</t>
        </is>
      </c>
      <c r="J8" s="17" t="inlineStr">
        <is>
          <t>Aprobado</t>
        </is>
      </c>
    </row>
    <row r="9">
      <c r="A9" s="6" t="inlineStr">
        <is>
          <t>M04</t>
        </is>
      </c>
      <c r="B9" s="6" t="inlineStr">
        <is>
          <t>M4-V50–V88</t>
        </is>
      </c>
      <c r="C9" s="17" t="inlineStr">
        <is>
          <t>F5</t>
        </is>
      </c>
      <c r="D9" s="16" t="inlineStr">
        <is>
          <t>Ruta se prueba por capas: F1 local / F2 inputs cross / F4 E2E / F5 regresión</t>
        </is>
      </c>
      <c r="E9" s="22" t="inlineStr">
        <is>
          <t>Falso bloqueo de Ruta</t>
        </is>
      </c>
      <c r="F9" s="16" t="inlineStr">
        <is>
          <t>La política prudencial y lifecycle ya están cerrados. Ruta no debe esperar completa hasta F5.</t>
        </is>
      </c>
      <c r="G9" s="16" t="inlineStr">
        <is>
          <t>Reservar F5 para journey/regresión; adelantar reglas y simulación según dependencia.</t>
        </is>
      </c>
      <c r="H9" s="6" t="inlineStr">
        <is>
          <t>Alta</t>
        </is>
      </c>
      <c r="I9" s="17" t="inlineStr">
        <is>
          <t>M04 v1.3 + M05 v1.2 prudencial</t>
        </is>
      </c>
      <c r="J9" s="17" t="inlineStr">
        <is>
          <t>Aprobado</t>
        </is>
      </c>
    </row>
    <row r="10">
      <c r="A10" s="6" t="inlineStr">
        <is>
          <t>M05</t>
        </is>
      </c>
      <c r="B10" s="6" t="inlineStr">
        <is>
          <t>M5-V11</t>
        </is>
      </c>
      <c r="C10" s="17" t="inlineStr">
        <is>
          <t>F3</t>
        </is>
      </c>
      <c r="D10" s="16" t="inlineStr">
        <is>
          <t>F1 productor + F3 Home</t>
        </is>
      </c>
      <c r="E10" s="22" t="inlineStr">
        <is>
          <t>Split producer/surface</t>
        </is>
      </c>
      <c r="F10" s="16" t="inlineStr">
        <is>
          <t>M05 puede validar la señal; M03/Home valida la superficie/prioridad.</t>
        </is>
      </c>
      <c r="G10" s="16" t="inlineStr">
        <is>
          <t>Ajustar fase/overlay; no reabrir regla Producto.</t>
        </is>
      </c>
      <c r="H10" s="6" t="inlineStr">
        <is>
          <t>Alta</t>
        </is>
      </c>
      <c r="I10" s="17" t="inlineStr">
        <is>
          <t>M05 v1.2 · M5-V11</t>
        </is>
      </c>
      <c r="J10" s="17" t="inlineStr">
        <is>
          <t>Aprobado</t>
        </is>
      </c>
    </row>
    <row r="11">
      <c r="A11" s="6" t="inlineStr">
        <is>
          <t>M05</t>
        </is>
      </c>
      <c r="B11" s="6" t="inlineStr">
        <is>
          <t>M5-V12</t>
        </is>
      </c>
      <c r="C11" s="17" t="inlineStr">
        <is>
          <t>F3</t>
        </is>
      </c>
      <c r="D11" s="16" t="inlineStr">
        <is>
          <t>F1</t>
        </is>
      </c>
      <c r="E11" s="22" t="inlineStr">
        <is>
          <t>Dependencia sobredimensionada</t>
        </is>
      </c>
      <c r="F11" s="16" t="inlineStr">
        <is>
          <t>La recomendación M05 exige evidencia/lifecycle, no un canal M02 para su lógica primaria.</t>
        </is>
      </c>
      <c r="G11" s="16" t="inlineStr">
        <is>
          <t>Ajustar fase/overlay; no reabrir regla Producto.</t>
        </is>
      </c>
      <c r="H11" s="6" t="inlineStr">
        <is>
          <t>Alta</t>
        </is>
      </c>
      <c r="I11" s="17" t="inlineStr">
        <is>
          <t>M05 v1.2 · M5-V12</t>
        </is>
      </c>
      <c r="J11" s="17" t="inlineStr">
        <is>
          <t>Aprobado</t>
        </is>
      </c>
    </row>
    <row r="12">
      <c r="A12" s="6" t="inlineStr">
        <is>
          <t>M05</t>
        </is>
      </c>
      <c r="B12" s="6" t="inlineStr">
        <is>
          <t>M5-V15</t>
        </is>
      </c>
      <c r="C12" s="17" t="inlineStr">
        <is>
          <t>F2</t>
        </is>
      </c>
      <c r="D12" s="16" t="inlineStr">
        <is>
          <t>F1</t>
        </is>
      </c>
      <c r="E12" s="22" t="inlineStr">
        <is>
          <t>Precondición local</t>
        </is>
      </c>
      <c r="F12" s="16" t="inlineStr">
        <is>
          <t>La confirmación de extracción se valida con candidato local controlado.</t>
        </is>
      </c>
      <c r="G12" s="16" t="inlineStr">
        <is>
          <t>Ajustar fase/overlay; no reabrir regla Producto.</t>
        </is>
      </c>
      <c r="H12" s="6" t="inlineStr">
        <is>
          <t>Alta</t>
        </is>
      </c>
      <c r="I12" s="17" t="inlineStr">
        <is>
          <t>M05 v1.2 · M5-V15</t>
        </is>
      </c>
      <c r="J12" s="17" t="inlineStr">
        <is>
          <t>Aprobado</t>
        </is>
      </c>
    </row>
    <row r="13">
      <c r="A13" s="6" t="inlineStr">
        <is>
          <t>M05</t>
        </is>
      </c>
      <c r="B13" s="6" t="inlineStr">
        <is>
          <t>M5-V18</t>
        </is>
      </c>
      <c r="C13" s="17" t="inlineStr">
        <is>
          <t>F2</t>
        </is>
      </c>
      <c r="D13" s="16" t="inlineStr">
        <is>
          <t>F1</t>
        </is>
      </c>
      <c r="E13" s="22" t="inlineStr">
        <is>
          <t>Precondición local</t>
        </is>
      </c>
      <c r="F13" s="16" t="inlineStr">
        <is>
          <t>Plan de recuperación usa evidencia/historial M05; no requiere otro módulo como input rector.</t>
        </is>
      </c>
      <c r="G13" s="16" t="inlineStr">
        <is>
          <t>Ajustar fase/overlay; no reabrir regla Producto.</t>
        </is>
      </c>
      <c r="H13" s="6" t="inlineStr">
        <is>
          <t>Alta</t>
        </is>
      </c>
      <c r="I13" s="17" t="inlineStr">
        <is>
          <t>M05 v1.2 · M5-V18</t>
        </is>
      </c>
      <c r="J13" s="17" t="inlineStr">
        <is>
          <t>Aprobado</t>
        </is>
      </c>
    </row>
    <row r="14">
      <c r="A14" s="6" t="inlineStr">
        <is>
          <t>M05</t>
        </is>
      </c>
      <c r="B14" s="6" t="inlineStr">
        <is>
          <t>M5-V19</t>
        </is>
      </c>
      <c r="C14" s="17" t="inlineStr">
        <is>
          <t>F4/F5</t>
        </is>
      </c>
      <c r="D14" s="16" t="inlineStr">
        <is>
          <t>F2 fixture + F4 E2E</t>
        </is>
      </c>
      <c r="E14" s="22" t="inlineStr">
        <is>
          <t>Cross-contract</t>
        </is>
      </c>
      <c r="F14" s="16" t="inlineStr">
        <is>
          <t>Consume deuda/mora/presión; puede validar decisión de derivación con fixture antes del E2E.</t>
        </is>
      </c>
      <c r="G14" s="16" t="inlineStr">
        <is>
          <t>Ajustar fase/overlay; no reabrir regla Producto.</t>
        </is>
      </c>
      <c r="H14" s="6" t="inlineStr">
        <is>
          <t>Alta</t>
        </is>
      </c>
      <c r="I14" s="17" t="inlineStr">
        <is>
          <t>M05 v1.2 · M5-V19</t>
        </is>
      </c>
      <c r="J14" s="17" t="inlineStr">
        <is>
          <t>Aprobado</t>
        </is>
      </c>
    </row>
    <row r="15">
      <c r="A15" s="6" t="inlineStr">
        <is>
          <t>M05</t>
        </is>
      </c>
      <c r="B15" s="6" t="inlineStr">
        <is>
          <t>M5-V20</t>
        </is>
      </c>
      <c r="C15" s="17" t="inlineStr">
        <is>
          <t>F2</t>
        </is>
      </c>
      <c r="D15" s="16" t="inlineStr">
        <is>
          <t>F3 · M02/M03 / superficie; fixture solo como prevalidación</t>
        </is>
      </c>
      <c r="E15" s="22" t="inlineStr">
        <is>
          <t>Dependencia M02 · wording corregido</t>
        </is>
      </c>
      <c r="F15" s="16" t="inlineStr">
        <is>
          <t>Consume catálogo/foco aprobado M02; el criterio de aceptación completo requiere M02. El fixture permite prevalidar la lógica, pero no sustituye el PASS F3.</t>
        </is>
      </c>
      <c r="G15" s="16" t="inlineStr">
        <is>
          <t>Mantener F3 como gate primario; usar fixture solo para prevalidación funcional y reservar la actualización/consumo real M02 para su gate correspondiente.</t>
        </is>
      </c>
      <c r="H15" s="6" t="inlineStr">
        <is>
          <t>Alta</t>
        </is>
      </c>
      <c r="I15" s="17" t="inlineStr">
        <is>
          <t>M05 v1.2 · M5-V20</t>
        </is>
      </c>
      <c r="J15" s="17" t="inlineStr">
        <is>
          <t>Ajustado: gate primario corregido a F3; fixture queda solo como prevalidación funcional.</t>
        </is>
      </c>
    </row>
    <row r="16">
      <c r="A16" s="6" t="inlineStr">
        <is>
          <t>M05</t>
        </is>
      </c>
      <c r="B16" s="6" t="inlineStr">
        <is>
          <t>M5-V27</t>
        </is>
      </c>
      <c r="C16" s="17" t="inlineStr">
        <is>
          <t>F2</t>
        </is>
      </c>
      <c r="D16" s="16" t="inlineStr">
        <is>
          <t>F1</t>
        </is>
      </c>
      <c r="E16" s="22" t="inlineStr">
        <is>
          <t>Precondición local</t>
        </is>
      </c>
      <c r="F16" s="16" t="inlineStr">
        <is>
          <t>Patrón multi-mes puede construirse con dataset local controlado; no es dependencia modular.</t>
        </is>
      </c>
      <c r="G16" s="16" t="inlineStr">
        <is>
          <t>Ajustar fase/overlay; no reabrir regla Producto.</t>
        </is>
      </c>
      <c r="H16" s="6" t="inlineStr">
        <is>
          <t>Alta</t>
        </is>
      </c>
      <c r="I16" s="17" t="inlineStr">
        <is>
          <t>M05 v1.2 · M5-V27</t>
        </is>
      </c>
      <c r="J16" s="17" t="inlineStr">
        <is>
          <t>Aprobado</t>
        </is>
      </c>
    </row>
    <row r="17">
      <c r="A17" s="6" t="inlineStr">
        <is>
          <t>M05</t>
        </is>
      </c>
      <c r="B17" s="6" t="inlineStr">
        <is>
          <t>M5-V30</t>
        </is>
      </c>
      <c r="C17" s="17" t="inlineStr">
        <is>
          <t>F1</t>
        </is>
      </c>
      <c r="D17" s="16" t="inlineStr">
        <is>
          <t>F2 fixture + F4 E2E</t>
        </is>
      </c>
      <c r="E17" s="22" t="inlineStr">
        <is>
          <t>Cross-contract</t>
        </is>
      </c>
      <c r="F17" s="16" t="inlineStr">
        <is>
          <t>Necesita compromiso/fecha/recurrencia asociada M06.</t>
        </is>
      </c>
      <c r="G17" s="16" t="inlineStr">
        <is>
          <t>Ajustar fase/overlay; no reabrir regla Producto.</t>
        </is>
      </c>
      <c r="H17" s="6" t="inlineStr">
        <is>
          <t>Alta</t>
        </is>
      </c>
      <c r="I17" s="17" t="inlineStr">
        <is>
          <t>M05 v1.2 · M5-V30</t>
        </is>
      </c>
      <c r="J17" s="17" t="inlineStr">
        <is>
          <t>Aprobado</t>
        </is>
      </c>
    </row>
    <row r="18">
      <c r="A18" s="6" t="inlineStr">
        <is>
          <t>M05</t>
        </is>
      </c>
      <c r="B18" s="6" t="inlineStr">
        <is>
          <t>M5-V31</t>
        </is>
      </c>
      <c r="C18" s="17" t="inlineStr">
        <is>
          <t>F1</t>
        </is>
      </c>
      <c r="D18" s="16" t="inlineStr">
        <is>
          <t>F2 fixture + F4 E2E</t>
        </is>
      </c>
      <c r="E18" s="22" t="inlineStr">
        <is>
          <t>Cross-contract</t>
        </is>
      </c>
      <c r="F18" s="16" t="inlineStr">
        <is>
          <t>Necesita mora/deuda M04.</t>
        </is>
      </c>
      <c r="G18" s="16" t="inlineStr">
        <is>
          <t>Ajustar fase/overlay; no reabrir regla Producto.</t>
        </is>
      </c>
      <c r="H18" s="6" t="inlineStr">
        <is>
          <t>Alta</t>
        </is>
      </c>
      <c r="I18" s="17" t="inlineStr">
        <is>
          <t>M05 v1.2 · M5-V31</t>
        </is>
      </c>
      <c r="J18" s="17" t="inlineStr">
        <is>
          <t>Aprobado</t>
        </is>
      </c>
    </row>
    <row r="19">
      <c r="A19" s="6" t="inlineStr">
        <is>
          <t>M05</t>
        </is>
      </c>
      <c r="B19" s="6" t="inlineStr">
        <is>
          <t>M5-V33</t>
        </is>
      </c>
      <c r="C19" s="17" t="inlineStr">
        <is>
          <t>F2</t>
        </is>
      </c>
      <c r="D19" s="16" t="inlineStr">
        <is>
          <t>F1 productor + F3 Perfil</t>
        </is>
      </c>
      <c r="E19" s="22" t="inlineStr">
        <is>
          <t>Split producer/surface</t>
        </is>
      </c>
      <c r="F19" s="16" t="inlineStr">
        <is>
          <t>M05 produce calidad/completitud; Perfil consume.</t>
        </is>
      </c>
      <c r="G19" s="16" t="inlineStr">
        <is>
          <t>Ajustar fase/overlay; no reabrir regla Producto.</t>
        </is>
      </c>
      <c r="H19" s="6" t="inlineStr">
        <is>
          <t>Alta</t>
        </is>
      </c>
      <c r="I19" s="17" t="inlineStr">
        <is>
          <t>M05 v1.2 · M5-V33</t>
        </is>
      </c>
      <c r="J19" s="17" t="inlineStr">
        <is>
          <t>Aprobado</t>
        </is>
      </c>
    </row>
    <row r="20">
      <c r="A20" s="6" t="inlineStr">
        <is>
          <t>M05</t>
        </is>
      </c>
      <c r="B20" s="6" t="inlineStr">
        <is>
          <t>M5-V34</t>
        </is>
      </c>
      <c r="C20" s="17" t="inlineStr">
        <is>
          <t>F3</t>
        </is>
      </c>
      <c r="D20" s="16" t="inlineStr">
        <is>
          <t>F1 productor + F3 canal/superficie</t>
        </is>
      </c>
      <c r="E20" s="22" t="inlineStr">
        <is>
          <t>Split producer/surface</t>
        </is>
      </c>
      <c r="F20" s="16" t="inlineStr">
        <is>
          <t>M05 puede validar candidato de alerta; M02/M03 valida entrega/superficie.</t>
        </is>
      </c>
      <c r="G20" s="16" t="inlineStr">
        <is>
          <t>Ajustar fase/overlay; no reabrir regla Producto.</t>
        </is>
      </c>
      <c r="H20" s="6" t="inlineStr">
        <is>
          <t>Alta</t>
        </is>
      </c>
      <c r="I20" s="17" t="inlineStr">
        <is>
          <t>M05 v1.2 · M5-V34</t>
        </is>
      </c>
      <c r="J20" s="17" t="inlineStr">
        <is>
          <t>Aprobado</t>
        </is>
      </c>
    </row>
    <row r="21">
      <c r="A21" s="6" t="inlineStr">
        <is>
          <t>M06</t>
        </is>
      </c>
      <c r="B21" s="6" t="inlineStr">
        <is>
          <t>M6-V13, V16</t>
        </is>
      </c>
      <c r="C21" s="17" t="inlineStr">
        <is>
          <t>F1</t>
        </is>
      </c>
      <c r="D21" s="16" t="inlineStr">
        <is>
          <t>F2 fixture + F4 E2E</t>
        </is>
      </c>
      <c r="E21" s="22" t="inlineStr">
        <is>
          <t>Cross-contract</t>
        </is>
      </c>
      <c r="F21" s="16" t="inlineStr">
        <is>
          <t>La escalada consume ratio mensual canónico M05 y/o deterioro vigente M04.</t>
        </is>
      </c>
      <c r="G21" s="16" t="inlineStr">
        <is>
          <t>Probar bandas/escalada con fixture; luego reejecutar productor real.</t>
        </is>
      </c>
      <c r="H21" s="6" t="inlineStr">
        <is>
          <t>Alta</t>
        </is>
      </c>
      <c r="I21" s="17" t="inlineStr">
        <is>
          <t>M06 v1.0 · CT-M06-10</t>
        </is>
      </c>
      <c r="J21" s="17" t="inlineStr">
        <is>
          <t>Aprobado</t>
        </is>
      </c>
    </row>
    <row r="22">
      <c r="A22" s="6" t="inlineStr">
        <is>
          <t>M06</t>
        </is>
      </c>
      <c r="B22" s="6" t="inlineStr">
        <is>
          <t>M6-V19</t>
        </is>
      </c>
      <c r="C22" s="17" t="inlineStr">
        <is>
          <t>F2</t>
        </is>
      </c>
      <c r="D22" s="16" t="inlineStr">
        <is>
          <t>F1</t>
        </is>
      </c>
      <c r="E22" s="22" t="inlineStr">
        <is>
          <t>Precondición local</t>
        </is>
      </c>
      <c r="F22" s="16" t="inlineStr">
        <is>
          <t>Pago probable por ingesta usa un candidato/lectura controlada; no exige otro módulo completo.</t>
        </is>
      </c>
      <c r="G22" s="16" t="inlineStr">
        <is>
          <t>Mover PASS funcional a F1; E2E de ingesta queda separado si aplica.</t>
        </is>
      </c>
      <c r="H22" s="6" t="inlineStr">
        <is>
          <t>Alta</t>
        </is>
      </c>
      <c r="I22" s="17" t="inlineStr">
        <is>
          <t>M06 v1.0 · M6-V19</t>
        </is>
      </c>
      <c r="J22" s="17" t="inlineStr">
        <is>
          <t>Aprobado</t>
        </is>
      </c>
    </row>
    <row r="23">
      <c r="A23" s="6" t="inlineStr">
        <is>
          <t>M06</t>
        </is>
      </c>
      <c r="B23" s="6" t="inlineStr">
        <is>
          <t>M6-V34–V41</t>
        </is>
      </c>
      <c r="C23" s="17" t="inlineStr">
        <is>
          <t>F3</t>
        </is>
      </c>
      <c r="D23" s="16" t="inlineStr">
        <is>
          <t>F1 productor + F3 M02/M03</t>
        </is>
      </c>
      <c r="E23" s="22" t="inlineStr">
        <is>
          <t>Split producer/surface</t>
        </is>
      </c>
      <c r="F23" s="16" t="inlineStr">
        <is>
          <t>M06 puede validar situación/candidato/CTA local; M02/M03 valida canal/Home/prioridad.</t>
        </is>
      </c>
      <c r="G23" s="16" t="inlineStr">
        <is>
          <t>No esperar F3 para validar el productor; conservar F3 para superficie.</t>
        </is>
      </c>
      <c r="H23" s="6" t="inlineStr">
        <is>
          <t>Alta</t>
        </is>
      </c>
      <c r="I23" s="17" t="inlineStr">
        <is>
          <t>M06 transversal INT-M06-08/09</t>
        </is>
      </c>
      <c r="J23" s="17" t="inlineStr">
        <is>
          <t>Aprobado</t>
        </is>
      </c>
    </row>
    <row r="24">
      <c r="A24" s="6" t="inlineStr">
        <is>
          <t>M06</t>
        </is>
      </c>
      <c r="B24" s="6" t="inlineStr">
        <is>
          <t>M6-V42–V47</t>
        </is>
      </c>
      <c r="C24" s="17" t="inlineStr">
        <is>
          <t>F4</t>
        </is>
      </c>
      <c r="D24" s="16" t="inlineStr">
        <is>
          <t>F1 productor + F4 E2E</t>
        </is>
      </c>
      <c r="E24" s="22" t="inlineStr">
        <is>
          <t>Output ≠ input dependency</t>
        </is>
      </c>
      <c r="F24" s="16" t="inlineStr">
        <is>
          <t>Estas variantes PRODUCEN eventos hacia M05/M04; el output puede probarse localmente.</t>
        </is>
      </c>
      <c r="G24" s="16" t="inlineStr">
        <is>
          <t>Adelantar contrato productor a F1; reservar F4 para transporte/consumo real.</t>
        </is>
      </c>
      <c r="H24" s="6" t="inlineStr">
        <is>
          <t>Alta</t>
        </is>
      </c>
      <c r="I24" s="17" t="inlineStr">
        <is>
          <t>M06 transversal INT-M06-02/03/06</t>
        </is>
      </c>
      <c r="J24" s="17" t="inlineStr">
        <is>
          <t>Aprobado</t>
        </is>
      </c>
    </row>
    <row r="25">
      <c r="A25" s="6" t="inlineStr">
        <is>
          <t>M06</t>
        </is>
      </c>
      <c r="B25" s="6" t="inlineStr">
        <is>
          <t>M6-V48–V52</t>
        </is>
      </c>
      <c r="C25" s="17" t="inlineStr">
        <is>
          <t>F4</t>
        </is>
      </c>
      <c r="D25" s="16" t="inlineStr">
        <is>
          <t>F2 fixture + F4 E2E</t>
        </is>
      </c>
      <c r="E25" s="22" t="inlineStr">
        <is>
          <t>Cross-contract</t>
        </is>
      </c>
      <c r="F25" s="16" t="inlineStr">
        <is>
          <t>La lectura de presión consume ratio mensual canónico y/o deterioro de M04.</t>
        </is>
      </c>
      <c r="G25" s="16" t="inlineStr">
        <is>
          <t>Validar con fixture canónico en F2; reejecutar E2E en F4.</t>
        </is>
      </c>
      <c r="H25" s="6" t="inlineStr">
        <is>
          <t>Alta</t>
        </is>
      </c>
      <c r="I25" s="17" t="inlineStr">
        <is>
          <t>M06 v1.0 · CT-M06-10</t>
        </is>
      </c>
      <c r="J25" s="17" t="inlineStr">
        <is>
          <t>Aprobado</t>
        </is>
      </c>
    </row>
    <row r="26">
      <c r="A26" s="6" t="inlineStr">
        <is>
          <t>M06</t>
        </is>
      </c>
      <c r="B26" s="6" t="inlineStr">
        <is>
          <t>M6-V54–V55</t>
        </is>
      </c>
      <c r="C26" s="17" t="inlineStr">
        <is>
          <t>F1</t>
        </is>
      </c>
      <c r="D26" s="16" t="inlineStr">
        <is>
          <t>F1 productor + F3 Perfil</t>
        </is>
      </c>
      <c r="E26" s="22" t="inlineStr">
        <is>
          <t>Split producer/surface</t>
        </is>
      </c>
      <c r="F26" s="16" t="inlineStr">
        <is>
          <t>M06 produce señal de calidad; Perfil M02 consume.</t>
        </is>
      </c>
      <c r="G26" s="16" t="inlineStr">
        <is>
          <t>Mantener QA del producer en F1 y agregar gate de superficie Perfil.</t>
        </is>
      </c>
      <c r="H26" s="6" t="inlineStr">
        <is>
          <t>Alta</t>
        </is>
      </c>
      <c r="I26" s="17" t="inlineStr">
        <is>
          <t>M06 transversal INT-M06-11</t>
        </is>
      </c>
      <c r="J26" s="17" t="inlineStr">
        <is>
          <t>Aprobado</t>
        </is>
      </c>
    </row>
    <row r="27">
      <c r="A27" s="6" t="inlineStr">
        <is>
          <t>M06</t>
        </is>
      </c>
      <c r="B27" s="6" t="inlineStr">
        <is>
          <t>M6-V59</t>
        </is>
      </c>
      <c r="C27" s="17" t="inlineStr">
        <is>
          <t>F5</t>
        </is>
      </c>
      <c r="D27" s="16" t="inlineStr">
        <is>
          <t>F1 funcional; cierre visual separado</t>
        </is>
      </c>
      <c r="E27" s="22" t="inlineStr">
        <is>
          <t>Pendiente mal tipificado</t>
        </is>
      </c>
      <c r="F27" s="16" t="inlineStr">
        <is>
          <t>Hub M06 está cerrado funcionalmente; quedan 15 ajustes Figma/evidencia, no una A5 Producto abierta.</t>
        </is>
      </c>
      <c r="G27" s="16" t="inlineStr">
        <is>
          <t>No usar F5 como espera de decisión Producto; tratar visual QA por su gate propio.</t>
        </is>
      </c>
      <c r="H27" s="6" t="inlineStr">
        <is>
          <t>Alta</t>
        </is>
      </c>
      <c r="I27" s="17" t="inlineStr">
        <is>
          <t>M06 v1.0 · PD-M6-02/08</t>
        </is>
      </c>
      <c r="J27" s="17" t="inlineStr">
        <is>
          <t>Aprobado</t>
        </is>
      </c>
    </row>
  </sheetData>
  <mergeCells count="2">
    <mergeCell ref="A1:I1"/>
    <mergeCell ref="A2:I2"/>
  </mergeCells>
  <pageMargins left="0.75" right="0.75" top="1" bottom="1" header="0.5" footer="0.5"/>
  <pageSetup orientation="landscape" fitToHeight="0" fitToWidth="1"/>
  <headerFooter>
    <oddHeader/>
    <oddFooter>&amp;CWalvy · QA fases PMO · v1.0&amp;RPágina &amp;P de &amp;N</oddFooter>
    <evenHeader/>
    <evenFooter/>
    <firstHeader/>
    <firstFooter/>
  </headerFooter>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fitToPage="1"/>
  </sheetPr>
  <dimension ref="A1:H97"/>
  <sheetViews>
    <sheetView showGridLines="0" workbookViewId="0">
      <pane ySplit="4" topLeftCell="A5" activePane="bottomLeft" state="frozen"/>
      <selection pane="bottomLeft" activeCell="A1" sqref="A1"/>
    </sheetView>
  </sheetViews>
  <sheetFormatPr baseColWidth="8" defaultRowHeight="15"/>
  <cols>
    <col width="17" customWidth="1" min="1" max="1"/>
    <col width="20" customWidth="1" min="2" max="2"/>
    <col width="34" customWidth="1" min="3" max="3"/>
    <col width="36" customWidth="1" min="4" max="4"/>
    <col width="45" customWidth="1" min="5" max="5"/>
    <col width="34" customWidth="1" min="6" max="6"/>
    <col width="52" customWidth="1" min="7" max="7"/>
    <col width="22" customWidth="1" min="8" max="8"/>
  </cols>
  <sheetData>
    <row r="1" ht="26" customHeight="1">
      <c r="A1" s="1" t="inlineStr">
        <is>
          <t>M04 · Crosswalk de IDs legacy usados por Miguel</t>
        </is>
      </c>
    </row>
    <row r="2" ht="32" customHeight="1">
      <c r="A2" s="2" t="inlineStr">
        <is>
          <t>Preserva M4-V01…V93 sin afirmar equivalencia inexistente con los 93 Trace IDs vigentes. V87/V88 solo aparecen en el HTML; V89–V93 quedan como source gap.</t>
        </is>
      </c>
    </row>
    <row r="4" ht="34" customHeight="1">
      <c r="A4" s="7" t="inlineStr">
        <is>
          <t>ID legacy Miguel</t>
        </is>
      </c>
      <c r="B4" s="7" t="inlineStr">
        <is>
          <t>Fase Miguel (HTML)</t>
        </is>
      </c>
      <c r="C4" s="7" t="inlineStr">
        <is>
          <t>Lineage localizado</t>
        </is>
      </c>
      <c r="D4" s="7" t="inlineStr">
        <is>
          <t>RN / reglas relacionadas</t>
        </is>
      </c>
      <c r="E4" s="7" t="inlineStr">
        <is>
          <t>Referencia cliente / P4</t>
        </is>
      </c>
      <c r="F4" s="7" t="inlineStr">
        <is>
          <t>Tratamiento histórico</t>
        </is>
      </c>
      <c r="G4" s="7" t="inlineStr">
        <is>
          <t>Posible referencia vigente</t>
        </is>
      </c>
      <c r="H4" s="7" t="inlineStr">
        <is>
          <t>Estado crosswalk</t>
        </is>
      </c>
    </row>
    <row r="5">
      <c r="A5" s="14" t="inlineStr">
        <is>
          <t>M4-V01</t>
        </is>
      </c>
      <c r="B5" s="14" t="inlineStr">
        <is>
          <t>F3</t>
        </is>
      </c>
      <c r="C5" s="14" t="inlineStr">
        <is>
          <t>Sí · matriz reconciliada histórica</t>
        </is>
      </c>
      <c r="D5" s="14" t="inlineStr">
        <is>
          <t>M4-RN-001</t>
        </is>
      </c>
      <c r="E5" s="14" t="inlineStr">
        <is>
          <t>M04-RGL-002</t>
        </is>
      </c>
      <c r="F5" s="14" t="inlineStr">
        <is>
          <t>Cubierta por contrato cliente</t>
        </is>
      </c>
      <c r="G5" s="6" t="inlineStr">
        <is>
          <t>Reconciliar semánticamente contra TR vigente; no identidad 1:1</t>
        </is>
      </c>
      <c r="H5" s="6" t="inlineStr">
        <is>
          <t>LINEAGE_LOCALIZADO</t>
        </is>
      </c>
    </row>
    <row r="6">
      <c r="A6" s="14" t="inlineStr">
        <is>
          <t>M4-V02</t>
        </is>
      </c>
      <c r="B6" s="14" t="inlineStr">
        <is>
          <t>F3</t>
        </is>
      </c>
      <c r="C6" s="14" t="inlineStr">
        <is>
          <t>Sí · matriz reconciliada histórica</t>
        </is>
      </c>
      <c r="D6" s="14" t="inlineStr">
        <is>
          <t>M4-RN-003; M4-RN-006</t>
        </is>
      </c>
      <c r="E6" s="14" t="inlineStr">
        <is>
          <t>M04-RGL-003; M04-RGL-012; P4-CNT-001; P4-CNT-018</t>
        </is>
      </c>
      <c r="F6" s="14" t="inlineStr">
        <is>
          <t>Cubierta con precisión adicional del cliente; Cubierta por contrato cliente</t>
        </is>
      </c>
      <c r="G6" s="6" t="inlineStr">
        <is>
          <t>Reconciliar semánticamente contra TR vigente; no identidad 1:1</t>
        </is>
      </c>
      <c r="H6" s="6" t="inlineStr">
        <is>
          <t>LINEAGE_LOCALIZADO</t>
        </is>
      </c>
    </row>
    <row r="7">
      <c r="A7" s="14" t="inlineStr">
        <is>
          <t>M4-V03</t>
        </is>
      </c>
      <c r="B7" s="14" t="inlineStr">
        <is>
          <t>F3</t>
        </is>
      </c>
      <c r="C7" s="14" t="inlineStr">
        <is>
          <t>Sí · matriz reconciliada histórica</t>
        </is>
      </c>
      <c r="D7" s="14" t="inlineStr">
        <is>
          <t>M4-RN-005; M4-RN-014</t>
        </is>
      </c>
      <c r="E7" s="14" t="inlineStr">
        <is>
          <t>M04-RGL-006; M04-RGL-007; P4-CNT-016; M04-RGL-007</t>
        </is>
      </c>
      <c r="F7" s="14" t="inlineStr">
        <is>
          <t>Cubierta con precisión adicional del cliente; Cubierta por contrato cliente</t>
        </is>
      </c>
      <c r="G7" s="6" t="inlineStr">
        <is>
          <t>Reconciliar semánticamente contra TR vigente; no identidad 1:1</t>
        </is>
      </c>
      <c r="H7" s="6" t="inlineStr">
        <is>
          <t>LINEAGE_LOCALIZADO</t>
        </is>
      </c>
    </row>
    <row r="8">
      <c r="A8" s="14" t="inlineStr">
        <is>
          <t>M4-V04</t>
        </is>
      </c>
      <c r="B8" s="14" t="inlineStr">
        <is>
          <t>F3</t>
        </is>
      </c>
      <c r="C8" s="14" t="inlineStr">
        <is>
          <t>Sí · matriz reconciliada histórica</t>
        </is>
      </c>
      <c r="D8" s="14" t="inlineStr">
        <is>
          <t>M4-RN-004; M4-RN-006</t>
        </is>
      </c>
      <c r="E8" s="14" t="inlineStr">
        <is>
          <t>M04-RGL-012; P4-CNT-001; P4-CNT-018; M04-RGL-014; P4-CNT-018; P4-CNT-019</t>
        </is>
      </c>
      <c r="F8" s="14" t="inlineStr">
        <is>
          <t>Cubierta con precisión adicional del cliente; Reemplazada por definición cliente</t>
        </is>
      </c>
      <c r="G8" s="6" t="inlineStr">
        <is>
          <t>Reconciliar semánticamente contra TR vigente; no identidad 1:1</t>
        </is>
      </c>
      <c r="H8" s="6" t="inlineStr">
        <is>
          <t>LINEAGE_LOCALIZADO</t>
        </is>
      </c>
    </row>
    <row r="9">
      <c r="A9" s="14" t="inlineStr">
        <is>
          <t>M4-V05</t>
        </is>
      </c>
      <c r="B9" s="14" t="inlineStr">
        <is>
          <t>F1</t>
        </is>
      </c>
      <c r="C9" s="14" t="inlineStr">
        <is>
          <t>Sí · matriz reconciliada histórica</t>
        </is>
      </c>
      <c r="D9" s="14" t="inlineStr">
        <is>
          <t>M4-RN-017; M4-RN-042</t>
        </is>
      </c>
      <c r="E9" s="14" t="inlineStr">
        <is>
          <t>01_Matriz_Trazabilidad · materialización OD/DD/RD; 06_Ajustes_Materializacion; M04-RGL-015; M04-RGL-038; P4-CNT-007; P4-CNT-016</t>
        </is>
      </c>
      <c r="F9" s="14" t="inlineStr">
        <is>
          <t>Cubierta con precisión adicional del cliente; Reemplazada por definición cliente</t>
        </is>
      </c>
      <c r="G9" s="6" t="inlineStr">
        <is>
          <t>Reconciliar semánticamente contra TR vigente; no identidad 1:1</t>
        </is>
      </c>
      <c r="H9" s="6" t="inlineStr">
        <is>
          <t>LINEAGE_LOCALIZADO</t>
        </is>
      </c>
    </row>
    <row r="10">
      <c r="A10" s="14" t="inlineStr">
        <is>
          <t>M4-V06</t>
        </is>
      </c>
      <c r="B10" s="14" t="inlineStr">
        <is>
          <t>F1</t>
        </is>
      </c>
      <c r="C10" s="14" t="inlineStr">
        <is>
          <t>Sí · matriz reconciliada histórica</t>
        </is>
      </c>
      <c r="D10" s="14" t="inlineStr">
        <is>
          <t>M4-RN-017; M4-RN-018</t>
        </is>
      </c>
      <c r="E10" s="14" t="inlineStr">
        <is>
          <t>M04-RGL-014; M04-RGL-015; P4-CNT-001; P4-CNT-018; M04-RGL-015; M04-RGL-038; P4-CNT-007; P4-CNT-016</t>
        </is>
      </c>
      <c r="F10" s="14" t="inlineStr">
        <is>
          <t>Reemplazada por definición cliente</t>
        </is>
      </c>
      <c r="G10" s="6" t="inlineStr">
        <is>
          <t>Reconciliar semánticamente contra TR vigente; no identidad 1:1</t>
        </is>
      </c>
      <c r="H10" s="6" t="inlineStr">
        <is>
          <t>LINEAGE_LOCALIZADO</t>
        </is>
      </c>
    </row>
    <row r="11">
      <c r="A11" s="14" t="inlineStr">
        <is>
          <t>M4-V07</t>
        </is>
      </c>
      <c r="B11" s="14" t="inlineStr">
        <is>
          <t>F1</t>
        </is>
      </c>
      <c r="C11" s="14" t="inlineStr">
        <is>
          <t>Sí · matriz reconciliada histórica</t>
        </is>
      </c>
      <c r="D11" s="14" t="inlineStr">
        <is>
          <t>M4-RN-001; M4-RN-004</t>
        </is>
      </c>
      <c r="E11" s="14" t="inlineStr">
        <is>
          <t>M04-RGL-002; M04-RGL-014; P4-CNT-018; P4-CNT-019</t>
        </is>
      </c>
      <c r="F11" s="14" t="inlineStr">
        <is>
          <t>Cubierta por contrato cliente; Reemplazada por definición cliente</t>
        </is>
      </c>
      <c r="G11" s="6" t="inlineStr">
        <is>
          <t>Reconciliar semánticamente contra TR vigente; no identidad 1:1</t>
        </is>
      </c>
      <c r="H11" s="6" t="inlineStr">
        <is>
          <t>LINEAGE_LOCALIZADO</t>
        </is>
      </c>
    </row>
    <row r="12">
      <c r="A12" s="14" t="inlineStr">
        <is>
          <t>M4-V08</t>
        </is>
      </c>
      <c r="B12" s="14" t="inlineStr">
        <is>
          <t>F1</t>
        </is>
      </c>
      <c r="C12" s="14" t="inlineStr">
        <is>
          <t>Sí · matriz reconciliada histórica</t>
        </is>
      </c>
      <c r="D12" s="14" t="inlineStr">
        <is>
          <t>M4-RN-002</t>
        </is>
      </c>
      <c r="E12" s="14" t="inlineStr">
        <is>
          <t>M04-RGL-002; M04-RGL-039</t>
        </is>
      </c>
      <c r="F12" s="14" t="inlineStr">
        <is>
          <t>Cubierta con precisión adicional del cliente</t>
        </is>
      </c>
      <c r="G12" s="6" t="inlineStr">
        <is>
          <t>Reconciliar semánticamente contra TR vigente; no identidad 1:1</t>
        </is>
      </c>
      <c r="H12" s="6" t="inlineStr">
        <is>
          <t>LINEAGE_LOCALIZADO</t>
        </is>
      </c>
    </row>
    <row r="13">
      <c r="A13" s="14" t="inlineStr">
        <is>
          <t>M4-V09</t>
        </is>
      </c>
      <c r="B13" s="14" t="inlineStr">
        <is>
          <t>F1</t>
        </is>
      </c>
      <c r="C13" s="14" t="inlineStr">
        <is>
          <t>Sí · matriz reconciliada histórica</t>
        </is>
      </c>
      <c r="D13" s="14" t="inlineStr">
        <is>
          <t>M4-RN-002; M4-RN-004</t>
        </is>
      </c>
      <c r="E13" s="14" t="inlineStr">
        <is>
          <t>M04-RGL-002; M04-RGL-039; M04-RGL-014; P4-CNT-018; P4-CNT-019</t>
        </is>
      </c>
      <c r="F13" s="14" t="inlineStr">
        <is>
          <t>Cubierta con precisión adicional del cliente; Reemplazada por definición cliente</t>
        </is>
      </c>
      <c r="G13" s="6" t="inlineStr">
        <is>
          <t>Reconciliar semánticamente contra TR vigente; no identidad 1:1</t>
        </is>
      </c>
      <c r="H13" s="6" t="inlineStr">
        <is>
          <t>LINEAGE_LOCALIZADO</t>
        </is>
      </c>
    </row>
    <row r="14">
      <c r="A14" s="14" t="inlineStr">
        <is>
          <t>M4-V10</t>
        </is>
      </c>
      <c r="B14" s="14" t="inlineStr">
        <is>
          <t>F1</t>
        </is>
      </c>
      <c r="C14" s="14" t="inlineStr">
        <is>
          <t>Sí · matriz reconciliada histórica</t>
        </is>
      </c>
      <c r="D14" s="14" t="inlineStr">
        <is>
          <t>M4-RN-003; M4-RN-005</t>
        </is>
      </c>
      <c r="E14" s="14" t="inlineStr">
        <is>
          <t>M04-RGL-003; M04-RGL-006; M04-RGL-007; P4-CNT-016</t>
        </is>
      </c>
      <c r="F14" s="14" t="inlineStr">
        <is>
          <t>Cubierta con precisión adicional del cliente; Cubierta por contrato cliente</t>
        </is>
      </c>
      <c r="G14" s="6" t="inlineStr">
        <is>
          <t>Reconciliar semánticamente contra TR vigente; no identidad 1:1</t>
        </is>
      </c>
      <c r="H14" s="6" t="inlineStr">
        <is>
          <t>LINEAGE_LOCALIZADO</t>
        </is>
      </c>
    </row>
    <row r="15">
      <c r="A15" s="14" t="inlineStr">
        <is>
          <t>M4-V11</t>
        </is>
      </c>
      <c r="B15" s="14" t="inlineStr">
        <is>
          <t>F1</t>
        </is>
      </c>
      <c r="C15" s="14" t="inlineStr">
        <is>
          <t>Sí · matriz reconciliada histórica</t>
        </is>
      </c>
      <c r="D15" s="14" t="inlineStr">
        <is>
          <t>M4-RN-006</t>
        </is>
      </c>
      <c r="E15" s="14" t="inlineStr">
        <is>
          <t>M04-RGL-012; P4-CNT-001; P4-CNT-018</t>
        </is>
      </c>
      <c r="F15" s="14" t="inlineStr">
        <is>
          <t>Cubierta con precisión adicional del cliente</t>
        </is>
      </c>
      <c r="G15" s="6" t="inlineStr">
        <is>
          <t>Reconciliar semánticamente contra TR vigente; no identidad 1:1</t>
        </is>
      </c>
      <c r="H15" s="6" t="inlineStr">
        <is>
          <t>LINEAGE_LOCALIZADO</t>
        </is>
      </c>
    </row>
    <row r="16">
      <c r="A16" s="14" t="inlineStr">
        <is>
          <t>M4-V12</t>
        </is>
      </c>
      <c r="B16" s="14" t="inlineStr">
        <is>
          <t>F1</t>
        </is>
      </c>
      <c r="C16" s="14" t="inlineStr">
        <is>
          <t>Sí · matriz reconciliada histórica</t>
        </is>
      </c>
      <c r="D16" s="14" t="inlineStr">
        <is>
          <t>M4-RN-012</t>
        </is>
      </c>
      <c r="E16" s="14" t="inlineStr">
        <is>
          <t>M04-RGL-006; M04-RGL-011</t>
        </is>
      </c>
      <c r="F16" s="14" t="inlineStr">
        <is>
          <t>Cubierta por contrato cliente</t>
        </is>
      </c>
      <c r="G16" s="6" t="inlineStr">
        <is>
          <t>Reconciliar semánticamente contra TR vigente; no identidad 1:1</t>
        </is>
      </c>
      <c r="H16" s="6" t="inlineStr">
        <is>
          <t>LINEAGE_LOCALIZADO</t>
        </is>
      </c>
    </row>
    <row r="17">
      <c r="A17" s="14" t="inlineStr">
        <is>
          <t>M4-V13</t>
        </is>
      </c>
      <c r="B17" s="14" t="inlineStr">
        <is>
          <t>F1</t>
        </is>
      </c>
      <c r="C17" s="14" t="inlineStr">
        <is>
          <t>Sí · matriz reconciliada histórica</t>
        </is>
      </c>
      <c r="D17" s="14" t="inlineStr">
        <is>
          <t>M4-RN-021; M4-RN-043</t>
        </is>
      </c>
      <c r="E17" s="14" t="inlineStr">
        <is>
          <t>M04-RGL-016; P4-CNT-006; P4-CNT-017; M04-RGL-042; 05_Condiciones_y_Limites</t>
        </is>
      </c>
      <c r="F17" s="14" t="inlineStr">
        <is>
          <t>Cubierta con precisión adicional del cliente; Cubierta por contrato cliente</t>
        </is>
      </c>
      <c r="G17" s="6" t="inlineStr">
        <is>
          <t>Reconciliar semánticamente contra TR vigente; no identidad 1:1</t>
        </is>
      </c>
      <c r="H17" s="6" t="inlineStr">
        <is>
          <t>LINEAGE_LOCALIZADO</t>
        </is>
      </c>
    </row>
    <row r="18">
      <c r="A18" s="14" t="inlineStr">
        <is>
          <t>M4-V14</t>
        </is>
      </c>
      <c r="B18" s="14" t="inlineStr">
        <is>
          <t>F1</t>
        </is>
      </c>
      <c r="C18" s="14" t="inlineStr">
        <is>
          <t>Sí · matriz reconciliada histórica</t>
        </is>
      </c>
      <c r="D18" s="14" t="inlineStr">
        <is>
          <t>M4-RN-004; M4-RN-021</t>
        </is>
      </c>
      <c r="E18" s="14" t="inlineStr">
        <is>
          <t>M04-RGL-014; P4-CNT-018; P4-CNT-019; M04-RGL-016; P4-CNT-006; P4-CNT-017</t>
        </is>
      </c>
      <c r="F18" s="14" t="inlineStr">
        <is>
          <t>Cubierta con precisión adicional del cliente; Reemplazada por definición cliente</t>
        </is>
      </c>
      <c r="G18" s="6" t="inlineStr">
        <is>
          <t>Reconciliar semánticamente contra TR vigente; no identidad 1:1</t>
        </is>
      </c>
      <c r="H18" s="6" t="inlineStr">
        <is>
          <t>LINEAGE_LOCALIZADO</t>
        </is>
      </c>
    </row>
    <row r="19">
      <c r="A19" s="14" t="inlineStr">
        <is>
          <t>M4-V15</t>
        </is>
      </c>
      <c r="B19" s="14" t="inlineStr">
        <is>
          <t>F1</t>
        </is>
      </c>
      <c r="C19" s="14" t="inlineStr">
        <is>
          <t>Sí · matriz reconciliada histórica</t>
        </is>
      </c>
      <c r="D19" s="14" t="inlineStr">
        <is>
          <t>M4-RN-007; M4-RN-010</t>
        </is>
      </c>
      <c r="E19" s="14" t="inlineStr">
        <is>
          <t>M04-RGL-003; M04-RGL-005; 01_Matriz_Trazabilidad OD-01/OD-02; M04-RGL-005</t>
        </is>
      </c>
      <c r="F19" s="14" t="inlineStr">
        <is>
          <t>Cubierta con precisión adicional del cliente; Cubierta por contrato cliente</t>
        </is>
      </c>
      <c r="G19" s="6" t="inlineStr">
        <is>
          <t>Reconciliar semánticamente contra TR vigente; no identidad 1:1</t>
        </is>
      </c>
      <c r="H19" s="6" t="inlineStr">
        <is>
          <t>LINEAGE_LOCALIZADO</t>
        </is>
      </c>
    </row>
    <row r="20">
      <c r="A20" s="14" t="inlineStr">
        <is>
          <t>M4-V16</t>
        </is>
      </c>
      <c r="B20" s="14" t="inlineStr">
        <is>
          <t>F1</t>
        </is>
      </c>
      <c r="C20" s="14" t="inlineStr">
        <is>
          <t>Sí · matriz reconciliada histórica</t>
        </is>
      </c>
      <c r="D20" s="14" t="inlineStr">
        <is>
          <t>M4-RN-010; M4-RN-011</t>
        </is>
      </c>
      <c r="E20" s="14" t="inlineStr">
        <is>
          <t>M04-RGL-003; M04-RGL-005; 01_Matriz_Trazabilidad OD-01/OD-02; M04-RGL-005</t>
        </is>
      </c>
      <c r="F20" s="14" t="inlineStr">
        <is>
          <t>Cubierta con precisión adicional del cliente; Cubierta por contrato cliente</t>
        </is>
      </c>
      <c r="G20" s="6" t="inlineStr">
        <is>
          <t>Reconciliar semánticamente contra TR vigente; no identidad 1:1</t>
        </is>
      </c>
      <c r="H20" s="6" t="inlineStr">
        <is>
          <t>LINEAGE_LOCALIZADO</t>
        </is>
      </c>
    </row>
    <row r="21">
      <c r="A21" s="14" t="inlineStr">
        <is>
          <t>M4-V17</t>
        </is>
      </c>
      <c r="B21" s="14" t="inlineStr">
        <is>
          <t>F1</t>
        </is>
      </c>
      <c r="C21" s="14" t="inlineStr">
        <is>
          <t>Sí · matriz reconciliada histórica</t>
        </is>
      </c>
      <c r="D21" s="14" t="inlineStr">
        <is>
          <t>M4-RN-005; M4-RN-012</t>
        </is>
      </c>
      <c r="E21" s="14" t="inlineStr">
        <is>
          <t>M04-RGL-006; M04-RGL-007; P4-CNT-016; M04-RGL-006; M04-RGL-011</t>
        </is>
      </c>
      <c r="F21" s="14" t="inlineStr">
        <is>
          <t>Cubierta con precisión adicional del cliente; Cubierta por contrato cliente</t>
        </is>
      </c>
      <c r="G21" s="6" t="inlineStr">
        <is>
          <t>Reconciliar semánticamente contra TR vigente; no identidad 1:1</t>
        </is>
      </c>
      <c r="H21" s="6" t="inlineStr">
        <is>
          <t>LINEAGE_LOCALIZADO</t>
        </is>
      </c>
    </row>
    <row r="22">
      <c r="A22" s="14" t="inlineStr">
        <is>
          <t>M4-V18</t>
        </is>
      </c>
      <c r="B22" s="14" t="inlineStr">
        <is>
          <t>F1</t>
        </is>
      </c>
      <c r="C22" s="14" t="inlineStr">
        <is>
          <t>Sí · matriz reconciliada histórica</t>
        </is>
      </c>
      <c r="D22" s="14" t="inlineStr">
        <is>
          <t>M4-RN-005; M4-RN-014</t>
        </is>
      </c>
      <c r="E22" s="14" t="inlineStr">
        <is>
          <t>M04-RGL-006; M04-RGL-007; P4-CNT-016; M04-RGL-007</t>
        </is>
      </c>
      <c r="F22" s="14" t="inlineStr">
        <is>
          <t>Cubierta con precisión adicional del cliente; Cubierta por contrato cliente</t>
        </is>
      </c>
      <c r="G22" s="6" t="inlineStr">
        <is>
          <t>Reconciliar semánticamente contra TR vigente; no identidad 1:1</t>
        </is>
      </c>
      <c r="H22" s="6" t="inlineStr">
        <is>
          <t>LINEAGE_LOCALIZADO</t>
        </is>
      </c>
    </row>
    <row r="23">
      <c r="A23" s="14" t="inlineStr">
        <is>
          <t>M4-V19</t>
        </is>
      </c>
      <c r="B23" s="14" t="inlineStr">
        <is>
          <t>F1</t>
        </is>
      </c>
      <c r="C23" s="14" t="inlineStr">
        <is>
          <t>Sí · matriz reconciliada histórica</t>
        </is>
      </c>
      <c r="D23" s="14" t="inlineStr">
        <is>
          <t>M4-RN-008</t>
        </is>
      </c>
      <c r="E23" s="14" t="inlineStr">
        <is>
          <t>M04-RGL-009</t>
        </is>
      </c>
      <c r="F23" s="14" t="inlineStr">
        <is>
          <t>Cubierta por contrato cliente</t>
        </is>
      </c>
      <c r="G23" s="6" t="inlineStr">
        <is>
          <t>Reconciliar semánticamente contra TR vigente; no identidad 1:1</t>
        </is>
      </c>
      <c r="H23" s="6" t="inlineStr">
        <is>
          <t>LINEAGE_LOCALIZADO</t>
        </is>
      </c>
    </row>
    <row r="24">
      <c r="A24" s="14" t="inlineStr">
        <is>
          <t>M4-V20</t>
        </is>
      </c>
      <c r="B24" s="14" t="inlineStr">
        <is>
          <t>F1</t>
        </is>
      </c>
      <c r="C24" s="14" t="inlineStr">
        <is>
          <t>Sí · matriz reconciliada histórica</t>
        </is>
      </c>
      <c r="D24" s="14" t="inlineStr">
        <is>
          <t>M4-RN-008</t>
        </is>
      </c>
      <c r="E24" s="14" t="inlineStr">
        <is>
          <t>M04-RGL-009</t>
        </is>
      </c>
      <c r="F24" s="14" t="inlineStr">
        <is>
          <t>Cubierta por contrato cliente</t>
        </is>
      </c>
      <c r="G24" s="6" t="inlineStr">
        <is>
          <t>Reconciliar semánticamente contra TR vigente; no identidad 1:1</t>
        </is>
      </c>
      <c r="H24" s="6" t="inlineStr">
        <is>
          <t>LINEAGE_LOCALIZADO</t>
        </is>
      </c>
    </row>
    <row r="25">
      <c r="A25" s="14" t="inlineStr">
        <is>
          <t>M4-V21</t>
        </is>
      </c>
      <c r="B25" s="14" t="inlineStr">
        <is>
          <t>F1</t>
        </is>
      </c>
      <c r="C25" s="14" t="inlineStr">
        <is>
          <t>Sí · matriz reconciliada histórica</t>
        </is>
      </c>
      <c r="D25" s="14" t="inlineStr">
        <is>
          <t>M4-RN-009</t>
        </is>
      </c>
      <c r="E25" s="14" t="inlineStr">
        <is>
          <t>M04-RGL-009</t>
        </is>
      </c>
      <c r="F25" s="14" t="inlineStr">
        <is>
          <t>Cubierta por contrato cliente</t>
        </is>
      </c>
      <c r="G25" s="6" t="inlineStr">
        <is>
          <t>Reconciliar semánticamente contra TR vigente; no identidad 1:1</t>
        </is>
      </c>
      <c r="H25" s="6" t="inlineStr">
        <is>
          <t>LINEAGE_LOCALIZADO</t>
        </is>
      </c>
    </row>
    <row r="26">
      <c r="A26" s="14" t="inlineStr">
        <is>
          <t>M4-V22</t>
        </is>
      </c>
      <c r="B26" s="14" t="inlineStr">
        <is>
          <t>F1</t>
        </is>
      </c>
      <c r="C26" s="14" t="inlineStr">
        <is>
          <t>Sí · matriz reconciliada histórica</t>
        </is>
      </c>
      <c r="D26" s="14" t="inlineStr">
        <is>
          <t>M4-RN-009</t>
        </is>
      </c>
      <c r="E26" s="14" t="inlineStr">
        <is>
          <t>M04-RGL-009</t>
        </is>
      </c>
      <c r="F26" s="14" t="inlineStr">
        <is>
          <t>Cubierta por contrato cliente</t>
        </is>
      </c>
      <c r="G26" s="6" t="inlineStr">
        <is>
          <t>Reconciliar semánticamente contra TR vigente; no identidad 1:1</t>
        </is>
      </c>
      <c r="H26" s="6" t="inlineStr">
        <is>
          <t>LINEAGE_LOCALIZADO</t>
        </is>
      </c>
    </row>
    <row r="27">
      <c r="A27" s="14" t="inlineStr">
        <is>
          <t>M4-V23</t>
        </is>
      </c>
      <c r="B27" s="14" t="inlineStr">
        <is>
          <t>F1</t>
        </is>
      </c>
      <c r="C27" s="14" t="inlineStr">
        <is>
          <t>Sí · matriz reconciliada histórica</t>
        </is>
      </c>
      <c r="D27" s="14" t="inlineStr">
        <is>
          <t>M4-RN-006; M4-RN-043</t>
        </is>
      </c>
      <c r="E27" s="14" t="inlineStr">
        <is>
          <t>M04-RGL-012; P4-CNT-001; P4-CNT-018; M04-RGL-042; 05_Condiciones_y_Limites</t>
        </is>
      </c>
      <c r="F27" s="14" t="inlineStr">
        <is>
          <t>Cubierta con precisión adicional del cliente; Cubierta por contrato cliente</t>
        </is>
      </c>
      <c r="G27" s="6" t="inlineStr">
        <is>
          <t>Reconciliar semánticamente contra TR vigente; no identidad 1:1</t>
        </is>
      </c>
      <c r="H27" s="6" t="inlineStr">
        <is>
          <t>LINEAGE_LOCALIZADO</t>
        </is>
      </c>
    </row>
    <row r="28">
      <c r="A28" s="14" t="inlineStr">
        <is>
          <t>M4-V24</t>
        </is>
      </c>
      <c r="B28" s="14" t="inlineStr">
        <is>
          <t>F1</t>
        </is>
      </c>
      <c r="C28" s="14" t="inlineStr">
        <is>
          <t>Sí · matriz reconciliada histórica</t>
        </is>
      </c>
      <c r="D28" s="14" t="inlineStr">
        <is>
          <t>M4-RN-006; M4-RN-007</t>
        </is>
      </c>
      <c r="E28" s="14" t="inlineStr">
        <is>
          <t>M04-RGL-005; M04-RGL-012; P4-CNT-001; P4-CNT-018</t>
        </is>
      </c>
      <c r="F28" s="14" t="inlineStr">
        <is>
          <t>Cubierta con precisión adicional del cliente; Cubierta por contrato cliente</t>
        </is>
      </c>
      <c r="G28" s="6" t="inlineStr">
        <is>
          <t>Reconciliar semánticamente contra TR vigente; no identidad 1:1</t>
        </is>
      </c>
      <c r="H28" s="6" t="inlineStr">
        <is>
          <t>LINEAGE_LOCALIZADO</t>
        </is>
      </c>
    </row>
    <row r="29">
      <c r="A29" s="14" t="inlineStr">
        <is>
          <t>M4-V25</t>
        </is>
      </c>
      <c r="B29" s="14" t="inlineStr">
        <is>
          <t>F1</t>
        </is>
      </c>
      <c r="C29" s="14" t="inlineStr">
        <is>
          <t>Sí · matriz reconciliada histórica</t>
        </is>
      </c>
      <c r="D29" s="14" t="inlineStr">
        <is>
          <t>M4-RN-006; M4-RN-033</t>
        </is>
      </c>
      <c r="E29" s="14" t="inlineStr">
        <is>
          <t>M04-RGL-006; M04-RGL-030; M04-RGL-033; P4-CNT-018; P4-CNT-019; P4-CNT-020; M04-RGL-012; P4-CNT-001; P4-CNT-018</t>
        </is>
      </c>
      <c r="F29" s="14" t="inlineStr">
        <is>
          <t>Cubierta con precisión adicional del cliente; Reemplazada por definición cliente</t>
        </is>
      </c>
      <c r="G29" s="6" t="inlineStr">
        <is>
          <t>Reconciliar semánticamente contra TR vigente; no identidad 1:1</t>
        </is>
      </c>
      <c r="H29" s="6" t="inlineStr">
        <is>
          <t>LINEAGE_LOCALIZADO</t>
        </is>
      </c>
    </row>
    <row r="30">
      <c r="A30" s="14" t="inlineStr">
        <is>
          <t>M4-V26</t>
        </is>
      </c>
      <c r="B30" s="14" t="inlineStr">
        <is>
          <t>F1</t>
        </is>
      </c>
      <c r="C30" s="14" t="inlineStr">
        <is>
          <t>Sí · matriz reconciliada histórica</t>
        </is>
      </c>
      <c r="D30" s="14" t="inlineStr">
        <is>
          <t>M4-RN-006; M4-RN-017</t>
        </is>
      </c>
      <c r="E30" s="14" t="inlineStr">
        <is>
          <t>M04-RGL-012; P4-CNT-001; P4-CNT-018; M04-RGL-015; M04-RGL-038; P4-CNT-007; P4-CNT-016</t>
        </is>
      </c>
      <c r="F30" s="14" t="inlineStr">
        <is>
          <t>Cubierta con precisión adicional del cliente; Reemplazada por definición cliente</t>
        </is>
      </c>
      <c r="G30" s="6" t="inlineStr">
        <is>
          <t>Reconciliar semánticamente contra TR vigente; no identidad 1:1</t>
        </is>
      </c>
      <c r="H30" s="6" t="inlineStr">
        <is>
          <t>LINEAGE_LOCALIZADO</t>
        </is>
      </c>
    </row>
    <row r="31">
      <c r="A31" s="14" t="inlineStr">
        <is>
          <t>M4-V27</t>
        </is>
      </c>
      <c r="B31" s="14" t="inlineStr">
        <is>
          <t>F1</t>
        </is>
      </c>
      <c r="C31" s="14" t="inlineStr">
        <is>
          <t>Sí · matriz reconciliada histórica</t>
        </is>
      </c>
      <c r="D31" s="14" t="inlineStr">
        <is>
          <t>M4-RN-015; M4-RN-016; M4-RN-039</t>
        </is>
      </c>
      <c r="E31" s="14" t="inlineStr">
        <is>
          <t>M04-RGL-013; P4-CNT-001; M04-RGL-013; P4-CNT-001; P4-CNT-024; M04-RGL-013; P4-CNT-001; P4-CNT-025</t>
        </is>
      </c>
      <c r="F31" s="14" t="inlineStr">
        <is>
          <t>Cubierta con precisión adicional del cliente; Cubierta por contrato cliente</t>
        </is>
      </c>
      <c r="G31" s="6" t="inlineStr">
        <is>
          <t>Reconciliar semánticamente contra TR vigente; no identidad 1:1</t>
        </is>
      </c>
      <c r="H31" s="6" t="inlineStr">
        <is>
          <t>LINEAGE_LOCALIZADO</t>
        </is>
      </c>
    </row>
    <row r="32">
      <c r="A32" s="14" t="inlineStr">
        <is>
          <t>M4-V28</t>
        </is>
      </c>
      <c r="B32" s="14" t="inlineStr">
        <is>
          <t>F1</t>
        </is>
      </c>
      <c r="C32" s="14" t="inlineStr">
        <is>
          <t>Sí · matriz reconciliada histórica</t>
        </is>
      </c>
      <c r="D32" s="14" t="inlineStr">
        <is>
          <t>M4-RN-006; M4-RN-011</t>
        </is>
      </c>
      <c r="E32" s="14" t="inlineStr">
        <is>
          <t>M04-RGL-005; M04-RGL-012; P4-CNT-001; P4-CNT-018</t>
        </is>
      </c>
      <c r="F32" s="14" t="inlineStr">
        <is>
          <t>Cubierta con precisión adicional del cliente; Cubierta por contrato cliente</t>
        </is>
      </c>
      <c r="G32" s="6" t="inlineStr">
        <is>
          <t>Reconciliar semánticamente contra TR vigente; no identidad 1:1</t>
        </is>
      </c>
      <c r="H32" s="6" t="inlineStr">
        <is>
          <t>LINEAGE_LOCALIZADO</t>
        </is>
      </c>
    </row>
    <row r="33">
      <c r="A33" s="14" t="inlineStr">
        <is>
          <t>M4-V29</t>
        </is>
      </c>
      <c r="B33" s="14" t="inlineStr">
        <is>
          <t>F1</t>
        </is>
      </c>
      <c r="C33" s="14" t="inlineStr">
        <is>
          <t>Sí · matriz reconciliada histórica</t>
        </is>
      </c>
      <c r="D33" s="14" t="inlineStr">
        <is>
          <t>M4-RN-013</t>
        </is>
      </c>
      <c r="E33" s="14" t="inlineStr">
        <is>
          <t>M04-RGL-008; P4-CNT-024</t>
        </is>
      </c>
      <c r="F33" s="14" t="inlineStr">
        <is>
          <t>Cubierta con precisión adicional del cliente</t>
        </is>
      </c>
      <c r="G33" s="6" t="inlineStr">
        <is>
          <t>Reconciliar semánticamente contra TR vigente; no identidad 1:1</t>
        </is>
      </c>
      <c r="H33" s="6" t="inlineStr">
        <is>
          <t>LINEAGE_LOCALIZADO</t>
        </is>
      </c>
    </row>
    <row r="34">
      <c r="A34" s="14" t="inlineStr">
        <is>
          <t>M4-V30</t>
        </is>
      </c>
      <c r="B34" s="14" t="inlineStr">
        <is>
          <t>F4</t>
        </is>
      </c>
      <c r="C34" s="14" t="inlineStr">
        <is>
          <t>Sí · matriz reconciliada histórica</t>
        </is>
      </c>
      <c r="D34" s="14" t="inlineStr">
        <is>
          <t>M4-RN-012</t>
        </is>
      </c>
      <c r="E34" s="14" t="inlineStr">
        <is>
          <t>M04-RGL-006; M04-RGL-011</t>
        </is>
      </c>
      <c r="F34" s="14" t="inlineStr">
        <is>
          <t>Cubierta por contrato cliente</t>
        </is>
      </c>
      <c r="G34" s="6" t="inlineStr">
        <is>
          <t>Reconciliar semánticamente contra TR vigente; no identidad 1:1</t>
        </is>
      </c>
      <c r="H34" s="6" t="inlineStr">
        <is>
          <t>LINEAGE_LOCALIZADO</t>
        </is>
      </c>
    </row>
    <row r="35">
      <c r="A35" s="14" t="inlineStr">
        <is>
          <t>M4-V31</t>
        </is>
      </c>
      <c r="B35" s="14" t="inlineStr">
        <is>
          <t>F4</t>
        </is>
      </c>
      <c r="C35" s="14" t="inlineStr">
        <is>
          <t>Sí · matriz reconciliada histórica</t>
        </is>
      </c>
      <c r="D35" s="14" t="inlineStr">
        <is>
          <t>M4-RN-014</t>
        </is>
      </c>
      <c r="E35" s="14" t="inlineStr">
        <is>
          <t>M04-RGL-007</t>
        </is>
      </c>
      <c r="F35" s="14" t="inlineStr">
        <is>
          <t>Cubierta por contrato cliente</t>
        </is>
      </c>
      <c r="G35" s="6" t="inlineStr">
        <is>
          <t>Reconciliar semánticamente contra TR vigente; no identidad 1:1</t>
        </is>
      </c>
      <c r="H35" s="6" t="inlineStr">
        <is>
          <t>LINEAGE_LOCALIZADO</t>
        </is>
      </c>
    </row>
    <row r="36">
      <c r="A36" s="14" t="inlineStr">
        <is>
          <t>M4-V32</t>
        </is>
      </c>
      <c r="B36" s="14" t="inlineStr">
        <is>
          <t>F4</t>
        </is>
      </c>
      <c r="C36" s="14" t="inlineStr">
        <is>
          <t>Sí · matriz reconciliada histórica</t>
        </is>
      </c>
      <c r="D36" s="14" t="inlineStr">
        <is>
          <t>M4-RN-014; M4-RN-041</t>
        </is>
      </c>
      <c r="E36" s="14" t="inlineStr">
        <is>
          <t>M04-RGL-007; P4-CNT-024; P4-CNT-025; M04-RGL-039</t>
        </is>
      </c>
      <c r="F36" s="14" t="inlineStr">
        <is>
          <t>Cubierta por contrato cliente; Referencia técnica ya cubierta</t>
        </is>
      </c>
      <c r="G36" s="6" t="inlineStr">
        <is>
          <t>Reconciliar semánticamente contra TR vigente; no identidad 1:1</t>
        </is>
      </c>
      <c r="H36" s="6" t="inlineStr">
        <is>
          <t>LINEAGE_LOCALIZADO</t>
        </is>
      </c>
    </row>
    <row r="37">
      <c r="A37" s="14" t="inlineStr">
        <is>
          <t>M4-V33</t>
        </is>
      </c>
      <c r="B37" s="14" t="inlineStr">
        <is>
          <t>F4</t>
        </is>
      </c>
      <c r="C37" s="14" t="inlineStr">
        <is>
          <t>Sí · matriz reconciliada histórica</t>
        </is>
      </c>
      <c r="D37" s="14" t="inlineStr">
        <is>
          <t>M4-RN-005; M4-RN-017</t>
        </is>
      </c>
      <c r="E37" s="14" t="inlineStr">
        <is>
          <t>M04-RGL-006; M04-RGL-007; P4-CNT-016; M04-RGL-015; M04-RGL-038; P4-CNT-007; P4-CNT-016</t>
        </is>
      </c>
      <c r="F37" s="14" t="inlineStr">
        <is>
          <t>Cubierta con precisión adicional del cliente; Reemplazada por definición cliente</t>
        </is>
      </c>
      <c r="G37" s="6" t="inlineStr">
        <is>
          <t>Reconciliar semánticamente contra TR vigente; no identidad 1:1</t>
        </is>
      </c>
      <c r="H37" s="6" t="inlineStr">
        <is>
          <t>LINEAGE_LOCALIZADO</t>
        </is>
      </c>
    </row>
    <row r="38">
      <c r="A38" s="14" t="inlineStr">
        <is>
          <t>M4-V34</t>
        </is>
      </c>
      <c r="B38" s="14" t="inlineStr">
        <is>
          <t>F4</t>
        </is>
      </c>
      <c r="C38" s="14" t="inlineStr">
        <is>
          <t>Sí · matriz reconciliada histórica</t>
        </is>
      </c>
      <c r="D38" s="14" t="inlineStr">
        <is>
          <t>M4-RN-033; M4-RN-041</t>
        </is>
      </c>
      <c r="E38" s="14" t="inlineStr">
        <is>
          <t>M04-RGL-006; M04-RGL-030; M04-RGL-033; P4-CNT-018; P4-CNT-019; P4-CNT-020; P4-CNT-024; P4-CNT-025; M04-RGL-039</t>
        </is>
      </c>
      <c r="F38" s="14" t="inlineStr">
        <is>
          <t>Reemplazada por definición cliente; Referencia técnica ya cubierta</t>
        </is>
      </c>
      <c r="G38" s="6" t="inlineStr">
        <is>
          <t>Reconciliar semánticamente contra TR vigente; no identidad 1:1</t>
        </is>
      </c>
      <c r="H38" s="6" t="inlineStr">
        <is>
          <t>LINEAGE_LOCALIZADO</t>
        </is>
      </c>
    </row>
    <row r="39">
      <c r="A39" s="14" t="inlineStr">
        <is>
          <t>M4-V35</t>
        </is>
      </c>
      <c r="B39" s="14" t="inlineStr">
        <is>
          <t>F4</t>
        </is>
      </c>
      <c r="C39" s="14" t="inlineStr">
        <is>
          <t>Sí · matriz reconciliada histórica</t>
        </is>
      </c>
      <c r="D39" s="14" t="inlineStr">
        <is>
          <t>M4-RN-015; M4-RN-041</t>
        </is>
      </c>
      <c r="E39" s="14" t="inlineStr">
        <is>
          <t>M04-RGL-013; P4-CNT-001; P4-CNT-024; P4-CNT-024; P4-CNT-025; M04-RGL-039</t>
        </is>
      </c>
      <c r="F39" s="14" t="inlineStr">
        <is>
          <t>Cubierta con precisión adicional del cliente; Referencia técnica ya cubierta</t>
        </is>
      </c>
      <c r="G39" s="6" t="inlineStr">
        <is>
          <t>Reconciliar semánticamente contra TR vigente; no identidad 1:1</t>
        </is>
      </c>
      <c r="H39" s="6" t="inlineStr">
        <is>
          <t>LINEAGE_LOCALIZADO</t>
        </is>
      </c>
    </row>
    <row r="40">
      <c r="A40" s="14" t="inlineStr">
        <is>
          <t>M4-V36</t>
        </is>
      </c>
      <c r="B40" s="14" t="inlineStr">
        <is>
          <t>F4</t>
        </is>
      </c>
      <c r="C40" s="14" t="inlineStr">
        <is>
          <t>Sí · matriz reconciliada histórica</t>
        </is>
      </c>
      <c r="D40" s="14" t="inlineStr">
        <is>
          <t>M4-RN-017; M4-RN-042</t>
        </is>
      </c>
      <c r="E40" s="14" t="inlineStr">
        <is>
          <t>01_Matriz_Trazabilidad · materialización OD/DD/RD; 06_Ajustes_Materializacion; M04-RGL-015; M04-RGL-038; P4-CNT-007; P4-CNT-016</t>
        </is>
      </c>
      <c r="F40" s="14" t="inlineStr">
        <is>
          <t>Cubierta con precisión adicional del cliente; Reemplazada por definición cliente</t>
        </is>
      </c>
      <c r="G40" s="6" t="inlineStr">
        <is>
          <t>Reconciliar semánticamente contra TR vigente; no identidad 1:1</t>
        </is>
      </c>
      <c r="H40" s="6" t="inlineStr">
        <is>
          <t>LINEAGE_LOCALIZADO</t>
        </is>
      </c>
    </row>
    <row r="41">
      <c r="A41" s="14" t="inlineStr">
        <is>
          <t>M4-V37</t>
        </is>
      </c>
      <c r="B41" s="14" t="inlineStr">
        <is>
          <t>F4</t>
        </is>
      </c>
      <c r="C41" s="14" t="inlineStr">
        <is>
          <t>Sí · matriz reconciliada histórica</t>
        </is>
      </c>
      <c r="D41" s="14" t="inlineStr">
        <is>
          <t>M4-RN-017; M4-RN-018</t>
        </is>
      </c>
      <c r="E41" s="14" t="inlineStr">
        <is>
          <t>M04-RGL-014; M04-RGL-015; P4-CNT-001; P4-CNT-018; M04-RGL-015; M04-RGL-038; P4-CNT-007; P4-CNT-016</t>
        </is>
      </c>
      <c r="F41" s="14" t="inlineStr">
        <is>
          <t>Reemplazada por definición cliente</t>
        </is>
      </c>
      <c r="G41" s="6" t="inlineStr">
        <is>
          <t>Reconciliar semánticamente contra TR vigente; no identidad 1:1</t>
        </is>
      </c>
      <c r="H41" s="6" t="inlineStr">
        <is>
          <t>LINEAGE_LOCALIZADO</t>
        </is>
      </c>
    </row>
    <row r="42">
      <c r="A42" s="14" t="inlineStr">
        <is>
          <t>M4-V38</t>
        </is>
      </c>
      <c r="B42" s="14" t="inlineStr">
        <is>
          <t>F4</t>
        </is>
      </c>
      <c r="C42" s="14" t="inlineStr">
        <is>
          <t>Sí · matriz reconciliada histórica</t>
        </is>
      </c>
      <c r="D42" s="14" t="inlineStr">
        <is>
          <t>M4-RN-004; M4-RN-017</t>
        </is>
      </c>
      <c r="E42" s="14" t="inlineStr">
        <is>
          <t>M04-RGL-014; P4-CNT-018; P4-CNT-019; M04-RGL-015; M04-RGL-038; P4-CNT-007; P4-CNT-016</t>
        </is>
      </c>
      <c r="F42" s="14" t="inlineStr">
        <is>
          <t>Reemplazada por definición cliente</t>
        </is>
      </c>
      <c r="G42" s="6" t="inlineStr">
        <is>
          <t>Reconciliar semánticamente contra TR vigente; no identidad 1:1</t>
        </is>
      </c>
      <c r="H42" s="6" t="inlineStr">
        <is>
          <t>LINEAGE_LOCALIZADO</t>
        </is>
      </c>
    </row>
    <row r="43">
      <c r="A43" s="14" t="inlineStr">
        <is>
          <t>M4-V39</t>
        </is>
      </c>
      <c r="B43" s="14" t="inlineStr">
        <is>
          <t>F4</t>
        </is>
      </c>
      <c r="C43" s="14" t="inlineStr">
        <is>
          <t>Sí · matriz reconciliada histórica</t>
        </is>
      </c>
      <c r="D43" s="14" t="inlineStr">
        <is>
          <t>M4-RN-005; M4-RN-019</t>
        </is>
      </c>
      <c r="E43" s="14" t="inlineStr">
        <is>
          <t>M04-RGL-006; M04-RGL-007; P4-CNT-016; M04-RGL-020; P4-CNT-009; P4-CNT-010</t>
        </is>
      </c>
      <c r="F43" s="14" t="inlineStr">
        <is>
          <t>Cubierta con precisión adicional del cliente; Reemplazada por definición cliente</t>
        </is>
      </c>
      <c r="G43" s="6" t="inlineStr">
        <is>
          <t>Reconciliar semánticamente contra TR vigente; no identidad 1:1</t>
        </is>
      </c>
      <c r="H43" s="6" t="inlineStr">
        <is>
          <t>LINEAGE_LOCALIZADO</t>
        </is>
      </c>
    </row>
    <row r="44">
      <c r="A44" s="14" t="inlineStr">
        <is>
          <t>M4-V40</t>
        </is>
      </c>
      <c r="B44" s="14" t="inlineStr">
        <is>
          <t>F4</t>
        </is>
      </c>
      <c r="C44" s="14" t="inlineStr">
        <is>
          <t>Sí · matriz reconciliada histórica</t>
        </is>
      </c>
      <c r="D44" s="14" t="inlineStr">
        <is>
          <t>M4-RN-019</t>
        </is>
      </c>
      <c r="E44" s="14" t="inlineStr">
        <is>
          <t>M04-RGL-020; P4-CNT-009; P4-CNT-010</t>
        </is>
      </c>
      <c r="F44" s="14" t="inlineStr">
        <is>
          <t>Reemplazada por definición cliente</t>
        </is>
      </c>
      <c r="G44" s="6" t="inlineStr">
        <is>
          <t>Reconciliar semánticamente contra TR vigente; no identidad 1:1</t>
        </is>
      </c>
      <c r="H44" s="6" t="inlineStr">
        <is>
          <t>LINEAGE_LOCALIZADO</t>
        </is>
      </c>
    </row>
    <row r="45">
      <c r="A45" s="14" t="inlineStr">
        <is>
          <t>M4-V41</t>
        </is>
      </c>
      <c r="B45" s="14" t="inlineStr">
        <is>
          <t>F4</t>
        </is>
      </c>
      <c r="C45" s="14" t="inlineStr">
        <is>
          <t>Sí · matriz reconciliada histórica</t>
        </is>
      </c>
      <c r="D45" s="14" t="inlineStr">
        <is>
          <t>M4-RN-004; M4-RN-019</t>
        </is>
      </c>
      <c r="E45" s="14" t="inlineStr">
        <is>
          <t>M04-RGL-014; P4-CNT-018; P4-CNT-019; M04-RGL-020; P4-CNT-009; P4-CNT-010</t>
        </is>
      </c>
      <c r="F45" s="14" t="inlineStr">
        <is>
          <t>Reemplazada por definición cliente</t>
        </is>
      </c>
      <c r="G45" s="6" t="inlineStr">
        <is>
          <t>Reconciliar semánticamente contra TR vigente; no identidad 1:1</t>
        </is>
      </c>
      <c r="H45" s="6" t="inlineStr">
        <is>
          <t>LINEAGE_LOCALIZADO</t>
        </is>
      </c>
    </row>
    <row r="46">
      <c r="A46" s="14" t="inlineStr">
        <is>
          <t>M4-V42</t>
        </is>
      </c>
      <c r="B46" s="14" t="inlineStr">
        <is>
          <t>F4</t>
        </is>
      </c>
      <c r="C46" s="14" t="inlineStr">
        <is>
          <t>Sí · matriz reconciliada histórica</t>
        </is>
      </c>
      <c r="D46" s="14" t="inlineStr">
        <is>
          <t>M4-RN-020</t>
        </is>
      </c>
      <c r="E46" s="14" t="inlineStr">
        <is>
          <t>M04-RGL-021; P4-CNT-011; P4-CNT-012; P4-CNT-013</t>
        </is>
      </c>
      <c r="F46" s="14" t="inlineStr">
        <is>
          <t>Reemplazada por definición cliente</t>
        </is>
      </c>
      <c r="G46" s="6" t="inlineStr">
        <is>
          <t>Reconciliar semánticamente contra TR vigente; no identidad 1:1</t>
        </is>
      </c>
      <c r="H46" s="6" t="inlineStr">
        <is>
          <t>LINEAGE_LOCALIZADO</t>
        </is>
      </c>
    </row>
    <row r="47">
      <c r="A47" s="14" t="inlineStr">
        <is>
          <t>M4-V43</t>
        </is>
      </c>
      <c r="B47" s="14" t="inlineStr">
        <is>
          <t>F4</t>
        </is>
      </c>
      <c r="C47" s="14" t="inlineStr">
        <is>
          <t>Sí · matriz reconciliada histórica</t>
        </is>
      </c>
      <c r="D47" s="14" t="inlineStr">
        <is>
          <t>M4-RN-004; M4-RN-020</t>
        </is>
      </c>
      <c r="E47" s="14" t="inlineStr">
        <is>
          <t>M04-RGL-014; P4-CNT-018; P4-CNT-019; M04-RGL-021; P4-CNT-011; P4-CNT-012; P4-CNT-013</t>
        </is>
      </c>
      <c r="F47" s="14" t="inlineStr">
        <is>
          <t>Reemplazada por definición cliente</t>
        </is>
      </c>
      <c r="G47" s="6" t="inlineStr">
        <is>
          <t>Reconciliar semánticamente contra TR vigente; no identidad 1:1</t>
        </is>
      </c>
      <c r="H47" s="6" t="inlineStr">
        <is>
          <t>LINEAGE_LOCALIZADO</t>
        </is>
      </c>
    </row>
    <row r="48">
      <c r="A48" s="14" t="inlineStr">
        <is>
          <t>M4-V44</t>
        </is>
      </c>
      <c r="B48" s="14" t="inlineStr">
        <is>
          <t>F4</t>
        </is>
      </c>
      <c r="C48" s="14" t="inlineStr">
        <is>
          <t>Sí · matriz reconciliada histórica</t>
        </is>
      </c>
      <c r="D48" s="14" t="inlineStr">
        <is>
          <t>M4-RN-019; M4-RN-020</t>
        </is>
      </c>
      <c r="E48" s="14" t="inlineStr">
        <is>
          <t>M04-RGL-020; P4-CNT-009; P4-CNT-010; M04-RGL-021; P4-CNT-011; P4-CNT-012; P4-CNT-013</t>
        </is>
      </c>
      <c r="F48" s="14" t="inlineStr">
        <is>
          <t>Reemplazada por definición cliente</t>
        </is>
      </c>
      <c r="G48" s="6" t="inlineStr">
        <is>
          <t>Reconciliar semánticamente contra TR vigente; no identidad 1:1</t>
        </is>
      </c>
      <c r="H48" s="6" t="inlineStr">
        <is>
          <t>LINEAGE_LOCALIZADO</t>
        </is>
      </c>
    </row>
    <row r="49">
      <c r="A49" s="14" t="inlineStr">
        <is>
          <t>M4-V45</t>
        </is>
      </c>
      <c r="B49" s="14" t="inlineStr">
        <is>
          <t>F4</t>
        </is>
      </c>
      <c r="C49" s="14" t="inlineStr">
        <is>
          <t>Sí · matriz reconciliada histórica</t>
        </is>
      </c>
      <c r="D49" s="14" t="inlineStr">
        <is>
          <t>M4-RN-022; M4-RN-023; M4-RN-037; R-TC-008</t>
        </is>
      </c>
      <c r="E49" s="14" t="inlineStr">
        <is>
          <t>M04-RGL-022; P4-CNT-014; M04-RGL-041; P4-CNT-015</t>
        </is>
      </c>
      <c r="F49" s="14" t="inlineStr">
        <is>
          <t>Cubierta por contrato cliente</t>
        </is>
      </c>
      <c r="G49" s="6" t="inlineStr">
        <is>
          <t>Reconciliar semánticamente contra TR vigente; no identidad 1:1</t>
        </is>
      </c>
      <c r="H49" s="6" t="inlineStr">
        <is>
          <t>LINEAGE_LOCALIZADO</t>
        </is>
      </c>
    </row>
    <row r="50">
      <c r="A50" s="14" t="inlineStr">
        <is>
          <t>M4-V46</t>
        </is>
      </c>
      <c r="B50" s="14" t="inlineStr">
        <is>
          <t>F4</t>
        </is>
      </c>
      <c r="C50" s="14" t="inlineStr">
        <is>
          <t>Sí · matriz reconciliada histórica</t>
        </is>
      </c>
      <c r="D50" s="14" t="inlineStr">
        <is>
          <t>M4-RN-022; M4-RN-023; M4-RN-025</t>
        </is>
      </c>
      <c r="E50" s="14" t="inlineStr">
        <is>
          <t>M04-RGL-022; P4-CNT-014; M04-RGL-023; P4-CNT-004; P4-CNT-005</t>
        </is>
      </c>
      <c r="F50" s="14" t="inlineStr">
        <is>
          <t>Cubierta por contrato cliente; Reemplazada por definición cliente</t>
        </is>
      </c>
      <c r="G50" s="6" t="inlineStr">
        <is>
          <t>Reconciliar semánticamente contra TR vigente; no identidad 1:1</t>
        </is>
      </c>
      <c r="H50" s="6" t="inlineStr">
        <is>
          <t>LINEAGE_LOCALIZADO</t>
        </is>
      </c>
    </row>
    <row r="51">
      <c r="A51" s="14" t="inlineStr">
        <is>
          <t>M4-V47</t>
        </is>
      </c>
      <c r="B51" s="14" t="inlineStr">
        <is>
          <t>F4</t>
        </is>
      </c>
      <c r="C51" s="14" t="inlineStr">
        <is>
          <t>Sí · matriz reconciliada histórica</t>
        </is>
      </c>
      <c r="D51" s="14" t="inlineStr">
        <is>
          <t>M4-RN-017; M4-RN-022</t>
        </is>
      </c>
      <c r="E51" s="14" t="inlineStr">
        <is>
          <t>M04-RGL-015; M04-RGL-038; P4-CNT-007; P4-CNT-016; M04-RGL-022; P4-CNT-014</t>
        </is>
      </c>
      <c r="F51" s="14" t="inlineStr">
        <is>
          <t>Cubierta por contrato cliente; Reemplazada por definición cliente</t>
        </is>
      </c>
      <c r="G51" s="6" t="inlineStr">
        <is>
          <t>Reconciliar semánticamente contra TR vigente; no identidad 1:1</t>
        </is>
      </c>
      <c r="H51" s="6" t="inlineStr">
        <is>
          <t>LINEAGE_LOCALIZADO</t>
        </is>
      </c>
    </row>
    <row r="52">
      <c r="A52" s="14" t="inlineStr">
        <is>
          <t>M4-V48</t>
        </is>
      </c>
      <c r="B52" s="14" t="inlineStr">
        <is>
          <t>F4</t>
        </is>
      </c>
      <c r="C52" s="14" t="inlineStr">
        <is>
          <t>Sí · matriz reconciliada histórica</t>
        </is>
      </c>
      <c r="D52" s="14" t="inlineStr">
        <is>
          <t>M4-RN-017; M4-RN-022</t>
        </is>
      </c>
      <c r="E52" s="14" t="inlineStr">
        <is>
          <t>M04-RGL-015; M04-RGL-038; P4-CNT-007; P4-CNT-016; M04-RGL-022; P4-CNT-014</t>
        </is>
      </c>
      <c r="F52" s="14" t="inlineStr">
        <is>
          <t>Cubierta por contrato cliente; Reemplazada por definición cliente</t>
        </is>
      </c>
      <c r="G52" s="6" t="inlineStr">
        <is>
          <t>Reconciliar semánticamente contra TR vigente; no identidad 1:1</t>
        </is>
      </c>
      <c r="H52" s="6" t="inlineStr">
        <is>
          <t>LINEAGE_LOCALIZADO</t>
        </is>
      </c>
    </row>
    <row r="53">
      <c r="A53" s="14" t="inlineStr">
        <is>
          <t>M4-V49</t>
        </is>
      </c>
      <c r="B53" s="14" t="inlineStr">
        <is>
          <t>F4</t>
        </is>
      </c>
      <c r="C53" s="14" t="inlineStr">
        <is>
          <t>Sí · matriz reconciliada histórica</t>
        </is>
      </c>
      <c r="D53" s="14" t="inlineStr">
        <is>
          <t>M4-RN-021; M4-RN-043</t>
        </is>
      </c>
      <c r="E53" s="14" t="inlineStr">
        <is>
          <t>M04-RGL-016; P4-CNT-006; P4-CNT-017; M04-RGL-042; 05_Condiciones_y_Limites</t>
        </is>
      </c>
      <c r="F53" s="14" t="inlineStr">
        <is>
          <t>Cubierta con precisión adicional del cliente; Cubierta por contrato cliente</t>
        </is>
      </c>
      <c r="G53" s="6" t="inlineStr">
        <is>
          <t>Reconciliar semánticamente contra TR vigente; no identidad 1:1</t>
        </is>
      </c>
      <c r="H53" s="6" t="inlineStr">
        <is>
          <t>LINEAGE_LOCALIZADO</t>
        </is>
      </c>
    </row>
    <row r="54">
      <c r="A54" s="14" t="inlineStr">
        <is>
          <t>M4-V50</t>
        </is>
      </c>
      <c r="B54" s="14" t="inlineStr">
        <is>
          <t>F5</t>
        </is>
      </c>
      <c r="C54" s="14" t="inlineStr">
        <is>
          <t>Sí · matriz reconciliada histórica</t>
        </is>
      </c>
      <c r="D54" s="14" t="inlineStr">
        <is>
          <t>M4-RN-004; M4-RN-021</t>
        </is>
      </c>
      <c r="E54" s="14" t="inlineStr">
        <is>
          <t>M04-RGL-014; P4-CNT-018; P4-CNT-019; M04-RGL-016; P4-CNT-006; P4-CNT-017</t>
        </is>
      </c>
      <c r="F54" s="14" t="inlineStr">
        <is>
          <t>Cubierta con precisión adicional del cliente; Reemplazada por definición cliente</t>
        </is>
      </c>
      <c r="G54" s="6" t="inlineStr">
        <is>
          <t>Reconciliar semánticamente contra TR vigente; no identidad 1:1</t>
        </is>
      </c>
      <c r="H54" s="6" t="inlineStr">
        <is>
          <t>LINEAGE_LOCALIZADO</t>
        </is>
      </c>
    </row>
    <row r="55">
      <c r="A55" s="14" t="inlineStr">
        <is>
          <t>M4-V51</t>
        </is>
      </c>
      <c r="B55" s="14" t="inlineStr">
        <is>
          <t>F5</t>
        </is>
      </c>
      <c r="C55" s="14" t="inlineStr">
        <is>
          <t>Sí · matriz reconciliada histórica</t>
        </is>
      </c>
      <c r="D55" s="14" t="inlineStr">
        <is>
          <t>M4-RN-017; R-CMF-003; R-TC-007</t>
        </is>
      </c>
      <c r="E55" s="14" t="inlineStr">
        <is>
          <t>M04-RGL-015; M04-RGL-038; P4-CNT-007; P4-CNT-016; M04-RGL-016; M04-RGL-038; P4-CNT-006; P4-CNT-016; P4-CNT-017; M04-RGL-041; P4-CNT-006; P4-CNT-015</t>
        </is>
      </c>
      <c r="F55" s="14" t="inlineStr">
        <is>
          <t>Complemento a confirmar; Cubierta con precisión adicional del cliente; Reemplazada por definición cliente</t>
        </is>
      </c>
      <c r="G55" s="6" t="inlineStr">
        <is>
          <t>Reconciliar semánticamente contra TR vigente; no identidad 1:1</t>
        </is>
      </c>
      <c r="H55" s="6" t="inlineStr">
        <is>
          <t>LINEAGE_LOCALIZADO</t>
        </is>
      </c>
    </row>
    <row r="56">
      <c r="A56" s="14" t="inlineStr">
        <is>
          <t>M4-V52</t>
        </is>
      </c>
      <c r="B56" s="14" t="inlineStr">
        <is>
          <t>F5</t>
        </is>
      </c>
      <c r="C56" s="14" t="inlineStr">
        <is>
          <t>Sí · matriz reconciliada histórica</t>
        </is>
      </c>
      <c r="D56" s="14" t="inlineStr">
        <is>
          <t>M4-RN-017; M4-RN-042</t>
        </is>
      </c>
      <c r="E56" s="14" t="inlineStr">
        <is>
          <t>01_Matriz_Trazabilidad · materialización OD/DD/RD; 06_Ajustes_Materializacion; M04-RGL-015; M04-RGL-038; P4-CNT-007; P4-CNT-016</t>
        </is>
      </c>
      <c r="F56" s="14" t="inlineStr">
        <is>
          <t>Cubierta con precisión adicional del cliente; Reemplazada por definición cliente</t>
        </is>
      </c>
      <c r="G56" s="6" t="inlineStr">
        <is>
          <t>Reconciliar semánticamente contra TR vigente; no identidad 1:1</t>
        </is>
      </c>
      <c r="H56" s="6" t="inlineStr">
        <is>
          <t>LINEAGE_LOCALIZADO</t>
        </is>
      </c>
    </row>
    <row r="57">
      <c r="A57" s="14" t="inlineStr">
        <is>
          <t>M4-V53</t>
        </is>
      </c>
      <c r="B57" s="14" t="inlineStr">
        <is>
          <t>F5</t>
        </is>
      </c>
      <c r="C57" s="14" t="inlineStr">
        <is>
          <t>Sí · matriz reconciliada histórica</t>
        </is>
      </c>
      <c r="D57" s="14" t="inlineStr">
        <is>
          <t>M4-RN-033; M4-RN-041</t>
        </is>
      </c>
      <c r="E57" s="14" t="inlineStr">
        <is>
          <t>M04-RGL-006; M04-RGL-030; M04-RGL-033; P4-CNT-018; P4-CNT-019; P4-CNT-020; P4-CNT-024; P4-CNT-025; M04-RGL-039</t>
        </is>
      </c>
      <c r="F57" s="14" t="inlineStr">
        <is>
          <t>Reemplazada por definición cliente; Referencia técnica ya cubierta</t>
        </is>
      </c>
      <c r="G57" s="6" t="inlineStr">
        <is>
          <t>Reconciliar semánticamente contra TR vigente; no identidad 1:1</t>
        </is>
      </c>
      <c r="H57" s="6" t="inlineStr">
        <is>
          <t>LINEAGE_LOCALIZADO</t>
        </is>
      </c>
    </row>
    <row r="58">
      <c r="A58" s="14" t="inlineStr">
        <is>
          <t>M4-V54</t>
        </is>
      </c>
      <c r="B58" s="14" t="inlineStr">
        <is>
          <t>F5</t>
        </is>
      </c>
      <c r="C58" s="14" t="inlineStr">
        <is>
          <t>Sí · matriz reconciliada histórica</t>
        </is>
      </c>
      <c r="D58" s="14" t="inlineStr">
        <is>
          <t>M4-RN-043</t>
        </is>
      </c>
      <c r="E58" s="14" t="inlineStr">
        <is>
          <t>M04-RGL-042; 05_Condiciones_y_Limites</t>
        </is>
      </c>
      <c r="F58" s="14" t="inlineStr">
        <is>
          <t>Cubierta por contrato cliente</t>
        </is>
      </c>
      <c r="G58" s="6" t="inlineStr">
        <is>
          <t>Reconciliar semánticamente contra TR vigente; no identidad 1:1</t>
        </is>
      </c>
      <c r="H58" s="6" t="inlineStr">
        <is>
          <t>LINEAGE_LOCALIZADO</t>
        </is>
      </c>
    </row>
    <row r="59">
      <c r="A59" s="14" t="inlineStr">
        <is>
          <t>M4-V55</t>
        </is>
      </c>
      <c r="B59" s="14" t="inlineStr">
        <is>
          <t>F5</t>
        </is>
      </c>
      <c r="C59" s="14" t="inlineStr">
        <is>
          <t>Sí · matriz reconciliada histórica</t>
        </is>
      </c>
      <c r="D59" s="14" t="inlineStr">
        <is>
          <t>M4-RN-004; M4-RN-005</t>
        </is>
      </c>
      <c r="E59" s="14" t="inlineStr">
        <is>
          <t>M04-RGL-006; M04-RGL-007; P4-CNT-016; M04-RGL-014; P4-CNT-018; P4-CNT-019</t>
        </is>
      </c>
      <c r="F59" s="14" t="inlineStr">
        <is>
          <t>Cubierta con precisión adicional del cliente; Reemplazada por definición cliente</t>
        </is>
      </c>
      <c r="G59" s="6" t="inlineStr">
        <is>
          <t>Reconciliar semánticamente contra TR vigente; no identidad 1:1</t>
        </is>
      </c>
      <c r="H59" s="6" t="inlineStr">
        <is>
          <t>LINEAGE_LOCALIZADO</t>
        </is>
      </c>
    </row>
    <row r="60">
      <c r="A60" s="14" t="inlineStr">
        <is>
          <t>M4-V56</t>
        </is>
      </c>
      <c r="B60" s="14" t="inlineStr">
        <is>
          <t>F5</t>
        </is>
      </c>
      <c r="C60" s="14" t="inlineStr">
        <is>
          <t>Sí · matriz reconciliada histórica</t>
        </is>
      </c>
      <c r="D60" s="14" t="inlineStr">
        <is>
          <t>M4-RN-004; M4-RN-006; M4-RN-044</t>
        </is>
      </c>
      <c r="E60" s="14" t="inlineStr">
        <is>
          <t>M04-RGL-012; P4-CNT-001; P4-CNT-018; M04-RGL-014; P4-CNT-018; P4-CNT-019; M04-RGL-031; P4-CNT-023</t>
        </is>
      </c>
      <c r="F60" s="14" t="inlineStr">
        <is>
          <t>Cubierta con precisión adicional del cliente; Cubierta por contrato cliente; Reemplazada por definición cliente</t>
        </is>
      </c>
      <c r="G60" s="6" t="inlineStr">
        <is>
          <t>Reconciliar semánticamente contra TR vigente; no identidad 1:1</t>
        </is>
      </c>
      <c r="H60" s="6" t="inlineStr">
        <is>
          <t>LINEAGE_LOCALIZADO</t>
        </is>
      </c>
    </row>
    <row r="61">
      <c r="A61" s="14" t="inlineStr">
        <is>
          <t>M4-V57</t>
        </is>
      </c>
      <c r="B61" s="14" t="inlineStr">
        <is>
          <t>F5</t>
        </is>
      </c>
      <c r="C61" s="14" t="inlineStr">
        <is>
          <t>Sí · matriz reconciliada histórica</t>
        </is>
      </c>
      <c r="D61" s="14" t="inlineStr">
        <is>
          <t>M4-RN-004; M4-RN-041</t>
        </is>
      </c>
      <c r="E61" s="14" t="inlineStr">
        <is>
          <t>M04-RGL-014; P4-CNT-018; P4-CNT-019; P4-CNT-024; P4-CNT-025; M04-RGL-039</t>
        </is>
      </c>
      <c r="F61" s="14" t="inlineStr">
        <is>
          <t>Reemplazada por definición cliente; Referencia técnica ya cubierta</t>
        </is>
      </c>
      <c r="G61" s="6" t="inlineStr">
        <is>
          <t>Reconciliar semánticamente contra TR vigente; no identidad 1:1</t>
        </is>
      </c>
      <c r="H61" s="6" t="inlineStr">
        <is>
          <t>LINEAGE_LOCALIZADO</t>
        </is>
      </c>
    </row>
    <row r="62">
      <c r="A62" s="14" t="inlineStr">
        <is>
          <t>M4-V58</t>
        </is>
      </c>
      <c r="B62" s="14" t="inlineStr">
        <is>
          <t>F5</t>
        </is>
      </c>
      <c r="C62" s="14" t="inlineStr">
        <is>
          <t>Sí · matriz reconciliada histórica</t>
        </is>
      </c>
      <c r="D62" s="14" t="inlineStr">
        <is>
          <t>M4-RN-030; M4-RN-042</t>
        </is>
      </c>
      <c r="E62" s="14" t="inlineStr">
        <is>
          <t>01_Matriz_Trazabilidad · materialización OD/DD/RD; 06_Ajustes_Materializacion; M04-RGL-027; M04-RGL-031; M04-RGL-032; P4-CNT-021; P4-CNT-022</t>
        </is>
      </c>
      <c r="F62" s="14" t="inlineStr">
        <is>
          <t>Cubierta con precisión adicional del cliente</t>
        </is>
      </c>
      <c r="G62" s="6" t="inlineStr">
        <is>
          <t>Reconciliar semánticamente contra TR vigente; no identidad 1:1</t>
        </is>
      </c>
      <c r="H62" s="6" t="inlineStr">
        <is>
          <t>LINEAGE_LOCALIZADO</t>
        </is>
      </c>
    </row>
    <row r="63">
      <c r="A63" s="14" t="inlineStr">
        <is>
          <t>M4-V59</t>
        </is>
      </c>
      <c r="B63" s="14" t="inlineStr">
        <is>
          <t>F5</t>
        </is>
      </c>
      <c r="C63" s="14" t="inlineStr">
        <is>
          <t>Sí · matriz reconciliada histórica</t>
        </is>
      </c>
      <c r="D63" s="14" t="inlineStr">
        <is>
          <t>M4-RN-045</t>
        </is>
      </c>
      <c r="E63" s="14" t="inlineStr">
        <is>
          <t>M04-RGL-030; P4-CNT-018; P4-CNT-019</t>
        </is>
      </c>
      <c r="F63" s="14" t="inlineStr">
        <is>
          <t>Cubierta con precisión adicional del cliente</t>
        </is>
      </c>
      <c r="G63" s="6" t="inlineStr">
        <is>
          <t>Reconciliar semánticamente contra TR vigente; no identidad 1:1</t>
        </is>
      </c>
      <c r="H63" s="6" t="inlineStr">
        <is>
          <t>LINEAGE_LOCALIZADO</t>
        </is>
      </c>
    </row>
    <row r="64">
      <c r="A64" s="14" t="inlineStr">
        <is>
          <t>M4-V60</t>
        </is>
      </c>
      <c r="B64" s="14" t="inlineStr">
        <is>
          <t>F5</t>
        </is>
      </c>
      <c r="C64" s="14" t="inlineStr">
        <is>
          <t>Sí · matriz reconciliada histórica</t>
        </is>
      </c>
      <c r="D64" s="14" t="inlineStr">
        <is>
          <t>M4-RN-041; M4-RN-047</t>
        </is>
      </c>
      <c r="E64" s="14" t="inlineStr">
        <is>
          <t>M04-RGL-036; P4-CNT-024; P4-CNT-025; M04-RGL-039</t>
        </is>
      </c>
      <c r="F64" s="14" t="inlineStr">
        <is>
          <t>Cubierta por contrato cliente; Referencia técnica ya cubierta</t>
        </is>
      </c>
      <c r="G64" s="6" t="inlineStr">
        <is>
          <t>Reconciliar semánticamente contra TR vigente; no identidad 1:1</t>
        </is>
      </c>
      <c r="H64" s="6" t="inlineStr">
        <is>
          <t>LINEAGE_LOCALIZADO</t>
        </is>
      </c>
    </row>
    <row r="65">
      <c r="A65" s="14" t="inlineStr">
        <is>
          <t>M4-V61</t>
        </is>
      </c>
      <c r="B65" s="14" t="inlineStr">
        <is>
          <t>F5</t>
        </is>
      </c>
      <c r="C65" s="14" t="inlineStr">
        <is>
          <t>Sí · matriz reconciliada histórica</t>
        </is>
      </c>
      <c r="D65" s="14" t="inlineStr">
        <is>
          <t>M4-RN-028; M4-RN-029; M4-RN-030</t>
        </is>
      </c>
      <c r="E65" s="14" t="inlineStr">
        <is>
          <t>M04-RGL-027; M04-RGL-027; M04-RGL-031; M04-RGL-032; P4-CNT-021; P4-CNT-022; M04-RGL-027; P4-CNT-001</t>
        </is>
      </c>
      <c r="F65" s="14" t="inlineStr">
        <is>
          <t>Cubierta con precisión adicional del cliente; Cubierta por contrato cliente</t>
        </is>
      </c>
      <c r="G65" s="6" t="inlineStr">
        <is>
          <t>Reconciliar semánticamente contra TR vigente; no identidad 1:1</t>
        </is>
      </c>
      <c r="H65" s="6" t="inlineStr">
        <is>
          <t>LINEAGE_LOCALIZADO</t>
        </is>
      </c>
    </row>
    <row r="66">
      <c r="A66" s="14" t="inlineStr">
        <is>
          <t>M4-V62</t>
        </is>
      </c>
      <c r="B66" s="14" t="inlineStr">
        <is>
          <t>F5</t>
        </is>
      </c>
      <c r="C66" s="14" t="inlineStr">
        <is>
          <t>Sí · matriz reconciliada histórica</t>
        </is>
      </c>
      <c r="D66" s="14" t="inlineStr">
        <is>
          <t>M4-RN-029</t>
        </is>
      </c>
      <c r="E66" s="14" t="inlineStr">
        <is>
          <t>M04-RGL-027; P4-CNT-001</t>
        </is>
      </c>
      <c r="F66" s="14" t="inlineStr">
        <is>
          <t>Cubierta con precisión adicional del cliente</t>
        </is>
      </c>
      <c r="G66" s="6" t="inlineStr">
        <is>
          <t>Reconciliar semánticamente contra TR vigente; no identidad 1:1</t>
        </is>
      </c>
      <c r="H66" s="6" t="inlineStr">
        <is>
          <t>LINEAGE_LOCALIZADO</t>
        </is>
      </c>
    </row>
    <row r="67">
      <c r="A67" s="14" t="inlineStr">
        <is>
          <t>M4-V63</t>
        </is>
      </c>
      <c r="B67" s="14" t="inlineStr">
        <is>
          <t>F5</t>
        </is>
      </c>
      <c r="C67" s="14" t="inlineStr">
        <is>
          <t>Sí · matriz reconciliada histórica</t>
        </is>
      </c>
      <c r="D67" s="14" t="inlineStr">
        <is>
          <t>M4-RN-015; M4-RN-029</t>
        </is>
      </c>
      <c r="E67" s="14" t="inlineStr">
        <is>
          <t>M04-RGL-013; P4-CNT-001; P4-CNT-024; M04-RGL-027; P4-CNT-001</t>
        </is>
      </c>
      <c r="F67" s="14" t="inlineStr">
        <is>
          <t>Cubierta con precisión adicional del cliente</t>
        </is>
      </c>
      <c r="G67" s="6" t="inlineStr">
        <is>
          <t>Reconciliar semánticamente contra TR vigente; no identidad 1:1</t>
        </is>
      </c>
      <c r="H67" s="6" t="inlineStr">
        <is>
          <t>LINEAGE_LOCALIZADO</t>
        </is>
      </c>
    </row>
    <row r="68">
      <c r="A68" s="14" t="inlineStr">
        <is>
          <t>M4-V64</t>
        </is>
      </c>
      <c r="B68" s="14" t="inlineStr">
        <is>
          <t>F5</t>
        </is>
      </c>
      <c r="C68" s="14" t="inlineStr">
        <is>
          <t>Sí · matriz reconciliada histórica</t>
        </is>
      </c>
      <c r="D68" s="14" t="inlineStr">
        <is>
          <t>M4-RN-024; M4-RN-026; M4-RN-027; M4-RN-030</t>
        </is>
      </c>
      <c r="E68" s="14" t="inlineStr">
        <is>
          <t>M04-RGL-024; P4-CNT-022; M04-RGL-025; P4-CNT-004; M04-RGL-026; P4-CNT-022; M04-RGL-027; M04-RGL-031; M04-RGL-032; P4-CNT-021; P4-CNT-022</t>
        </is>
      </c>
      <c r="F68" s="14" t="inlineStr">
        <is>
          <t>Cubierta con precisión adicional del cliente; Reemplazada por definición cliente</t>
        </is>
      </c>
      <c r="G68" s="6" t="inlineStr">
        <is>
          <t>Reconciliar semánticamente contra TR vigente; no identidad 1:1</t>
        </is>
      </c>
      <c r="H68" s="6" t="inlineStr">
        <is>
          <t>LINEAGE_LOCALIZADO</t>
        </is>
      </c>
    </row>
    <row r="69">
      <c r="A69" s="14" t="inlineStr">
        <is>
          <t>M4-V65</t>
        </is>
      </c>
      <c r="B69" s="14" t="inlineStr">
        <is>
          <t>F5</t>
        </is>
      </c>
      <c r="C69" s="14" t="inlineStr">
        <is>
          <t>Sí · matriz reconciliada histórica</t>
        </is>
      </c>
      <c r="D69" s="14" t="inlineStr">
        <is>
          <t>M4-RN-024; M4-RN-046</t>
        </is>
      </c>
      <c r="E69" s="14" t="inlineStr">
        <is>
          <t>M04-RGL-024; M04-RGL-026; P4-CNT-022; M04-RGL-024; P4-CNT-022</t>
        </is>
      </c>
      <c r="F69" s="14" t="inlineStr">
        <is>
          <t>Reemplazada por definición cliente</t>
        </is>
      </c>
      <c r="G69" s="6" t="inlineStr">
        <is>
          <t>Reconciliar semánticamente contra TR vigente; no identidad 1:1</t>
        </is>
      </c>
      <c r="H69" s="6" t="inlineStr">
        <is>
          <t>LINEAGE_LOCALIZADO</t>
        </is>
      </c>
    </row>
    <row r="70">
      <c r="A70" s="14" t="inlineStr">
        <is>
          <t>M4-V66</t>
        </is>
      </c>
      <c r="B70" s="14" t="inlineStr">
        <is>
          <t>F5</t>
        </is>
      </c>
      <c r="C70" s="14" t="inlineStr">
        <is>
          <t>Sí · matriz reconciliada histórica</t>
        </is>
      </c>
      <c r="D70" s="14" t="inlineStr">
        <is>
          <t>M4-RN-027; M4-RN-030</t>
        </is>
      </c>
      <c r="E70" s="14" t="inlineStr">
        <is>
          <t>M04-RGL-026; P4-CNT-022; M04-RGL-027; M04-RGL-031; M04-RGL-032; P4-CNT-021; P4-CNT-022</t>
        </is>
      </c>
      <c r="F70" s="14" t="inlineStr">
        <is>
          <t>Cubierta con precisión adicional del cliente; Reemplazada por definición cliente</t>
        </is>
      </c>
      <c r="G70" s="6" t="inlineStr">
        <is>
          <t>Reconciliar semánticamente contra TR vigente; no identidad 1:1</t>
        </is>
      </c>
      <c r="H70" s="6" t="inlineStr">
        <is>
          <t>LINEAGE_LOCALIZADO</t>
        </is>
      </c>
    </row>
    <row r="71">
      <c r="A71" s="14" t="inlineStr">
        <is>
          <t>M4-V67</t>
        </is>
      </c>
      <c r="B71" s="14" t="inlineStr">
        <is>
          <t>F5</t>
        </is>
      </c>
      <c r="C71" s="14" t="inlineStr">
        <is>
          <t>Sí · matriz reconciliada histórica</t>
        </is>
      </c>
      <c r="D71" s="14" t="inlineStr">
        <is>
          <t>M4-RN-030; M4-RN-041; M4-RN-044</t>
        </is>
      </c>
      <c r="E71" s="14" t="inlineStr">
        <is>
          <t>M04-RGL-027; M04-RGL-031; M04-RGL-032; P4-CNT-021; P4-CNT-022; M04-RGL-031; P4-CNT-023; P4-CNT-024; P4-CNT-025; M04-RGL-039</t>
        </is>
      </c>
      <c r="F71" s="14" t="inlineStr">
        <is>
          <t>Cubierta con precisión adicional del cliente; Cubierta por contrato cliente; Referencia técnica ya cubierta</t>
        </is>
      </c>
      <c r="G71" s="6" t="inlineStr">
        <is>
          <t>Reconciliar semánticamente contra TR vigente; no identidad 1:1</t>
        </is>
      </c>
      <c r="H71" s="6" t="inlineStr">
        <is>
          <t>LINEAGE_LOCALIZADO</t>
        </is>
      </c>
    </row>
    <row r="72">
      <c r="A72" s="14" t="inlineStr">
        <is>
          <t>M4-V68</t>
        </is>
      </c>
      <c r="B72" s="14" t="inlineStr">
        <is>
          <t>F5</t>
        </is>
      </c>
      <c r="C72" s="14" t="inlineStr">
        <is>
          <t>Sí · matriz reconciliada histórica</t>
        </is>
      </c>
      <c r="D72" s="14" t="inlineStr">
        <is>
          <t>M4-RN-006; M4-RN-044</t>
        </is>
      </c>
      <c r="E72" s="14" t="inlineStr">
        <is>
          <t>M04-RGL-012; P4-CNT-001; P4-CNT-018; M04-RGL-031; P4-CNT-023</t>
        </is>
      </c>
      <c r="F72" s="14" t="inlineStr">
        <is>
          <t>Cubierta con precisión adicional del cliente; Cubierta por contrato cliente</t>
        </is>
      </c>
      <c r="G72" s="6" t="inlineStr">
        <is>
          <t>Reconciliar semánticamente contra TR vigente; no identidad 1:1</t>
        </is>
      </c>
      <c r="H72" s="6" t="inlineStr">
        <is>
          <t>LINEAGE_LOCALIZADO</t>
        </is>
      </c>
    </row>
    <row r="73">
      <c r="A73" s="14" t="inlineStr">
        <is>
          <t>M4-V69</t>
        </is>
      </c>
      <c r="B73" s="14" t="inlineStr">
        <is>
          <t>F5</t>
        </is>
      </c>
      <c r="C73" s="14" t="inlineStr">
        <is>
          <t>Sí · matriz reconciliada histórica</t>
        </is>
      </c>
      <c r="D73" s="14" t="inlineStr">
        <is>
          <t>M4-RN-015; M4-RN-044</t>
        </is>
      </c>
      <c r="E73" s="14" t="inlineStr">
        <is>
          <t>M04-RGL-013; P4-CNT-001; P4-CNT-024; M04-RGL-031; P4-CNT-023</t>
        </is>
      </c>
      <c r="F73" s="14" t="inlineStr">
        <is>
          <t>Cubierta con precisión adicional del cliente; Cubierta por contrato cliente</t>
        </is>
      </c>
      <c r="G73" s="6" t="inlineStr">
        <is>
          <t>Reconciliar semánticamente contra TR vigente; no identidad 1:1</t>
        </is>
      </c>
      <c r="H73" s="6" t="inlineStr">
        <is>
          <t>LINEAGE_LOCALIZADO</t>
        </is>
      </c>
    </row>
    <row r="74">
      <c r="A74" s="14" t="inlineStr">
        <is>
          <t>M4-V70</t>
        </is>
      </c>
      <c r="B74" s="14" t="inlineStr">
        <is>
          <t>F5</t>
        </is>
      </c>
      <c r="C74" s="14" t="inlineStr">
        <is>
          <t>Sí · matriz reconciliada histórica</t>
        </is>
      </c>
      <c r="D74" s="14" t="inlineStr">
        <is>
          <t>M4-RN-027; M4-RN-030</t>
        </is>
      </c>
      <c r="E74" s="14" t="inlineStr">
        <is>
          <t>M04-RGL-026; P4-CNT-022; M04-RGL-027; M04-RGL-031; M04-RGL-032; P4-CNT-021; P4-CNT-022</t>
        </is>
      </c>
      <c r="F74" s="14" t="inlineStr">
        <is>
          <t>Cubierta con precisión adicional del cliente; Reemplazada por definición cliente</t>
        </is>
      </c>
      <c r="G74" s="6" t="inlineStr">
        <is>
          <t>Reconciliar semánticamente contra TR vigente; no identidad 1:1</t>
        </is>
      </c>
      <c r="H74" s="6" t="inlineStr">
        <is>
          <t>LINEAGE_LOCALIZADO</t>
        </is>
      </c>
    </row>
    <row r="75">
      <c r="A75" s="14" t="inlineStr">
        <is>
          <t>M4-V71</t>
        </is>
      </c>
      <c r="B75" s="14" t="inlineStr">
        <is>
          <t>F5</t>
        </is>
      </c>
      <c r="C75" s="14" t="inlineStr">
        <is>
          <t>Sí · matriz reconciliada histórica</t>
        </is>
      </c>
      <c r="D75" s="14" t="inlineStr">
        <is>
          <t>M4-RN-030; M4-RN-047</t>
        </is>
      </c>
      <c r="E75" s="14" t="inlineStr">
        <is>
          <t>M04-RGL-027; M04-RGL-031; M04-RGL-032; P4-CNT-021; P4-CNT-022; M04-RGL-036</t>
        </is>
      </c>
      <c r="F75" s="14" t="inlineStr">
        <is>
          <t>Cubierta con precisión adicional del cliente; Cubierta por contrato cliente</t>
        </is>
      </c>
      <c r="G75" s="6" t="inlineStr">
        <is>
          <t>Reconciliar semánticamente contra TR vigente; no identidad 1:1</t>
        </is>
      </c>
      <c r="H75" s="6" t="inlineStr">
        <is>
          <t>LINEAGE_LOCALIZADO</t>
        </is>
      </c>
    </row>
    <row r="76">
      <c r="A76" s="14" t="inlineStr">
        <is>
          <t>M4-V72</t>
        </is>
      </c>
      <c r="B76" s="14" t="inlineStr">
        <is>
          <t>F5</t>
        </is>
      </c>
      <c r="C76" s="14" t="inlineStr">
        <is>
          <t>Sí · matriz reconciliada histórica</t>
        </is>
      </c>
      <c r="D76" s="14" t="inlineStr">
        <is>
          <t>M4-RN-031; M4-RN-047</t>
        </is>
      </c>
      <c r="E76" s="14" t="inlineStr">
        <is>
          <t>M04-RGL-028; M04-RGL-036; M04-RGL-036</t>
        </is>
      </c>
      <c r="F76" s="14" t="inlineStr">
        <is>
          <t>Cubierta por contrato cliente</t>
        </is>
      </c>
      <c r="G76" s="6" t="inlineStr">
        <is>
          <t>Reconciliar semánticamente contra TR vigente; no identidad 1:1</t>
        </is>
      </c>
      <c r="H76" s="6" t="inlineStr">
        <is>
          <t>LINEAGE_LOCALIZADO</t>
        </is>
      </c>
    </row>
    <row r="77">
      <c r="A77" s="14" t="inlineStr">
        <is>
          <t>M4-V73</t>
        </is>
      </c>
      <c r="B77" s="14" t="inlineStr">
        <is>
          <t>F5</t>
        </is>
      </c>
      <c r="C77" s="14" t="inlineStr">
        <is>
          <t>Sí · matriz reconciliada histórica</t>
        </is>
      </c>
      <c r="D77" s="14" t="inlineStr">
        <is>
          <t>M4-RN-030; M4-RN-042</t>
        </is>
      </c>
      <c r="E77" s="14" t="inlineStr">
        <is>
          <t>01_Matriz_Trazabilidad · materialización OD/DD/RD; 06_Ajustes_Materializacion; M04-RGL-027; M04-RGL-031; M04-RGL-032; P4-CNT-021; P4-CNT-022</t>
        </is>
      </c>
      <c r="F77" s="14" t="inlineStr">
        <is>
          <t>Cubierta con precisión adicional del cliente</t>
        </is>
      </c>
      <c r="G77" s="6" t="inlineStr">
        <is>
          <t>Reconciliar semánticamente contra TR vigente; no identidad 1:1</t>
        </is>
      </c>
      <c r="H77" s="6" t="inlineStr">
        <is>
          <t>LINEAGE_LOCALIZADO</t>
        </is>
      </c>
    </row>
    <row r="78">
      <c r="A78" s="14" t="inlineStr">
        <is>
          <t>M4-V74</t>
        </is>
      </c>
      <c r="B78" s="14" t="inlineStr">
        <is>
          <t>F5</t>
        </is>
      </c>
      <c r="C78" s="14" t="inlineStr">
        <is>
          <t>Sí · matriz reconciliada histórica</t>
        </is>
      </c>
      <c r="D78" s="14" t="inlineStr">
        <is>
          <t>M4-RN-032; M4-RN-047</t>
        </is>
      </c>
      <c r="E78" s="14" t="inlineStr">
        <is>
          <t>M04-RGL-034; P4-CNT-023; M04-RGL-036</t>
        </is>
      </c>
      <c r="F78" s="14" t="inlineStr">
        <is>
          <t>Cubierta con precisión adicional del cliente; Cubierta por contrato cliente</t>
        </is>
      </c>
      <c r="G78" s="6" t="inlineStr">
        <is>
          <t>Reconciliar semánticamente contra TR vigente; no identidad 1:1</t>
        </is>
      </c>
      <c r="H78" s="6" t="inlineStr">
        <is>
          <t>LINEAGE_LOCALIZADO</t>
        </is>
      </c>
    </row>
    <row r="79">
      <c r="A79" s="14" t="inlineStr">
        <is>
          <t>M4-V75</t>
        </is>
      </c>
      <c r="B79" s="14" t="inlineStr">
        <is>
          <t>F5</t>
        </is>
      </c>
      <c r="C79" s="14" t="inlineStr">
        <is>
          <t>Sí · matriz reconciliada histórica</t>
        </is>
      </c>
      <c r="D79" s="14" t="inlineStr">
        <is>
          <t>M4-RN-032; M4-RN-033</t>
        </is>
      </c>
      <c r="E79" s="14" t="inlineStr">
        <is>
          <t>M04-RGL-006; M04-RGL-030; M04-RGL-033; P4-CNT-018; P4-CNT-019; P4-CNT-020; M04-RGL-034; P4-CNT-023</t>
        </is>
      </c>
      <c r="F79" s="14" t="inlineStr">
        <is>
          <t>Cubierta con precisión adicional del cliente; Reemplazada por definición cliente</t>
        </is>
      </c>
      <c r="G79" s="6" t="inlineStr">
        <is>
          <t>Reconciliar semánticamente contra TR vigente; no identidad 1:1</t>
        </is>
      </c>
      <c r="H79" s="6" t="inlineStr">
        <is>
          <t>LINEAGE_LOCALIZADO</t>
        </is>
      </c>
    </row>
    <row r="80">
      <c r="A80" s="14" t="inlineStr">
        <is>
          <t>M4-V76</t>
        </is>
      </c>
      <c r="B80" s="14" t="inlineStr">
        <is>
          <t>F5</t>
        </is>
      </c>
      <c r="C80" s="14" t="inlineStr">
        <is>
          <t>Sí · matriz reconciliada histórica</t>
        </is>
      </c>
      <c r="D80" s="14" t="inlineStr">
        <is>
          <t>M4-RN-034; R-TC-007</t>
        </is>
      </c>
      <c r="E80" s="14" t="inlineStr">
        <is>
          <t>M04-RGL-041; P4-CNT-006; P4-CNT-015</t>
        </is>
      </c>
      <c r="F80" s="14" t="inlineStr">
        <is>
          <t>Cubierta con precisión adicional del cliente</t>
        </is>
      </c>
      <c r="G80" s="6" t="inlineStr">
        <is>
          <t>Reconciliar semánticamente contra TR vigente; no identidad 1:1</t>
        </is>
      </c>
      <c r="H80" s="6" t="inlineStr">
        <is>
          <t>LINEAGE_LOCALIZADO</t>
        </is>
      </c>
    </row>
    <row r="81">
      <c r="A81" s="14" t="inlineStr">
        <is>
          <t>M4-V77</t>
        </is>
      </c>
      <c r="B81" s="14" t="inlineStr">
        <is>
          <t>F5</t>
        </is>
      </c>
      <c r="C81" s="14" t="inlineStr">
        <is>
          <t>Sí · matriz reconciliada histórica</t>
        </is>
      </c>
      <c r="D81" s="14" t="inlineStr">
        <is>
          <t>M4-RN-036</t>
        </is>
      </c>
      <c r="E81" s="14" t="inlineStr">
        <is>
          <t>M04-RGL-041; P4-CNT-015</t>
        </is>
      </c>
      <c r="F81" s="14" t="inlineStr">
        <is>
          <t>Cubierta por contrato cliente</t>
        </is>
      </c>
      <c r="G81" s="6" t="inlineStr">
        <is>
          <t>Reconciliar semánticamente contra TR vigente; no identidad 1:1</t>
        </is>
      </c>
      <c r="H81" s="6" t="inlineStr">
        <is>
          <t>LINEAGE_LOCALIZADO</t>
        </is>
      </c>
    </row>
    <row r="82">
      <c r="A82" s="14" t="inlineStr">
        <is>
          <t>M4-V78</t>
        </is>
      </c>
      <c r="B82" s="14" t="inlineStr">
        <is>
          <t>F5</t>
        </is>
      </c>
      <c r="C82" s="14" t="inlineStr">
        <is>
          <t>Sí · matriz reconciliada histórica</t>
        </is>
      </c>
      <c r="D82" s="14" t="inlineStr">
        <is>
          <t>M4-RN-017; R-TC-007</t>
        </is>
      </c>
      <c r="E82" s="14" t="inlineStr">
        <is>
          <t>M04-RGL-015; M04-RGL-038; P4-CNT-007; P4-CNT-016; M04-RGL-041; P4-CNT-006; P4-CNT-015</t>
        </is>
      </c>
      <c r="F82" s="14" t="inlineStr">
        <is>
          <t>Cubierta con precisión adicional del cliente; Reemplazada por definición cliente</t>
        </is>
      </c>
      <c r="G82" s="6" t="inlineStr">
        <is>
          <t>Reconciliar semánticamente contra TR vigente; no identidad 1:1</t>
        </is>
      </c>
      <c r="H82" s="6" t="inlineStr">
        <is>
          <t>LINEAGE_LOCALIZADO</t>
        </is>
      </c>
    </row>
    <row r="83">
      <c r="A83" s="14" t="inlineStr">
        <is>
          <t>M4-V79</t>
        </is>
      </c>
      <c r="B83" s="14" t="inlineStr">
        <is>
          <t>F5</t>
        </is>
      </c>
      <c r="C83" s="14" t="inlineStr">
        <is>
          <t>Sí · matriz reconciliada histórica</t>
        </is>
      </c>
      <c r="D83" s="14" t="inlineStr">
        <is>
          <t>M4-RN-035; R-TC-007</t>
        </is>
      </c>
      <c r="E83" s="14" t="inlineStr">
        <is>
          <t>M04-RGL-041; P4-CNT-006; P4-CNT-015</t>
        </is>
      </c>
      <c r="F83" s="14" t="inlineStr">
        <is>
          <t>Cubierta con precisión adicional del cliente; Reemplazada por definición cliente</t>
        </is>
      </c>
      <c r="G83" s="6" t="inlineStr">
        <is>
          <t>Reconciliar semánticamente contra TR vigente; no identidad 1:1</t>
        </is>
      </c>
      <c r="H83" s="6" t="inlineStr">
        <is>
          <t>LINEAGE_LOCALIZADO</t>
        </is>
      </c>
    </row>
    <row r="84">
      <c r="A84" s="14" t="inlineStr">
        <is>
          <t>M4-V80</t>
        </is>
      </c>
      <c r="B84" s="14" t="inlineStr">
        <is>
          <t>F5</t>
        </is>
      </c>
      <c r="C84" s="14" t="inlineStr">
        <is>
          <t>Sí · matriz reconciliada histórica</t>
        </is>
      </c>
      <c r="D84" s="14" t="inlineStr">
        <is>
          <t>R-TC-004; R-TC-007</t>
        </is>
      </c>
      <c r="E84" s="14" t="inlineStr">
        <is>
          <t>M04-RGL-041; P4-CNT-006; P4-CNT-015; M04-RGL-041; P4-CNT-015</t>
        </is>
      </c>
      <c r="F84" s="14" t="inlineStr">
        <is>
          <t>Complemento a confirmar; Cubierta con precisión adicional del cliente</t>
        </is>
      </c>
      <c r="G84" s="6" t="inlineStr">
        <is>
          <t>Reconciliar semánticamente contra TR vigente; no identidad 1:1</t>
        </is>
      </c>
      <c r="H84" s="6" t="inlineStr">
        <is>
          <t>LINEAGE_LOCALIZADO</t>
        </is>
      </c>
    </row>
    <row r="85">
      <c r="A85" s="14" t="inlineStr">
        <is>
          <t>M4-V81</t>
        </is>
      </c>
      <c r="B85" s="14" t="inlineStr">
        <is>
          <t>F5</t>
        </is>
      </c>
      <c r="C85" s="14" t="inlineStr">
        <is>
          <t>Sí · matriz reconciliada histórica</t>
        </is>
      </c>
      <c r="D85" s="14" t="inlineStr">
        <is>
          <t>R-CMF-001; R-CMF-002</t>
        </is>
      </c>
      <c r="E85" s="14" t="inlineStr">
        <is>
          <t>M04-RGL-004; P4-CNT-024</t>
        </is>
      </c>
      <c r="F85" s="14" t="inlineStr">
        <is>
          <t>Complemento a confirmar</t>
        </is>
      </c>
      <c r="G85" s="6" t="inlineStr">
        <is>
          <t>Reconciliar semánticamente contra TR vigente; no identidad 1:1</t>
        </is>
      </c>
      <c r="H85" s="6" t="inlineStr">
        <is>
          <t>LINEAGE_LOCALIZADO</t>
        </is>
      </c>
    </row>
    <row r="86">
      <c r="A86" s="14" t="inlineStr">
        <is>
          <t>M4-V82</t>
        </is>
      </c>
      <c r="B86" s="14" t="inlineStr">
        <is>
          <t>F5</t>
        </is>
      </c>
      <c r="C86" s="14" t="inlineStr">
        <is>
          <t>Sí · matriz reconciliada histórica</t>
        </is>
      </c>
      <c r="D86" s="14" t="inlineStr">
        <is>
          <t>R-CMF-002; R-CMF-003</t>
        </is>
      </c>
      <c r="E86" s="14" t="inlineStr">
        <is>
          <t>M04-RGL-004; P4-CNT-024; M04-RGL-016; M04-RGL-038; P4-CNT-006; P4-CNT-016; P4-CNT-017</t>
        </is>
      </c>
      <c r="F86" s="14" t="inlineStr">
        <is>
          <t>Complemento a confirmar</t>
        </is>
      </c>
      <c r="G86" s="6" t="inlineStr">
        <is>
          <t>Reconciliar semánticamente contra TR vigente; no identidad 1:1</t>
        </is>
      </c>
      <c r="H86" s="6" t="inlineStr">
        <is>
          <t>LINEAGE_LOCALIZADO</t>
        </is>
      </c>
    </row>
    <row r="87">
      <c r="A87" s="14" t="inlineStr">
        <is>
          <t>M4-V83</t>
        </is>
      </c>
      <c r="B87" s="14" t="inlineStr">
        <is>
          <t>F5</t>
        </is>
      </c>
      <c r="C87" s="14" t="inlineStr">
        <is>
          <t>Sí · matriz reconciliada histórica</t>
        </is>
      </c>
      <c r="D87" s="14" t="inlineStr">
        <is>
          <t>M4-RN-048; R-CMF-001; R-TC-002; R-TC-003</t>
        </is>
      </c>
      <c r="E87" s="14" t="inlineStr">
        <is>
          <t>M04-RGL-004; M04-RGL-041; P4-CNT-024; M04-RGL-004; P4-CNT-024; M04-RGL-041; P4-CNT-015</t>
        </is>
      </c>
      <c r="F87" s="14" t="inlineStr">
        <is>
          <t>Complemento a confirmar</t>
        </is>
      </c>
      <c r="G87" s="6" t="inlineStr">
        <is>
          <t>Reconciliar semánticamente contra TR vigente; no identidad 1:1</t>
        </is>
      </c>
      <c r="H87" s="6" t="inlineStr">
        <is>
          <t>LINEAGE_LOCALIZADO</t>
        </is>
      </c>
    </row>
    <row r="88">
      <c r="A88" s="14" t="inlineStr">
        <is>
          <t>M4-V84</t>
        </is>
      </c>
      <c r="B88" s="14" t="inlineStr">
        <is>
          <t>F5</t>
        </is>
      </c>
      <c r="C88" s="14" t="inlineStr">
        <is>
          <t>Sí · matriz reconciliada histórica</t>
        </is>
      </c>
      <c r="D88" s="14" t="inlineStr">
        <is>
          <t>M4-RN-038; R-TC-007</t>
        </is>
      </c>
      <c r="E88" s="14" t="inlineStr">
        <is>
          <t>M04-RGL-041; P4-CNT-006; P4-CNT-015</t>
        </is>
      </c>
      <c r="F88" s="14" t="inlineStr">
        <is>
          <t>Cubierta con precisión adicional del cliente</t>
        </is>
      </c>
      <c r="G88" s="6" t="inlineStr">
        <is>
          <t>Reconciliar semánticamente contra TR vigente; no identidad 1:1</t>
        </is>
      </c>
      <c r="H88" s="6" t="inlineStr">
        <is>
          <t>LINEAGE_LOCALIZADO</t>
        </is>
      </c>
    </row>
    <row r="89">
      <c r="A89" s="14" t="inlineStr">
        <is>
          <t>M4-V85</t>
        </is>
      </c>
      <c r="B89" s="14" t="inlineStr">
        <is>
          <t>F5</t>
        </is>
      </c>
      <c r="C89" s="14" t="inlineStr">
        <is>
          <t>Sí · matriz reconciliada histórica</t>
        </is>
      </c>
      <c r="D89" s="14" t="inlineStr">
        <is>
          <t>M4-RN-049</t>
        </is>
      </c>
      <c r="E89" s="14" t="inlineStr">
        <is>
          <t>M04-RGL-016; 05_Condiciones_y_Limites</t>
        </is>
      </c>
      <c r="F89" s="14" t="inlineStr">
        <is>
          <t>Cubierta por contrato cliente</t>
        </is>
      </c>
      <c r="G89" s="6" t="inlineStr">
        <is>
          <t>Reconciliar semánticamente contra TR vigente; no identidad 1:1</t>
        </is>
      </c>
      <c r="H89" s="6" t="inlineStr">
        <is>
          <t>LINEAGE_LOCALIZADO</t>
        </is>
      </c>
    </row>
    <row r="90">
      <c r="A90" s="14" t="inlineStr">
        <is>
          <t>M4-V86</t>
        </is>
      </c>
      <c r="B90" s="14" t="inlineStr">
        <is>
          <t>F5</t>
        </is>
      </c>
      <c r="C90" s="14" t="inlineStr">
        <is>
          <t>Sí · matriz reconciliada histórica</t>
        </is>
      </c>
      <c r="D90" s="14" t="inlineStr">
        <is>
          <t>M4-RN-018; M4-RN-050</t>
        </is>
      </c>
      <c r="E90" s="14" t="inlineStr">
        <is>
          <t>M04-RGL-014; M04-RGL-015; P4-CNT-001; P4-CNT-018; P4-CNT-001; P4-CNT-008; M04-RGL-039</t>
        </is>
      </c>
      <c r="F90" s="14" t="inlineStr">
        <is>
          <t>Reemplazada por definición cliente</t>
        </is>
      </c>
      <c r="G90" s="6" t="inlineStr">
        <is>
          <t>Reconciliar semánticamente contra TR vigente; no identidad 1:1</t>
        </is>
      </c>
      <c r="H90" s="6" t="inlineStr">
        <is>
          <t>LINEAGE_LOCALIZADO</t>
        </is>
      </c>
    </row>
    <row r="91">
      <c r="A91" s="17" t="inlineStr">
        <is>
          <t>M4-V87</t>
        </is>
      </c>
      <c r="B91" s="17" t="inlineStr">
        <is>
          <t>F1/F5 DUPLICADO</t>
        </is>
      </c>
      <c r="C91" s="17" t="inlineStr">
        <is>
          <t>Solo HTML Miguel · “Entrada directa / reingreso”</t>
        </is>
      </c>
      <c r="D91" s="17" t="inlineStr"/>
      <c r="E91" s="17" t="inlineStr"/>
      <c r="F91" s="17" t="inlineStr"/>
      <c r="G91" s="6" t="inlineStr">
        <is>
          <t>TR-M04-130 / TR-M04-131 · coincidencia semántica probable, NO identidad demostrada</t>
        </is>
      </c>
      <c r="H91" s="23" t="inlineStr">
        <is>
          <t>HTML_ONLY</t>
        </is>
      </c>
    </row>
    <row r="92">
      <c r="A92" s="17" t="inlineStr">
        <is>
          <t>M4-V88</t>
        </is>
      </c>
      <c r="B92" s="17" t="inlineStr">
        <is>
          <t>F1/F5 DUPLICADO</t>
        </is>
      </c>
      <c r="C92" s="17" t="inlineStr">
        <is>
          <t>Solo HTML Miguel · “Entrada directa / reingreso”</t>
        </is>
      </c>
      <c r="D92" s="17" t="inlineStr"/>
      <c r="E92" s="17" t="inlineStr"/>
      <c r="F92" s="17" t="inlineStr"/>
      <c r="G92" s="6" t="inlineStr">
        <is>
          <t>TR-M04-130 / TR-M04-131 · coincidencia semántica probable, NO identidad demostrada</t>
        </is>
      </c>
      <c r="H92" s="23" t="inlineStr">
        <is>
          <t>HTML_ONLY</t>
        </is>
      </c>
    </row>
    <row r="93">
      <c r="A93" s="17" t="inlineStr">
        <is>
          <t>M4-V89</t>
        </is>
      </c>
      <c r="B93" s="17" t="inlineStr">
        <is>
          <t>NO ASIGNADO</t>
        </is>
      </c>
      <c r="C93" s="17" t="inlineStr">
        <is>
          <t>No localizado en fuentes revisadas</t>
        </is>
      </c>
      <c r="D93" s="17" t="inlineStr"/>
      <c r="E93" s="17" t="inlineStr"/>
      <c r="F93" s="17" t="inlineStr"/>
      <c r="G93" s="6" t="inlineStr">
        <is>
          <t>TR-M04-132…136 existen como obligaciones vigentes, pero NO hay mapeo explícito a V89–V93</t>
        </is>
      </c>
      <c r="H93" s="24" t="inlineStr">
        <is>
          <t>SIN_FUENTE</t>
        </is>
      </c>
    </row>
    <row r="94">
      <c r="A94" s="17" t="inlineStr">
        <is>
          <t>M4-V90</t>
        </is>
      </c>
      <c r="B94" s="17" t="inlineStr">
        <is>
          <t>NO ASIGNADO</t>
        </is>
      </c>
      <c r="C94" s="17" t="inlineStr">
        <is>
          <t>No localizado en fuentes revisadas</t>
        </is>
      </c>
      <c r="D94" s="17" t="inlineStr"/>
      <c r="E94" s="17" t="inlineStr"/>
      <c r="F94" s="17" t="inlineStr"/>
      <c r="G94" s="6" t="inlineStr">
        <is>
          <t>TR-M04-132…136 existen como obligaciones vigentes, pero NO hay mapeo explícito a V89–V93</t>
        </is>
      </c>
      <c r="H94" s="24" t="inlineStr">
        <is>
          <t>SIN_FUENTE</t>
        </is>
      </c>
    </row>
    <row r="95">
      <c r="A95" s="17" t="inlineStr">
        <is>
          <t>M4-V91</t>
        </is>
      </c>
      <c r="B95" s="17" t="inlineStr">
        <is>
          <t>NO ASIGNADO</t>
        </is>
      </c>
      <c r="C95" s="17" t="inlineStr">
        <is>
          <t>No localizado en fuentes revisadas</t>
        </is>
      </c>
      <c r="D95" s="17" t="inlineStr"/>
      <c r="E95" s="17" t="inlineStr"/>
      <c r="F95" s="17" t="inlineStr"/>
      <c r="G95" s="6" t="inlineStr">
        <is>
          <t>TR-M04-132…136 existen como obligaciones vigentes, pero NO hay mapeo explícito a V89–V93</t>
        </is>
      </c>
      <c r="H95" s="24" t="inlineStr">
        <is>
          <t>SIN_FUENTE</t>
        </is>
      </c>
    </row>
    <row r="96">
      <c r="A96" s="17" t="inlineStr">
        <is>
          <t>M4-V92</t>
        </is>
      </c>
      <c r="B96" s="17" t="inlineStr">
        <is>
          <t>NO ASIGNADO</t>
        </is>
      </c>
      <c r="C96" s="17" t="inlineStr">
        <is>
          <t>No localizado en fuentes revisadas</t>
        </is>
      </c>
      <c r="D96" s="17" t="inlineStr"/>
      <c r="E96" s="17" t="inlineStr"/>
      <c r="F96" s="17" t="inlineStr"/>
      <c r="G96" s="6" t="inlineStr">
        <is>
          <t>TR-M04-132…136 existen como obligaciones vigentes, pero NO hay mapeo explícito a V89–V93</t>
        </is>
      </c>
      <c r="H96" s="24" t="inlineStr">
        <is>
          <t>SIN_FUENTE</t>
        </is>
      </c>
    </row>
    <row r="97">
      <c r="A97" s="17" t="inlineStr">
        <is>
          <t>M4-V93</t>
        </is>
      </c>
      <c r="B97" s="17" t="inlineStr">
        <is>
          <t>NO ASIGNADO</t>
        </is>
      </c>
      <c r="C97" s="17" t="inlineStr">
        <is>
          <t>No localizado en fuentes revisadas</t>
        </is>
      </c>
      <c r="D97" s="17" t="inlineStr"/>
      <c r="E97" s="17" t="inlineStr"/>
      <c r="F97" s="17" t="inlineStr"/>
      <c r="G97" s="6" t="inlineStr">
        <is>
          <t>TR-M04-132…136 existen como obligaciones vigentes, pero NO hay mapeo explícito a V89–V93</t>
        </is>
      </c>
      <c r="H97" s="24" t="inlineStr">
        <is>
          <t>SIN_FUENTE</t>
        </is>
      </c>
    </row>
  </sheetData>
  <mergeCells count="2">
    <mergeCell ref="A2:H2"/>
    <mergeCell ref="A1:H1"/>
  </mergeCells>
  <pageMargins left="0.75" right="0.75" top="1" bottom="1" header="0.5" footer="0.5"/>
  <pageSetup orientation="landscape" fitToHeight="0" fitToWidth="1"/>
  <headerFooter>
    <oddHeader/>
    <oddFooter>&amp;CWalvy · QA fases PMO · v1.0&amp;RPágina &amp;P de &amp;N</oddFooter>
    <evenHeader/>
    <evenFooter/>
    <firstHeader/>
    <firstFooter/>
  </headerFooter>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fitToPage="1"/>
  </sheetPr>
  <dimension ref="A1:H9"/>
  <sheetViews>
    <sheetView showGridLines="0" workbookViewId="0">
      <selection activeCell="A1" sqref="A1"/>
    </sheetView>
  </sheetViews>
  <sheetFormatPr baseColWidth="8" defaultRowHeight="15"/>
  <cols>
    <col width="24" customWidth="1" min="1" max="1"/>
    <col width="35" customWidth="1" min="2" max="2"/>
    <col width="44" customWidth="1" min="3" max="3"/>
    <col width="45" customWidth="1" min="4" max="4"/>
    <col width="38" customWidth="1" min="5" max="5"/>
    <col width="28" customWidth="1" min="6" max="6"/>
    <col width="45" customWidth="1" min="7" max="7"/>
    <col width="48" customWidth="1" min="8" max="8"/>
  </cols>
  <sheetData>
    <row r="1" ht="26" customHeight="1">
      <c r="A1" s="1" t="inlineStr">
        <is>
          <t>Modelo operativo de fases y gates</t>
        </is>
      </c>
    </row>
    <row r="2" ht="32" customHeight="1">
      <c r="A2" s="2" t="inlineStr">
        <is>
          <t>Una variante puede pasar un gate funcional y volver a ejecutarse en un gate E2E/regresión. F4/F5 no deben volver a contarse como nuevos IDs.</t>
        </is>
      </c>
    </row>
    <row r="4" ht="34" customHeight="1">
      <c r="A4" s="7" t="inlineStr">
        <is>
          <t>Gate</t>
        </is>
      </c>
      <c r="B4" s="7" t="inlineStr">
        <is>
          <t>Objetivo</t>
        </is>
      </c>
      <c r="C4" s="7" t="inlineStr">
        <is>
          <t>Prerequisito</t>
        </is>
      </c>
      <c r="D4" s="7" t="inlineStr">
        <is>
          <t>Qué puede certificar QA</t>
        </is>
      </c>
      <c r="E4" s="7" t="inlineStr">
        <is>
          <t>Qué NO certifica</t>
        </is>
      </c>
      <c r="F4" s="7" t="inlineStr">
        <is>
          <t>Resultado permitido</t>
        </is>
      </c>
      <c r="G4" s="7" t="inlineStr">
        <is>
          <t>Ejemplo</t>
        </is>
      </c>
      <c r="H4" s="7" t="inlineStr">
        <is>
          <t>Regla operativa</t>
        </is>
      </c>
    </row>
    <row r="5">
      <c r="A5" s="10" t="inlineStr">
        <is>
          <t>F1 · QA funcional local</t>
        </is>
      </c>
      <c r="B5" s="6" t="inlineStr">
        <is>
          <t>Validar lógica owner-local y payloads producidos.</t>
        </is>
      </c>
      <c r="C5" s="6" t="inlineStr">
        <is>
          <t>Release contiene comportamiento del módulo + datos locales/fixtures propios.</t>
        </is>
      </c>
      <c r="D5" s="6" t="inlineStr">
        <is>
          <t>Regla, estado, CTA, lifecycle, guardrail, payload producer.</t>
        </is>
      </c>
      <c r="E5" s="6" t="inlineStr">
        <is>
          <t>Entrega/consumo real por otro módulo.</t>
        </is>
      </c>
      <c r="F5" s="6" t="inlineStr">
        <is>
          <t>PASS_FUNCIONAL_LOCAL</t>
        </is>
      </c>
      <c r="G5" s="6" t="inlineStr">
        <is>
          <t>M6-V42 produce evento M05; se valida payload sin esperar M05.</t>
        </is>
      </c>
      <c r="H5" s="6" t="inlineStr">
        <is>
          <t>Output downstream NO es dependencia de entrada.</t>
        </is>
      </c>
    </row>
    <row r="6">
      <c r="A6" s="3" t="inlineStr">
        <is>
          <t>F2 · Fixture cross-contract</t>
        </is>
      </c>
      <c r="B6" s="6" t="inlineStr">
        <is>
          <t>Validar consumidor usando contrato upstream cerrado.</t>
        </is>
      </c>
      <c r="C6" s="6" t="inlineStr">
        <is>
          <t>Contrato upstream determinista + fixture/oráculo versionado.</t>
        </is>
      </c>
      <c r="D6" s="6" t="inlineStr">
        <is>
          <t>Interpretación, cálculo y bordes del consumidor.</t>
        </is>
      </c>
      <c r="E6" s="6" t="inlineStr">
        <is>
          <t>Transporte/producer runtime real.</t>
        </is>
      </c>
      <c r="F6" s="6" t="inlineStr">
        <is>
          <t>PASS_FUNCIONAL_CONTRATO</t>
        </is>
      </c>
      <c r="G6" s="6" t="inlineStr">
        <is>
          <t>M04 consume headroom M05; inyectar POSITIVE/ZERO/NOT_EVALUABLE.</t>
        </is>
      </c>
      <c r="H6" s="6" t="inlineStr">
        <is>
          <t>Fixture debe reproducir exactamente el contrato owner.</t>
        </is>
      </c>
    </row>
    <row r="7">
      <c r="A7" s="10" t="inlineStr">
        <is>
          <t>F3 · M02/M03 / superficie</t>
        </is>
      </c>
      <c r="B7" s="6" t="inlineStr">
        <is>
          <t>Validar Home, Perfil, avisos/canales y prioridad/superficie.</t>
        </is>
      </c>
      <c r="C7" s="6" t="inlineStr">
        <is>
          <t>M02/M03/superficie disponible en ambiente QA; producer payload válido.</t>
        </is>
      </c>
      <c r="D7" s="6" t="inlineStr">
        <is>
          <t>Representación, CTA, canal/permisos, dedupe/surface según contrato.</t>
        </is>
      </c>
      <c r="E7" s="6" t="inlineStr">
        <is>
          <t>Integraciones M04↔M05↔M06 no relacionadas.</t>
        </is>
      </c>
      <c r="F7" s="6" t="inlineStr">
        <is>
          <t>PASS_SUPERFICIE</t>
        </is>
      </c>
      <c r="G7" s="6" t="inlineStr">
        <is>
          <t>M6-V39 candidato Home; M03 decide superficie.</t>
        </is>
      </c>
      <c r="H7" s="6" t="inlineStr">
        <is>
          <t>El productor puede tener PASS previo; la superficie no.</t>
        </is>
      </c>
    </row>
    <row r="8">
      <c r="A8" s="3" t="inlineStr">
        <is>
          <t>F4 · E2E real</t>
        </is>
      </c>
      <c r="B8" s="6" t="inlineStr">
        <is>
          <t>Confirmar integración real entre owners.</t>
        </is>
      </c>
      <c r="C8" s="6" t="inlineStr">
        <is>
          <t>Producer y consumer reales, contrato/versiones alineados, ambiente.</t>
        </is>
      </c>
      <c r="D8" s="6" t="inlineStr">
        <is>
          <t>Transporte, idempotencia, dedupe, propagación y consumo real.</t>
        </is>
      </c>
      <c r="E8" s="6" t="inlineStr">
        <is>
          <t>Regresión total del producto.</t>
        </is>
      </c>
      <c r="F8" s="6" t="inlineStr">
        <is>
          <t>PASS_INTEGRACION_E2E</t>
        </is>
      </c>
      <c r="G8" s="6" t="inlineStr">
        <is>
          <t>M06 payment/cycle → M04 D/aging; M05 headroom → M04 K.</t>
        </is>
      </c>
      <c r="H8" s="6" t="inlineStr">
        <is>
          <t>Reejecuta IDs ya probados; no crea una nueva bolsa.</t>
        </is>
      </c>
    </row>
    <row r="9">
      <c r="A9" s="10" t="inlineStr">
        <is>
          <t>F5 · Regresión final</t>
        </is>
      </c>
      <c r="B9" s="6" t="inlineStr">
        <is>
          <t>Proteger release candidato y journeys críticos.</t>
        </is>
      </c>
      <c r="C9" s="6" t="inlineStr">
        <is>
          <t>F1-F4 aplicables cerrados o residual explícitamente aceptado.</t>
        </is>
      </c>
      <c r="D9" s="6" t="inlineStr">
        <is>
          <t>Smoke contractual + journeys completos de mayor riesgo.</t>
        </is>
      </c>
      <c r="E9" s="6" t="inlineStr">
        <is>
          <t>No reabre Producto ni reemplaza QA de fase anterior.</t>
        </is>
      </c>
      <c r="F9" s="6" t="inlineStr">
        <is>
          <t>PASS_REGRESION_RELEASE</t>
        </is>
      </c>
      <c r="G9" s="6" t="inlineStr">
        <is>
          <t>Carga → evaluación → Ruta → pago → recálculo → Home/Perfil.</t>
        </is>
      </c>
      <c r="H9" s="6" t="inlineStr">
        <is>
          <t>Selección por riesgo; conservar trazabilidad al ID original.</t>
        </is>
      </c>
    </row>
  </sheetData>
  <mergeCells count="2">
    <mergeCell ref="A2:H2"/>
    <mergeCell ref="A1:H1"/>
  </mergeCells>
  <pageMargins left="0.75" right="0.75" top="1" bottom="1" header="0.5" footer="0.5"/>
  <pageSetup orientation="landscape" fitToHeight="0" fitToWidth="1"/>
  <headerFooter>
    <oddHeader/>
    <oddFooter>&amp;CWalvy · QA fases PMO · v1.0&amp;RPágina &amp;P de &amp;N</oddFooter>
    <evenHeader/>
    <evenFooter/>
    <firstHeader/>
    <firstFooter/>
  </headerFooter>
</worksheet>
</file>

<file path=xl/worksheets/sheet6.xml><?xml version="1.0" encoding="utf-8"?>
<worksheet xmlns="http://schemas.openxmlformats.org/spreadsheetml/2006/main">
  <sheetPr>
    <outlinePr summaryBelow="1" summaryRight="1"/>
    <pageSetUpPr fitToPage="1"/>
  </sheetPr>
  <dimension ref="A1:F13"/>
  <sheetViews>
    <sheetView showGridLines="0" workbookViewId="0">
      <selection activeCell="A1" sqref="A1"/>
    </sheetView>
  </sheetViews>
  <sheetFormatPr baseColWidth="8" defaultRowHeight="15"/>
  <cols>
    <col width="55" customWidth="1" min="1" max="1"/>
    <col width="28" customWidth="1" min="2" max="2"/>
    <col width="24" customWidth="1" min="3" max="3"/>
    <col width="48" customWidth="1" min="4" max="4"/>
    <col width="78" customWidth="1" min="5" max="5"/>
    <col width="48" customWidth="1" min="6" max="6"/>
  </cols>
  <sheetData>
    <row r="1" ht="26" customHeight="1">
      <c r="A1" s="1" t="inlineStr">
        <is>
          <t>Fuentes y autoridad</t>
        </is>
      </c>
    </row>
    <row r="2" ht="32" customHeight="1">
      <c r="A2" s="2" t="inlineStr">
        <is>
          <t>Las fuentes finales gobiernan la semántica actual. Historial y conciliación explican lineage/supersession; el HTML de Miguel es una propuesta a evaluar.</t>
        </is>
      </c>
    </row>
    <row r="4" ht="34" customHeight="1">
      <c r="A4" s="7" t="inlineStr">
        <is>
          <t>Fuente</t>
        </is>
      </c>
      <c r="B4" s="7" t="inlineStr">
        <is>
          <t>Rol</t>
        </is>
      </c>
      <c r="C4" s="7" t="inlineStr">
        <is>
          <t>Autoridad en este análisis</t>
        </is>
      </c>
      <c r="D4" s="7" t="inlineStr">
        <is>
          <t>Uso</t>
        </is>
      </c>
      <c r="E4" s="7" t="inlineStr">
        <is>
          <t>URL / ruta</t>
        </is>
      </c>
      <c r="F4" s="7" t="inlineStr">
        <is>
          <t>Nota</t>
        </is>
      </c>
    </row>
    <row r="5">
      <c r="A5" s="6" t="inlineStr">
        <is>
          <t>plan_fases_qa_pmo.html</t>
        </is>
      </c>
      <c r="B5" s="6" t="inlineStr">
        <is>
          <t>Propuesta Kabeli/PMO</t>
        </is>
      </c>
      <c r="C5" s="25" t="inlineStr">
        <is>
          <t>No autoritativa</t>
        </is>
      </c>
      <c r="D5" s="6" t="inlineStr">
        <is>
          <t>Fases Miguel, conteos, exclusiones y preguntas PMO</t>
        </is>
      </c>
      <c r="E5" s="6" t="inlineStr">
        <is>
          <t>Adjunto conversación: plan_fases_qa_pmo.html</t>
        </is>
      </c>
      <c r="F5" s="6" t="inlineStr">
        <is>
          <t>El footer menciona matriz_fase01.csv, pero ese archivo separado no está adjunto.</t>
        </is>
      </c>
    </row>
    <row r="6">
      <c r="A6" s="6" t="inlineStr">
        <is>
          <t>Walvy_M04_Matriz_Trazabilidad_Cliente_v1.3.xlsx</t>
        </is>
      </c>
      <c r="B6" s="6" t="inlineStr">
        <is>
          <t>Contrato vigente M04</t>
        </is>
      </c>
      <c r="C6" s="13" t="inlineStr">
        <is>
          <t>Alta</t>
        </is>
      </c>
      <c r="D6" s="6" t="inlineStr">
        <is>
          <t>93 Trace IDs TR-M04-044…136; owner/dependencias/criterios</t>
        </is>
      </c>
      <c r="E6" s="6" t="inlineStr">
        <is>
          <t>Dentro de Entrega_Kabeli_2.0_M04_v1.3_FINAL(2).zip</t>
        </is>
      </c>
      <c r="F6" s="6" t="inlineStr">
        <is>
          <t>ID vigente M04 = Trace ID, no M4-V.</t>
        </is>
      </c>
    </row>
    <row r="7">
      <c r="A7" s="6" t="inlineStr">
        <is>
          <t>Walvy_M5_Matriz_Trazabilidad_Cliente_v1.2_RESPUESTA_WALVY.xlsx</t>
        </is>
      </c>
      <c r="B7" s="6" t="inlineStr">
        <is>
          <t>Contrato vigente M05</t>
        </is>
      </c>
      <c r="C7" s="13" t="inlineStr">
        <is>
          <t>Alta</t>
        </is>
      </c>
      <c r="D7" s="6" t="inlineStr">
        <is>
          <t>34 variantes M5-V01…V34</t>
        </is>
      </c>
      <c r="E7" s="6" t="inlineStr">
        <is>
          <t>Dentro de Entrega_Kabeli_2.0_M05_v1.2_FINAL(1).zip</t>
        </is>
      </c>
      <c r="F7" s="6" t="inlineStr">
        <is>
          <t>Preservar owner M05 del outcome prudencial.</t>
        </is>
      </c>
    </row>
    <row r="8">
      <c r="A8" s="6" t="inlineStr">
        <is>
          <t>Walvy_M6_Matriz_Trazabilidad_Cliente_v1.0_RESPUESTA_WALVY.xlsx</t>
        </is>
      </c>
      <c r="B8" s="6" t="inlineStr">
        <is>
          <t>Contrato vigente M06</t>
        </is>
      </c>
      <c r="C8" s="13" t="inlineStr">
        <is>
          <t>Alta</t>
        </is>
      </c>
      <c r="D8" s="6" t="inlineStr">
        <is>
          <t>59 variantes M6-V01…V59</t>
        </is>
      </c>
      <c r="E8" s="6" t="inlineStr">
        <is>
          <t>Dentro de Walvy_M06_Entrega_Kabeli_v1.0(4).zip</t>
        </is>
      </c>
      <c r="F8" s="6" t="inlineStr">
        <is>
          <t>R18 lineage interno; externo M06 v1.0.</t>
        </is>
      </c>
    </row>
    <row r="9">
      <c r="A9" s="6" t="inlineStr">
        <is>
          <t>M02_M03_M04_M05_M06_Matriz_Transversal_v1.1.csv</t>
        </is>
      </c>
      <c r="B9" s="6" t="inlineStr">
        <is>
          <t>Contrato transversal M02</t>
        </is>
      </c>
      <c r="C9" s="13" t="inlineStr">
        <is>
          <t>Alta en su dominio</t>
        </is>
      </c>
      <c r="D9" s="6" t="inlineStr">
        <is>
          <t>Canales/preferencias/consumidores M02-M03</t>
        </is>
      </c>
      <c r="E9" s="6" t="inlineStr">
        <is>
          <t>Dentro de Entrega_Kabeli_2.0_M02_v1.1_20260915(3).zip</t>
        </is>
      </c>
      <c r="F9" s="6" t="inlineStr">
        <is>
          <t>No trasladar ownership productor a M02.</t>
        </is>
      </c>
    </row>
    <row r="10">
      <c r="A10" s="6" t="inlineStr">
        <is>
          <t>M06_M03_M02_Matriz_Transversal_v1.0.csv</t>
        </is>
      </c>
      <c r="B10" s="6" t="inlineStr">
        <is>
          <t>Contrato transversal M06</t>
        </is>
      </c>
      <c r="C10" s="13" t="inlineStr">
        <is>
          <t>Alta en su dominio</t>
        </is>
      </c>
      <c r="D10" s="6" t="inlineStr">
        <is>
          <t>Producer/consumer, E2E, avisos/Home/Perfil</t>
        </is>
      </c>
      <c r="E10" s="6" t="inlineStr">
        <is>
          <t>Dentro de Walvy_M06_Entrega_Kabeli_v1.0(4).zip</t>
        </is>
      </c>
      <c r="F10" s="6" t="inlineStr">
        <is>
          <t>Clave para distinguir output vs input.</t>
        </is>
      </c>
    </row>
    <row r="11">
      <c r="A11" s="6" t="inlineStr">
        <is>
          <t>Walvy_M04_M05_M06_Conciliacion_Respuesta_Walvy_v1.0.xlsx</t>
        </is>
      </c>
      <c r="B11" s="6" t="inlineStr">
        <is>
          <t>Conciliación transversal</t>
        </is>
      </c>
      <c r="C11" s="13" t="inlineStr">
        <is>
          <t>Alta para delta/provenance</t>
        </is>
      </c>
      <c r="D11" s="6" t="inlineStr">
        <is>
          <t>57 deltas, cambio de owner, explicitación, supersession</t>
        </is>
      </c>
      <c r="E11" s="6" t="inlineStr">
        <is>
          <t>https://edificateinteligente.sharepoint.com/sites/DesarrollodeProductos-Servicios/Shared%20Documents/General/Desarrollo%20app%20Kabeli/01%20Entrega%20de%20Modulos%20-%20Kabeli/Reconciliaci%C3%B3n%20M04-M06/v1.0/Walvy_M04_M05_M06_Conciliacion_Respuesta_Walvy_v1.0.xlsx?web=1</t>
        </is>
      </c>
      <c r="F11" s="6" t="inlineStr">
        <is>
          <t>No sustituye universos completos.</t>
        </is>
      </c>
    </row>
    <row r="12">
      <c r="A12" s="6" t="inlineStr">
        <is>
          <t>Walvy_M04_Matriz_Reconciliada_Producto_v1.0_respuesta.xlsx</t>
        </is>
      </c>
      <c r="B12" s="6" t="inlineStr">
        <is>
          <t>Lineage M04 legacy</t>
        </is>
      </c>
      <c r="C12" s="25" t="inlineStr">
        <is>
          <t>Histórica / soporte</t>
        </is>
      </c>
      <c r="D12" s="6" t="inlineStr">
        <is>
          <t>Mapeo M4-V01…V86 a RN/reglas reconciliadas</t>
        </is>
      </c>
      <c r="E12" s="6" t="inlineStr">
        <is>
          <t>SharePoint Construyendo M04 / archivo histórico</t>
        </is>
      </c>
      <c r="F12" s="6" t="inlineStr">
        <is>
          <t>No usar para inventar V87–V93 ni superseder v1.3.</t>
        </is>
      </c>
    </row>
    <row r="13">
      <c r="A13" s="6" t="inlineStr">
        <is>
          <t>Outlook · metodología releases 2026-09-15</t>
        </is>
      </c>
      <c r="B13" s="6" t="inlineStr">
        <is>
          <t>Operación QA</t>
        </is>
      </c>
      <c r="C13" s="13" t="inlineStr">
        <is>
          <t>Alta operativa</t>
        </is>
      </c>
      <c r="D13" s="6" t="inlineStr">
        <is>
          <t>PR → main → release explícito → TestFlight/Play Internal → QA</t>
        </is>
      </c>
      <c r="E13" s="6" t="inlineStr">
        <is>
          <t>Outlook: RE: Entrega Módulo 2 _ 02092026</t>
        </is>
      </c>
      <c r="F13" s="6" t="inlineStr">
        <is>
          <t>Merge main no cambia automáticamente app en prueba.</t>
        </is>
      </c>
    </row>
  </sheetData>
  <mergeCells count="2">
    <mergeCell ref="A2:F2"/>
    <mergeCell ref="A1:F1"/>
  </mergeCells>
  <pageMargins left="0.75" right="0.75" top="1" bottom="1" header="0.5" footer="0.5"/>
  <pageSetup orientation="landscape" fitToHeight="0" fitToWidth="1"/>
  <headerFooter>
    <oddHeader/>
    <oddFooter>&amp;CWalvy · QA fases PMO · v1.0&amp;RPágina &amp;P de &amp;N</oddFooter>
    <evenHeader/>
    <evenFooter/>
    <firstHeader/>
    <firstFooter/>
  </headerFooter>
</worksheet>
</file>

<file path=xl/worksheets/sheet7.xml><?xml version="1.0" encoding="utf-8"?>
<worksheet xmlns="http://schemas.openxmlformats.org/spreadsheetml/2006/main">
  <sheetPr>
    <outlinePr summaryBelow="1" summaryRight="1"/>
    <pageSetUpPr fitToPage="1"/>
  </sheetPr>
  <dimension ref="A1:F16"/>
  <sheetViews>
    <sheetView showGridLines="0" workbookViewId="0">
      <selection activeCell="A1" sqref="A1"/>
    </sheetView>
  </sheetViews>
  <sheetFormatPr baseColWidth="8" defaultRowHeight="15"/>
  <cols>
    <col width="34" customWidth="1" min="1" max="1"/>
    <col width="70" customWidth="1" min="2" max="2"/>
    <col width="22" customWidth="1" min="3" max="3"/>
    <col width="28" customWidth="1" min="4" max="4"/>
    <col width="14" customWidth="1" min="5" max="5"/>
    <col width="60" customWidth="1" min="6" max="6"/>
  </cols>
  <sheetData>
    <row r="1" ht="26" customHeight="1">
      <c r="A1" s="1" t="inlineStr">
        <is>
          <t>QA Zero Trust del plan</t>
        </is>
      </c>
    </row>
    <row r="2" ht="32" customHeight="1">
      <c r="A2" s="2" t="inlineStr">
        <is>
          <t>Controles de integridad del workbook y falsificación explícita del esquema de fases.</t>
        </is>
      </c>
    </row>
    <row r="4" ht="34" customHeight="1">
      <c r="A4" s="7" t="inlineStr">
        <is>
          <t>Control</t>
        </is>
      </c>
      <c r="B4" s="7" t="inlineStr">
        <is>
          <t>Fórmula / evidencia</t>
        </is>
      </c>
      <c r="C4" s="7" t="inlineStr">
        <is>
          <t>Esperado</t>
        </is>
      </c>
      <c r="D4" s="7" t="inlineStr">
        <is>
          <t>Resultado</t>
        </is>
      </c>
      <c r="E4" s="7" t="inlineStr">
        <is>
          <t>Estado</t>
        </is>
      </c>
      <c r="F4" s="7" t="inlineStr">
        <is>
          <t>Tratamiento</t>
        </is>
      </c>
    </row>
    <row r="5">
      <c r="A5" s="6" t="inlineStr">
        <is>
          <t>Universo total</t>
        </is>
      </c>
      <c r="B5" s="6">
        <f>COUNTA('01_MATRIZ_OPERATIVA_186'!$B$5:$B$190)</f>
        <v/>
      </c>
      <c r="C5" s="6" t="n">
        <v>186</v>
      </c>
      <c r="D5" s="6">
        <f>B5</f>
        <v/>
      </c>
      <c r="E5" s="13">
        <f>IF(D5=C5,"PASS","FAIL")</f>
        <v/>
      </c>
      <c r="F5" s="6" t="inlineStr">
        <is>
          <t>Debe existir exactamente una fila vigente por unidad contractual.</t>
        </is>
      </c>
    </row>
    <row r="6">
      <c r="A6" s="6" t="inlineStr">
        <is>
          <t>IDs duplicados</t>
        </is>
      </c>
      <c r="B6" s="6">
        <f>MAX('01_MATRIZ_OPERATIVA_186'!$R$5:$R$190)</f>
        <v/>
      </c>
      <c r="C6" s="6" t="n">
        <v>1</v>
      </c>
      <c r="D6" s="6">
        <f>B6</f>
        <v/>
      </c>
      <c r="E6" s="13">
        <f>IF(D6=C6,"PASS","FAIL")</f>
        <v/>
      </c>
      <c r="F6" s="6" t="inlineStr">
        <is>
          <t>Cualquier valor &gt;1 bloquea.</t>
        </is>
      </c>
    </row>
    <row r="7">
      <c r="A7" s="6" t="inlineStr">
        <is>
          <t>M04 vigente</t>
        </is>
      </c>
      <c r="B7" s="6">
        <f>COUNTIF('01_MATRIZ_OPERATIVA_186'!$A$5:$A$190,"M04")</f>
        <v/>
      </c>
      <c r="C7" s="6" t="n">
        <v>93</v>
      </c>
      <c r="D7" s="6">
        <f>B7</f>
        <v/>
      </c>
      <c r="E7" s="13">
        <f>IF(D7=C7,"PASS","FAIL")</f>
        <v/>
      </c>
      <c r="F7" s="6" t="inlineStr">
        <is>
          <t>93 Trace IDs vigentes.</t>
        </is>
      </c>
    </row>
    <row r="8">
      <c r="A8" s="6" t="inlineStr">
        <is>
          <t>M05 vigente</t>
        </is>
      </c>
      <c r="B8" s="6">
        <f>COUNTIF('01_MATRIZ_OPERATIVA_186'!$A$5:$A$190,"M05")</f>
        <v/>
      </c>
      <c r="C8" s="6" t="n">
        <v>34</v>
      </c>
      <c r="D8" s="6">
        <f>B8</f>
        <v/>
      </c>
      <c r="E8" s="13">
        <f>IF(D8=C8,"PASS","FAIL")</f>
        <v/>
      </c>
      <c r="F8" s="6" t="inlineStr">
        <is>
          <t>34 variantes.</t>
        </is>
      </c>
    </row>
    <row r="9">
      <c r="A9" s="6" t="inlineStr">
        <is>
          <t>M06 vigente</t>
        </is>
      </c>
      <c r="B9" s="6">
        <f>COUNTIF('01_MATRIZ_OPERATIVA_186'!$A$5:$A$190,"M06")</f>
        <v/>
      </c>
      <c r="C9" s="6" t="n">
        <v>59</v>
      </c>
      <c r="D9" s="6">
        <f>B9</f>
        <v/>
      </c>
      <c r="E9" s="13">
        <f>IF(D9=C9,"PASS","FAIL")</f>
        <v/>
      </c>
      <c r="F9" s="6" t="inlineStr">
        <is>
          <t>59 variantes.</t>
        </is>
      </c>
    </row>
    <row r="10">
      <c r="A10" s="6" t="inlineStr">
        <is>
          <t>Partición primaria F1/F2/F3</t>
        </is>
      </c>
      <c r="B10" s="6">
        <f>COUNTIF('01_MATRIZ_OPERATIVA_186'!$H$5:$H$190,"F1*")+COUNTIF('01_MATRIZ_OPERATIVA_186'!$H$5:$H$190,"F2*")+COUNTIF('01_MATRIZ_OPERATIVA_186'!$H$5:$H$190,"F3*")</f>
        <v/>
      </c>
      <c r="C10" s="6" t="n">
        <v>186</v>
      </c>
      <c r="D10" s="6">
        <f>B10</f>
        <v/>
      </c>
      <c r="E10" s="13">
        <f>IF(D10=C10,"PASS","FAIL")</f>
        <v/>
      </c>
      <c r="F10" s="6" t="inlineStr">
        <is>
          <t>Cada unidad tiene exactamente un primer gate de PASS.</t>
        </is>
      </c>
    </row>
    <row r="11">
      <c r="A11" s="6" t="inlineStr">
        <is>
          <t>M04 legacy sin fuente</t>
        </is>
      </c>
      <c r="B11" s="6">
        <f>COUNTIF('03_M04_CROSSWALK_LEGACY'!$H$5:$H$97,"SIN_FUENTE")</f>
        <v/>
      </c>
      <c r="C11" s="6" t="n">
        <v>5</v>
      </c>
      <c r="D11" s="6">
        <f>B11</f>
        <v/>
      </c>
      <c r="E11" s="13">
        <f>IF(D11=C11,"PASS","FAIL")</f>
        <v/>
      </c>
      <c r="F11" s="6" t="inlineStr">
        <is>
          <t>V89–V93 quedan como gap; no inventar.</t>
        </is>
      </c>
    </row>
    <row r="12">
      <c r="A12" s="6" t="inlineStr">
        <is>
          <t>M04 legacy HTML-only</t>
        </is>
      </c>
      <c r="B12" s="6">
        <f>COUNTIF('03_M04_CROSSWALK_LEGACY'!$H$5:$H$97,"HTML_ONLY")</f>
        <v/>
      </c>
      <c r="C12" s="6" t="n">
        <v>2</v>
      </c>
      <c r="D12" s="6">
        <f>B12</f>
        <v/>
      </c>
      <c r="E12" s="13">
        <f>IF(D12=C12,"PASS","FAIL")</f>
        <v/>
      </c>
      <c r="F12" s="6" t="inlineStr">
        <is>
          <t>V87–V88 no se promocionan a identidad contractual por inferencia.</t>
        </is>
      </c>
    </row>
    <row r="13">
      <c r="A13" s="6" t="inlineStr">
        <is>
          <t>Output ≠ input dependency</t>
        </is>
      </c>
      <c r="B13" s="6" t="inlineStr">
        <is>
          <t>Revisión semántica M6-V42–V47</t>
        </is>
      </c>
      <c r="C13" s="6" t="inlineStr">
        <is>
          <t>F1 producer + F4 E2E</t>
        </is>
      </c>
      <c r="D13" s="6" t="inlineStr">
        <is>
          <t>Ver 02_EXCEPCIONES_MIGUEL</t>
        </is>
      </c>
      <c r="E13" s="13">
        <f>IF(COUNTIF('02_EXCEPCIONES_MIGUEL'!$B:$B,"M6-V42–V47")=1,"PASS","FAIL")</f>
        <v/>
      </c>
      <c r="F13" s="6" t="inlineStr">
        <is>
          <t>Evita congelar productor por dependencia downstream.</t>
        </is>
      </c>
    </row>
    <row r="14">
      <c r="A14" s="6" t="inlineStr">
        <is>
          <t>Runtime/E2E no declarado</t>
        </is>
      </c>
      <c r="B14" s="6" t="inlineStr">
        <is>
          <t>Este workbook es plan documental/funcional</t>
        </is>
      </c>
      <c r="C14" s="6" t="inlineStr">
        <is>
          <t>NO PASS runtime</t>
        </is>
      </c>
      <c r="D14" s="6" t="inlineStr">
        <is>
          <t>No evaluado</t>
        </is>
      </c>
      <c r="E14" s="13">
        <f>IF(D14="No evaluado","PASS","FAIL")</f>
        <v/>
      </c>
      <c r="F14" s="6" t="inlineStr">
        <is>
          <t>No transformar contrato/documento en evidencia de ejecución.</t>
        </is>
      </c>
    </row>
    <row r="15">
      <c r="A15" s="6" t="inlineStr">
        <is>
          <t>Revisión excepciones v1.1</t>
        </is>
      </c>
      <c r="B15" s="6">
        <f>COUNTA('02_EXCEPCIONES_MIGUEL'!$J$5:$J$27)</f>
        <v/>
      </c>
      <c r="C15" s="6" t="n">
        <v>23</v>
      </c>
      <c r="D15" s="6">
        <f>B15</f>
        <v/>
      </c>
      <c r="E15" s="13">
        <f>IF(D15=C15,"PASS","FAIL")</f>
        <v/>
      </c>
      <c r="F15" s="6" t="inlineStr">
        <is>
          <t>Las 23 excepciones deben quedar con revisión explícita.</t>
        </is>
      </c>
    </row>
    <row r="16">
      <c r="A16" s="6" t="inlineStr">
        <is>
          <t>Ajustes realizados v1.1</t>
        </is>
      </c>
      <c r="B16" s="6">
        <f>COUNTIF('02_EXCEPCIONES_MIGUEL'!$J$5:$J$27,"Ajustado*")</f>
        <v/>
      </c>
      <c r="C16" s="6" t="n">
        <v>1</v>
      </c>
      <c r="D16" s="6">
        <f>B16</f>
        <v/>
      </c>
      <c r="E16" s="13">
        <f>IF(D16=C16,"PASS","FAIL")</f>
        <v/>
      </c>
      <c r="F16" s="6" t="inlineStr">
        <is>
          <t>Único ajuste material del reverse-check: M5-V20; no modifica 186 ni 122/41/23.</t>
        </is>
      </c>
    </row>
  </sheetData>
  <mergeCells count="2">
    <mergeCell ref="A2:F2"/>
    <mergeCell ref="A1:F1"/>
  </mergeCells>
  <pageMargins left="0.75" right="0.75" top="1" bottom="1" header="0.5" footer="0.5"/>
  <pageSetup orientation="landscape" fitToHeight="0" fitToWidth="1"/>
  <headerFooter>
    <oddHeader/>
    <oddFooter>&amp;CWalvy · QA fases PMO · v1.0&amp;RPágina &amp;P de &amp;N</oddFooter>
    <evenHeader/>
    <evenFooter/>
    <firstHeader/>
    <firstFooter/>
  </headerFooter>
</worksheet>
</file>

<file path=xl/worksheets/sheet8.xml><?xml version="1.0" encoding="utf-8"?>
<worksheet xmlns="http://schemas.openxmlformats.org/spreadsheetml/2006/main">
  <sheetPr>
    <outlinePr summaryBelow="1" summaryRight="1"/>
    <pageSetUpPr/>
  </sheetPr>
  <dimension ref="A1:Q189"/>
  <sheetViews>
    <sheetView workbookViewId="0">
      <pane ySplit="3" topLeftCell="A4" activePane="bottomLeft" state="frozen"/>
      <selection pane="bottomLeft" activeCell="A1" sqref="A1"/>
    </sheetView>
  </sheetViews>
  <sheetFormatPr baseColWidth="8" defaultRowHeight="15"/>
  <cols>
    <col width="9" customWidth="1" min="1" max="1"/>
    <col width="16" customWidth="1" min="2" max="2"/>
    <col width="26" customWidth="1" min="3" max="3"/>
    <col width="32" customWidth="1" min="4" max="4"/>
    <col width="45" customWidth="1" min="5" max="5"/>
    <col width="38" customWidth="1" min="6" max="6"/>
    <col width="45" customWidth="1" min="7" max="7"/>
    <col width="72" customWidth="1" min="8" max="8"/>
    <col width="38" customWidth="1" min="9" max="9"/>
    <col width="55" customWidth="1" min="10" max="10"/>
    <col width="52" customWidth="1" min="11" max="11"/>
    <col width="22" customWidth="1" min="12" max="12"/>
    <col width="30" customWidth="1" min="13" max="13"/>
    <col width="14" customWidth="1" min="14" max="14"/>
    <col width="28" customWidth="1" min="15" max="15"/>
    <col width="55" customWidth="1" min="16" max="16"/>
    <col width="55" customWidth="1" min="17" max="17"/>
  </cols>
  <sheetData>
    <row r="1" ht="24" customHeight="1">
      <c r="A1" s="27" t="inlineStr">
        <is>
          <t>Plan QA · Pasos de Ejecución App · M04/M05/M06 — Walvy_Plan_QA_Fases v1.1</t>
        </is>
      </c>
    </row>
    <row r="2" ht="28" customHeight="1">
      <c r="A2" s="28" t="inlineStr">
        <is>
          <t>M04: pasos extraídos de M4_Pasos_Ejecucion_App_v0.2 (mapeado por índice secuencial dentro del flujo). M05/M06: pasos derivados de la Matriz de Trazabilidad. ID rector M04 = TR-M04-NNN (no usar M4-V). Columnas M-O para completar por QA.</t>
        </is>
      </c>
    </row>
    <row r="3" ht="32" customHeight="1">
      <c r="A3" s="29" t="inlineStr">
        <is>
          <t>Módulo</t>
        </is>
      </c>
      <c r="B3" s="29" t="inlineStr">
        <is>
          <t>ID vigente</t>
        </is>
      </c>
      <c r="C3" s="29" t="inlineStr">
        <is>
          <t>Gate PMO</t>
        </is>
      </c>
      <c r="D3" s="29" t="inlineStr">
        <is>
          <t>Flujo / Subflujo</t>
        </is>
      </c>
      <c r="E3" s="29" t="inlineStr">
        <is>
          <t>Variante / Escenario</t>
        </is>
      </c>
      <c r="F3" s="29" t="inlineStr">
        <is>
          <t>Condición de entrada</t>
        </is>
      </c>
      <c r="G3" s="29" t="inlineStr">
        <is>
          <t>Precondición / Estado inicial</t>
        </is>
      </c>
      <c r="H3" s="29" t="inlineStr">
        <is>
          <t>Pasos de Ejecución App</t>
        </is>
      </c>
      <c r="I3" s="29" t="inlineStr">
        <is>
          <t>Dónde verificar</t>
        </is>
      </c>
      <c r="J3" s="29" t="inlineStr">
        <is>
          <t>Resultado esperado</t>
        </is>
      </c>
      <c r="K3" s="29" t="inlineStr">
        <is>
          <t>Datos de prueba / Fixture</t>
        </is>
      </c>
      <c r="L3" s="29" t="inlineStr">
        <is>
          <t>Ejecutable hoy</t>
        </is>
      </c>
      <c r="M3" s="29" t="inlineStr">
        <is>
          <t>Resultado obtenido</t>
        </is>
      </c>
      <c r="N3" s="29" t="inlineStr">
        <is>
          <t>Estado QA</t>
        </is>
      </c>
      <c r="O3" s="29" t="inlineStr">
        <is>
          <t>Notas QA</t>
        </is>
      </c>
      <c r="P3" s="42" t="inlineStr">
        <is>
          <t>Oráculo / ID fuente</t>
        </is>
      </c>
      <c r="Q3" s="42" t="inlineStr">
        <is>
          <t>Assertion concreta</t>
        </is>
      </c>
    </row>
    <row r="4" ht="90" customHeight="1">
      <c r="A4" s="30" t="inlineStr">
        <is>
          <t>M04</t>
        </is>
      </c>
      <c r="B4" s="31" t="inlineStr">
        <is>
          <t>TR-M04-044</t>
        </is>
      </c>
      <c r="C4" s="32" t="inlineStr">
        <is>
          <t>F3 · M02/M03 / superficie</t>
        </is>
      </c>
      <c r="D4" s="33" t="inlineStr">
        <is>
          <t>FLOW-M04-001 · Entrada contextual</t>
        </is>
      </c>
      <c r="E4" s="33" t="inlineStr">
        <is>
          <t>Existe candidato/proyección M04 accionable ya resuelto por el módulo dueño; Home solo consume el contrato.</t>
        </is>
      </c>
      <c r="F4" s="33" t="inlineStr">
        <is>
          <t>Home | CTA contextual</t>
        </is>
      </c>
      <c r="G4" s="33" t="inlineStr">
        <is>
          <t>Cuenta de prueba activa y reseteada (sin deudas ni datos previos del flujo).
Condición de entrada: Home | CTA contextual</t>
        </is>
      </c>
      <c r="H4" s="33" t="inlineStr">
        <is>
          <t>Seguir flujo de FLOW-M04-001 · Entrada contextual.
CIERRE
· Registrar resultado en columna «Resultado obtenido» y marcar «Estado QA».
· Resetear solo si el siguiente caso requiere estado inicial incompatible con el actual. Casos del mismo flujo pueden reutilizar el estado.
  (Ajustes → Borrar mis datos · o solicitar reset al admin de QA)</t>
        </is>
      </c>
      <c r="I4" s="33" t="inlineStr">
        <is>
          <t>Pantalla activa de Ruta Despeje.</t>
        </is>
      </c>
      <c r="J4" s="33" t="inlineStr">
        <is>
          <t>Home representa el candidato M04 y deriva a su destino sin recalcular estado, reason ni Ruta; la selección del ganador global queda fuera de M04.</t>
        </is>
      </c>
      <c r="K4" s="33" t="inlineStr">
        <is>
          <t xml:space="preserve">Ambiente con Home/Perfil (M03) disponible.
Producer payload válido de M04.
</t>
        </is>
      </c>
      <c r="L4" s="33" t="inlineStr">
        <is>
          <t>No · requiere env</t>
        </is>
      </c>
      <c r="M4" s="34" t="inlineStr"/>
      <c r="N4" s="35" t="inlineStr"/>
      <c r="O4" s="34" t="inlineStr"/>
      <c r="P4" s="6" t="inlineStr">
        <is>
          <t>Walvy_M04_Matriz_Trazabilidad_Cliente_v1.3.xlsx · 01_Matriz_Trazabilidad · TR-M04-044</t>
        </is>
      </c>
      <c r="Q4" s="6" t="inlineStr">
        <is>
          <t>En: Pantalla activa de Ruta Despeje.
→ Home representa el candidato M04 y deriva a su destino sin recalcular estado, reason ni Ruta; la selección del ganador global queda fuera de M04.</t>
        </is>
      </c>
    </row>
    <row r="5" ht="90" customHeight="1">
      <c r="A5" s="30" t="inlineStr">
        <is>
          <t>M04</t>
        </is>
      </c>
      <c r="B5" s="31" t="inlineStr">
        <is>
          <t>TR-M04-045</t>
        </is>
      </c>
      <c r="C5" s="32" t="inlineStr">
        <is>
          <t>F3 · M02/M03 / superficie</t>
        </is>
      </c>
      <c r="D5" s="33" t="inlineStr">
        <is>
          <t>FLOW-M04-001 · Entrada contextual</t>
        </is>
      </c>
      <c r="E5" s="33" t="inlineStr">
        <is>
          <t>Señal corresponde a pago próximo/al día/vencimiento simple con capacidad</t>
        </is>
      </c>
      <c r="F5" s="33" t="inlineStr">
        <is>
          <t>Home | CTA contextual</t>
        </is>
      </c>
      <c r="G5" s="33" t="inlineStr">
        <is>
          <t>Cuenta de prueba activa y reseteada (sin deudas ni datos previos del flujo).
Condición de entrada: Home | CTA contextual</t>
        </is>
      </c>
      <c r="H5" s="33" t="inlineStr">
        <is>
          <t>Seguir flujo de FLOW-M04-001 · Entrada contextual.
CIERRE
· Registrar resultado en columna «Resultado obtenido» y marcar «Estado QA».
· Resetear solo si el siguiente caso requiere estado inicial incompatible con el actual. Casos del mismo flujo pueden reutilizar el estado.
  (Ajustes → Borrar mis datos · o solicitar reset al admin de QA)</t>
        </is>
      </c>
      <c r="I5" s="33" t="inlineStr">
        <is>
          <t>Pantalla activa de Ruta Despeje.</t>
        </is>
      </c>
      <c r="J5" s="33" t="inlineStr">
        <is>
          <t>Home deriva a M06/Pagos-Alertas; no a Ruta.</t>
        </is>
      </c>
      <c r="K5" s="33" t="inlineStr">
        <is>
          <t xml:space="preserve">Ambiente con Home/Perfil (M03) disponible.
Producer payload válido de M04.
</t>
        </is>
      </c>
      <c r="L5" s="33" t="inlineStr">
        <is>
          <t>No · requiere env</t>
        </is>
      </c>
      <c r="M5" s="34" t="inlineStr"/>
      <c r="N5" s="35" t="inlineStr"/>
      <c r="O5" s="34" t="inlineStr"/>
      <c r="P5" s="6" t="inlineStr">
        <is>
          <t>Walvy_M04_Matriz_Trazabilidad_Cliente_v1.3.xlsx · 01_Matriz_Trazabilidad · TR-M04-045</t>
        </is>
      </c>
      <c r="Q5" s="6" t="inlineStr">
        <is>
          <t>En: Pantalla activa de Ruta Despeje.
→ Home deriva a M06/Pagos-Alertas; no a Ruta.</t>
        </is>
      </c>
    </row>
    <row r="6" ht="90" customHeight="1">
      <c r="A6" s="30" t="inlineStr">
        <is>
          <t>M04</t>
        </is>
      </c>
      <c r="B6" s="31" t="inlineStr">
        <is>
          <t>TR-M04-046</t>
        </is>
      </c>
      <c r="C6" s="32" t="inlineStr">
        <is>
          <t>F3 · M02/M03 / superficie</t>
        </is>
      </c>
      <c r="D6" s="33" t="inlineStr">
        <is>
          <t>FLOW-M04-001 · Entrada contextual</t>
        </is>
      </c>
      <c r="E6" s="33" t="inlineStr">
        <is>
          <t>Existe deuda confirmada con faltante material accionable; si aún no está confirmada, precede F2.</t>
        </is>
      </c>
      <c r="F6" s="33" t="inlineStr">
        <is>
          <t>Home | Completar</t>
        </is>
      </c>
      <c r="G6" s="33" t="inlineStr">
        <is>
          <t>Cuenta de prueba activa y reseteada (sin deudas ni datos previos del flujo).
Condición de entrada: Home | Completar</t>
        </is>
      </c>
      <c r="H6" s="33" t="inlineStr">
        <is>
          <t>Seguir flujo de FLOW-M04-001 · Entrada contextual.
CIERRE
· Registrar resultado en columna «Resultado obtenido» y marcar «Estado QA».
· Resetear solo si el siguiente caso requiere estado inicial incompatible con el actual. Casos del mismo flujo pueden reutilizar el estado.
  (Ajustes → Borrar mis datos · o solicitar reset al admin de QA)</t>
        </is>
      </c>
      <c r="I6" s="33" t="inlineStr">
        <is>
          <t>Pantalla activa de Ruta Despeje.</t>
        </is>
      </c>
      <c r="J6" s="33" t="inlineStr">
        <is>
          <t>Proyectar F1/completitud hacia revisión; no plan activo. Consolidar pendings de calidad por deuda y preservar reasons secundarios.</t>
        </is>
      </c>
      <c r="K6" s="33" t="inlineStr">
        <is>
          <t xml:space="preserve">Ambiente con Home/Perfil (M03) disponible.
Producer payload válido de M04.
</t>
        </is>
      </c>
      <c r="L6" s="33" t="inlineStr">
        <is>
          <t>No · requiere env</t>
        </is>
      </c>
      <c r="M6" s="34" t="inlineStr"/>
      <c r="N6" s="35" t="inlineStr"/>
      <c r="O6" s="34" t="inlineStr"/>
      <c r="P6" s="6" t="inlineStr">
        <is>
          <t>Walvy_M04_Matriz_Trazabilidad_Cliente_v1.3.xlsx · 01_Matriz_Trazabilidad · TR-M04-046</t>
        </is>
      </c>
      <c r="Q6" s="6" t="inlineStr">
        <is>
          <t>En: Pantalla activa de Ruta Despeje.
→ Proyectar F1/completitud hacia revisión; no plan activo. Consolidar pendings de calidad por deuda y preservar reasons secundarios.</t>
        </is>
      </c>
    </row>
    <row r="7" ht="90" customHeight="1">
      <c r="A7" s="30" t="inlineStr">
        <is>
          <t>M04</t>
        </is>
      </c>
      <c r="B7" s="31" t="inlineStr">
        <is>
          <t>TR-M04-047</t>
        </is>
      </c>
      <c r="C7" s="32" t="inlineStr">
        <is>
          <t>F3 · M02/M03 / superficie</t>
        </is>
      </c>
      <c r="D7" s="33" t="inlineStr">
        <is>
          <t>FLOW-M04-001 · Entrada contextual</t>
        </is>
      </c>
      <c r="E7" s="33" t="inlineStr">
        <is>
          <t>Existe estado/proyección M04 consumible por Perfil (Salud, Ruta, calidad u orientación permitida).</t>
        </is>
      </c>
      <c r="F7" s="33" t="inlineStr">
        <is>
          <t>Perfil Financiero | CTA/lectura contextual</t>
        </is>
      </c>
      <c r="G7" s="33" t="inlineStr">
        <is>
          <t>Cuenta de prueba activa y reseteada (sin deudas ni datos previos del flujo).
Condición de entrada: Perfil Financiero | CTA/lectura contextual</t>
        </is>
      </c>
      <c r="H7" s="33" t="inlineStr">
        <is>
          <t>Seguir flujo de FLOW-M04-001 · Entrada contextual.
CIERRE
· Registrar resultado en columna «Resultado obtenido» y marcar «Estado QA».
· Resetear solo si el siguiente caso requiere estado inicial incompatible con el actual. Casos del mismo flujo pueden reutilizar el estado.
  (Ajustes → Borrar mis datos · o solicitar reset al admin de QA)</t>
        </is>
      </c>
      <c r="I7" s="33" t="inlineStr">
        <is>
          <t>Pantalla activa de Ruta Despeje.</t>
        </is>
      </c>
      <c r="J7" s="33" t="inlineStr">
        <is>
          <t>Perfil representa estado/CTA compacto heredado del owner M04; no recalcula ni crea state machine o señal paralela.</t>
        </is>
      </c>
      <c r="K7" s="33" t="inlineStr">
        <is>
          <t xml:space="preserve">Ambiente con Home/Perfil (M03) disponible.
Producer payload válido de M04.
</t>
        </is>
      </c>
      <c r="L7" s="33" t="inlineStr">
        <is>
          <t>No · requiere env</t>
        </is>
      </c>
      <c r="M7" s="34" t="inlineStr"/>
      <c r="N7" s="35" t="inlineStr"/>
      <c r="O7" s="34" t="inlineStr"/>
      <c r="P7" s="6" t="inlineStr">
        <is>
          <t>Walvy_M04_Matriz_Trazabilidad_Cliente_v1.3.xlsx · 01_Matriz_Trazabilidad · TR-M04-047</t>
        </is>
      </c>
      <c r="Q7" s="6" t="inlineStr">
        <is>
          <t>En: Pantalla activa de Ruta Despeje.
→ Perfil representa estado/CTA compacto heredado del owner M04; no recalcula ni crea state machine o señal paralela.</t>
        </is>
      </c>
    </row>
    <row r="8" ht="90" customHeight="1">
      <c r="A8" s="30" t="inlineStr">
        <is>
          <t>M04</t>
        </is>
      </c>
      <c r="B8" s="31" t="inlineStr">
        <is>
          <t>TR-M04-048</t>
        </is>
      </c>
      <c r="C8" s="36" t="inlineStr">
        <is>
          <t>F1 · QA funcional local</t>
        </is>
      </c>
      <c r="D8" s="33" t="inlineStr">
        <is>
          <t>FLOW-M04-002 · Onboarding 1 · Carga</t>
        </is>
      </c>
      <c r="E8" s="33" t="inlineStr">
        <is>
          <t>Usuario selecciona documento de deuda permitido</t>
        </is>
      </c>
      <c r="F8" s="33" t="inlineStr">
        <is>
          <t>OD-01 Agrega tus deudas | Cargar documentos</t>
        </is>
      </c>
      <c r="G8" s="33" t="inlineStr">
        <is>
          <t>Cuenta de prueba activa y reseteada (sin deudas ni datos previos del flujo).
Condición de entrada: OD-01 Agrega tus deudas | Cargar documentos</t>
        </is>
      </c>
      <c r="H8" s="33" t="inlineStr">
        <is>
          <t>1. Iniciar sesión con la cuenta de prueba reseteada.
2. Navegar a: Módulo M04 → OD-01 «Agrega tus deudas» → pantalla de carga de documentos.
3. Tocar «Cargar documento» y seleccionar un archivo permitido (PDF, XLSX o CSV de estado de cuenta).
4. Confirmar que la app acepta el archivo y muestra pantalla de análisis / spinner de procesamiento.
5. Verificar que el estado muestra «procesando» y que NO aparece ninguna deuda confirmada todavía.
   → Si hay spinner de análisis y cero deudas confirmadas: ✓ PASA.
CIERRE
· Registrar resultado en «Resultado obtenido» y marcar «Estado QA».
· Resetear cuenta solo si el siguiente caso requiere estado diferente al actual.
  (Perfil → Herramientas QA → «Reiniciar cuenta de prueba» (doble confirmación))</t>
        </is>
      </c>
      <c r="I8" s="33" t="inlineStr">
        <is>
          <t>Pantalla activa de Ruta Despeje.</t>
        </is>
      </c>
      <c r="J8" s="33" t="inlineStr">
        <is>
          <t>El archivo entra a procesamiento documental manual y queda pendiente hasta lectura/revisión.</t>
        </is>
      </c>
      <c r="K8" s="33" t="inlineStr"/>
      <c r="L8" s="33" t="inlineStr">
        <is>
          <t>Sí</t>
        </is>
      </c>
      <c r="M8" s="34" t="inlineStr"/>
      <c r="N8" s="35" t="inlineStr"/>
      <c r="O8" s="34" t="inlineStr"/>
      <c r="P8" s="6" t="inlineStr">
        <is>
          <t>Walvy_M04_Matriz_Trazabilidad_Cliente_v1.3.xlsx · 01_Matriz_Trazabilidad · TR-M04-048</t>
        </is>
      </c>
      <c r="Q8" s="6" t="inlineStr">
        <is>
          <t>En: Pantalla activa de Ruta Despeje.
→ El archivo entra a procesamiento documental manual y queda pendiente hasta lectura/revisión.</t>
        </is>
      </c>
    </row>
    <row r="9" ht="90" customHeight="1">
      <c r="A9" s="30" t="inlineStr">
        <is>
          <t>M04</t>
        </is>
      </c>
      <c r="B9" s="31" t="inlineStr">
        <is>
          <t>TR-M04-049</t>
        </is>
      </c>
      <c r="C9" s="36" t="inlineStr">
        <is>
          <t>F1 · QA funcional local</t>
        </is>
      </c>
      <c r="D9" s="33" t="inlineStr">
        <is>
          <t>FLOW-M04-002 · Onboarding 1 · Carga</t>
        </is>
      </c>
      <c r="E9" s="33" t="inlineStr">
        <is>
          <t>Archivo es Informe de Deudas CMF cargado manualmente</t>
        </is>
      </c>
      <c r="F9" s="33" t="inlineStr">
        <is>
          <t>OD-01 Agrega tus deudas | Cargar documentos</t>
        </is>
      </c>
      <c r="G9" s="33" t="inlineStr">
        <is>
          <t>Cuenta de prueba activa y reseteada (sin deudas ni datos previos del flujo).
Condición de entrada: OD-01 Agrega tus deudas | Cargar documentos</t>
        </is>
      </c>
      <c r="H9" s="33" t="inlineStr">
        <is>
          <t>1. Iniciar sesión con la cuenta de prueba reseteada.
2. Navegar a: OD-01 «Agrega tus deudas» → pantalla de carga de documentos.
3. Seleccionar un archivo que sea un Informe de Deudas CMF (PDF descargado del sitio CMF o equivalente).
4. Subir el archivo y observar el flujo de procesamiento.
5. Verificar que la app lo trata igual que cualquier documento manual (misma pantalla de análisis).
6. Verificar que NO aparece ningún indicador de «sincronización CMF», «conexión CMF/SFA» ni flujo automático externo.
   → Si el flujo es idéntico al de un PDF normal y no hay mención de sincronización: ✓ PASA.
CIERRE
· Registrar resultado en «Resultado obtenido» y marcar «Estado QA».
· Resetear cuenta solo si el siguiente caso requiere estado diferente al actual.
  (Perfil → Herramientas QA → «Reiniciar cuenta de prueba» (doble confirmación))</t>
        </is>
      </c>
      <c r="I9" s="33" t="inlineStr">
        <is>
          <t>Pantalla activa de Ruta Despeje.</t>
        </is>
      </c>
      <c r="J9" s="33" t="inlineStr">
        <is>
          <t>Se trata como documento manual bajo las mismas reglas de ingesta; no inicia conexión/consulta/sincronización CMF/SFA.</t>
        </is>
      </c>
      <c r="K9" s="33" t="inlineStr"/>
      <c r="L9" s="33" t="inlineStr">
        <is>
          <t>Sí</t>
        </is>
      </c>
      <c r="M9" s="34" t="inlineStr"/>
      <c r="N9" s="35" t="inlineStr"/>
      <c r="O9" s="34" t="inlineStr"/>
      <c r="P9" s="6" t="inlineStr">
        <is>
          <t>Walvy_M04_Matriz_Trazabilidad_Cliente_v1.3.xlsx · 01_Matriz_Trazabilidad · TR-M04-049</t>
        </is>
      </c>
      <c r="Q9" s="6" t="inlineStr">
        <is>
          <t>En: Pantalla activa de Ruta Despeje.
→ Se trata como documento manual bajo las mismas reglas de ingesta; no inicia conexión/consulta/sincronización CMF/SFA.</t>
        </is>
      </c>
    </row>
    <row r="10" ht="90" customHeight="1">
      <c r="A10" s="30" t="inlineStr">
        <is>
          <t>M04</t>
        </is>
      </c>
      <c r="B10" s="31" t="inlineStr">
        <is>
          <t>TR-M04-050</t>
        </is>
      </c>
      <c r="C10" s="36" t="inlineStr">
        <is>
          <t>F1 · QA funcional local</t>
        </is>
      </c>
      <c r="D10" s="33" t="inlineStr">
        <is>
          <t>FLOW-M04-002 · Onboarding 1 · Carga</t>
        </is>
      </c>
      <c r="E10" s="33" t="inlineStr">
        <is>
          <t>Procesamiento aún no termina</t>
        </is>
      </c>
      <c r="F10" s="33" t="inlineStr">
        <is>
          <t>Procesamiento documental | Estado de procesamiento</t>
        </is>
      </c>
      <c r="G10" s="33" t="inlineStr">
        <is>
          <t>Cuenta de prueba activa y reseteada (sin deudas ni datos previos del flujo).
Condición de entrada: Procesamiento documental | Estado de procesamiento</t>
        </is>
      </c>
      <c r="H10" s="33" t="inlineStr">
        <is>
          <t>1. Iniciar sesión con la cuenta de prueba reseteada.
2. Subir un documento (puede reutilizar el de TR-M04-048 o TR-M04-049).
3. Mientras el procesamiento está en curso (CaptureAnalyzingScreen / spinner), salir de la pantalla
   (navegar atrás o enviar la app al background) y volver a ingresar.
4. Verificar que la app muestra que el procesamiento sigue en curso (no reinició desde cero).
5. Verificar que NO se generó ninguna deuda confirmada ni se activó la Ruta mientras el estado era «processing».
   → Si el estado vuelve a «procesando» y no hay deudas: ✓ PASA.
CIERRE
· Registrar resultado en «Resultado obtenido» y marcar «Estado QA».
· Resetear cuenta solo si el siguiente caso requiere estado diferente al actual.
  (Perfil → Herramientas QA → «Reiniciar cuenta de prueba» (doble confirmación))</t>
        </is>
      </c>
      <c r="I10" s="33" t="inlineStr">
        <is>
          <t>Pantalla activa de Ruta Despeje.</t>
        </is>
      </c>
      <c r="J10" s="33" t="inlineStr">
        <is>
          <t>Mantener processing pending; no producir deuda confirmada ni Ruta completa.</t>
        </is>
      </c>
      <c r="K10" s="33" t="inlineStr"/>
      <c r="L10" s="33" t="inlineStr">
        <is>
          <t>Sí</t>
        </is>
      </c>
      <c r="M10" s="34" t="inlineStr"/>
      <c r="N10" s="35" t="inlineStr"/>
      <c r="O10" s="34" t="inlineStr"/>
      <c r="P10" s="6" t="inlineStr">
        <is>
          <t>Walvy_M04_Matriz_Trazabilidad_Cliente_v1.3.xlsx · 01_Matriz_Trazabilidad · TR-M04-050</t>
        </is>
      </c>
      <c r="Q10" s="6" t="inlineStr">
        <is>
          <t>En: Pantalla activa de Ruta Despeje.
→ Mantener processing pending; no producir deuda confirmada ni Ruta completa.</t>
        </is>
      </c>
    </row>
    <row r="11" ht="90" customHeight="1">
      <c r="A11" s="30" t="inlineStr">
        <is>
          <t>M04</t>
        </is>
      </c>
      <c r="B11" s="31" t="inlineStr">
        <is>
          <t>TR-M04-051</t>
        </is>
      </c>
      <c r="C11" s="36" t="inlineStr">
        <is>
          <t>F1 · QA funcional local</t>
        </is>
      </c>
      <c r="D11" s="33" t="inlineStr">
        <is>
          <t>FLOW-M04-003 · Onboarding 1 · Carga</t>
        </is>
      </c>
      <c r="E11" s="33" t="inlineStr">
        <is>
          <t>Registro manual formal con campos de registro básico</t>
        </is>
      </c>
      <c r="F11" s="33" t="inlineStr">
        <is>
          <t>OD-01 / sheet deuda manual | Guardar deuda</t>
        </is>
      </c>
      <c r="G11" s="33" t="inlineStr">
        <is>
          <t>Cuenta de prueba activa y reseteada (sin deudas ni datos previos del flujo).
Condición de entrada: OD-01 / sheet deuda manual | Guardar deuda</t>
        </is>
      </c>
      <c r="H11" s="33" t="inlineStr">
        <is>
          <t>1. Iniciar sesión con la cuenta de prueba reseteada.
2. Navegar a: OD-01 «Agrega tus deudas» → opción «Ingresar manualmente».
3. Rellenar todos los campos del formulario de alta manual:
   - Tipo de deuda (ej: tarjeta_credito)
   - Acreedor / institución
   - Saldo actual
   - Cuota mensual mínima
   - Fecha de vencimiento próxima
4. Tocar «Guardar» (o equivalente).
5. Verificar que la deuda aparece en la lista con estado confirmado.
6. Verificar que el sistema reevalúa la completitud (no queda como «falta dato crítico»).
   → Si la deuda queda confirmada y completa: ✓ PASA.
CIERRE
· Registrar resultado en «Resultado obtenido» y marcar «Estado QA».
· Resetear cuenta solo si el siguiente caso requiere estado diferente al actual.
  (Perfil → Herramientas QA → «Reiniciar cuenta de prueba» (doble confirmación))</t>
        </is>
      </c>
      <c r="I11" s="33" t="inlineStr">
        <is>
          <t>Pantalla activa de Ruta Despeje.</t>
        </is>
      </c>
      <c r="J11" s="33" t="inlineStr">
        <is>
          <t>Guardar la deuda declarada manualmente y marcarla como confirmada respecto de su existencia/pertenencia; reevaluar la completitud de forma independiente. El registro no implica Presion ni Ruta.</t>
        </is>
      </c>
      <c r="K11" s="33" t="inlineStr"/>
      <c r="L11" s="33" t="inlineStr">
        <is>
          <t>Sí</t>
        </is>
      </c>
      <c r="M11" s="34" t="inlineStr"/>
      <c r="N11" s="35" t="inlineStr"/>
      <c r="O11" s="34" t="inlineStr"/>
      <c r="P11" s="6" t="inlineStr">
        <is>
          <t>Walvy_M04_Matriz_Trazabilidad_Cliente_v1.3.xlsx · 01_Matriz_Trazabilidad · TR-M04-051</t>
        </is>
      </c>
      <c r="Q11" s="6" t="inlineStr">
        <is>
          <t>En: Pantalla activa de Ruta Despeje.
→ Guardar la deuda declarada manualmente y marcarla como confirmada respecto de su existencia/pertenencia; reevaluar la completitud de forma independiente. El registro no implica Presion ni Ruta.</t>
        </is>
      </c>
    </row>
    <row r="12" ht="90" customHeight="1">
      <c r="A12" s="30" t="inlineStr">
        <is>
          <t>M04</t>
        </is>
      </c>
      <c r="B12" s="31" t="inlineStr">
        <is>
          <t>TR-M04-052</t>
        </is>
      </c>
      <c r="C12" s="36" t="inlineStr">
        <is>
          <t>F1 · QA funcional local</t>
        </is>
      </c>
      <c r="D12" s="33" t="inlineStr">
        <is>
          <t>FLOW-M04-003 · Onboarding 1 · Carga</t>
        </is>
      </c>
      <c r="E12" s="33" t="inlineStr">
        <is>
          <t>Registro es préstamo personal o compromiso informal con monto/frecuencia</t>
        </is>
      </c>
      <c r="F12" s="33" t="inlineStr">
        <is>
          <t>OD-01 / sheet deuda manual | Guardar deuda</t>
        </is>
      </c>
      <c r="G12" s="33" t="inlineStr">
        <is>
          <t>Cuenta de prueba activa y reseteada (sin deudas ni datos previos del flujo).
Condición de entrada: OD-01 / sheet deuda manual | Guardar deuda</t>
        </is>
      </c>
      <c r="H12" s="33" t="inlineStr">
        <is>
          <t>1. Iniciar sesión con la cuenta de prueba reseteada.
2. Navegar a: OD-01 «Agrega tus deudas» → opción «Ingresar manualmente».
3. Seleccionar tipo de deuda informal (ej: préstamo_informal, compromiso_personal o similar).
4. Ingresar acreedor (persona o apodo) y monto/frecuencia (ej: $80.000 quincenales).
5. Guardar la deuda.
6. Verificar que se guarda sin mensajes estigmatizantes y aparece en la lista junto a las demás deudas.
7. Verificar que la presión financiera la evalúa con las mismas reglas que cualquier otra deuda.
   → Si se guarda correctamente y sin trato diferenciado: ✓ PASA.
CIERRE
· Registrar resultado en «Resultado obtenido» y marcar «Estado QA».
· Resetear cuenta solo si el siguiente caso requiere estado diferente al actual.
  (Perfil → Herramientas QA → «Reiniciar cuenta de prueba» (doble confirmación))</t>
        </is>
      </c>
      <c r="I12" s="33" t="inlineStr">
        <is>
          <t>Pantalla activa de Ruta Despeje.</t>
        </is>
      </c>
      <c r="J12" s="33" t="inlineStr">
        <is>
          <t>Guardar como deuda manual/informal sin tratamiento estigmatizante; evaluar luego según mismas reglas de presión.</t>
        </is>
      </c>
      <c r="K12" s="33" t="inlineStr"/>
      <c r="L12" s="33" t="inlineStr">
        <is>
          <t>Sí</t>
        </is>
      </c>
      <c r="M12" s="34" t="inlineStr"/>
      <c r="N12" s="35" t="inlineStr"/>
      <c r="O12" s="34" t="inlineStr"/>
      <c r="P12" s="6" t="inlineStr">
        <is>
          <t>Walvy_M04_Matriz_Trazabilidad_Cliente_v1.3.xlsx · 01_Matriz_Trazabilidad · TR-M04-052</t>
        </is>
      </c>
      <c r="Q12" s="6" t="inlineStr">
        <is>
          <t>En: Pantalla activa de Ruta Despeje.
→ Guardar como deuda manual/informal sin tratamiento estigmatizante; evaluar luego según mismas reglas de presión.</t>
        </is>
      </c>
    </row>
    <row r="13" ht="90" customHeight="1">
      <c r="A13" s="30" t="inlineStr">
        <is>
          <t>M04</t>
        </is>
      </c>
      <c r="B13" s="31" t="inlineStr">
        <is>
          <t>TR-M04-053</t>
        </is>
      </c>
      <c r="C13" s="36" t="inlineStr">
        <is>
          <t>F1 · QA funcional local</t>
        </is>
      </c>
      <c r="D13" s="33" t="inlineStr">
        <is>
          <t>FLOW-M04-003 · Onboarding 1 · Carga</t>
        </is>
      </c>
      <c r="E13" s="33" t="inlineStr">
        <is>
          <t>Faltan datos para presión/Ruta</t>
        </is>
      </c>
      <c r="F13" s="33" t="inlineStr">
        <is>
          <t>OD-01 / sheet deuda manual | Guardar deuda</t>
        </is>
      </c>
      <c r="G13" s="33" t="inlineStr">
        <is>
          <t>Cuenta de prueba activa y reseteada (sin deudas ni datos previos del flujo).
Condición de entrada: OD-01 / sheet deuda manual | Guardar deuda</t>
        </is>
      </c>
      <c r="H13" s="33" t="inlineStr">
        <is>
          <t>1. Iniciar sesión con la cuenta de prueba reseteada.
2. Navegar a: OD-01 «Agrega tus deudas» → opción «Ingresar manualmente».
3. Ingresar solo los datos mínimos posibles (ej: acreedor y saldo; omitir cuota y fecha de vencimiento).
4. Guardar la deuda.
5. Verificar que la deuda se guarda con estado confirmado (en cuanto a existencia), pero
   marcada como incompleta para presión/Ruta (muestra indicador de dato faltante).
6. Verificar que la Ruta NO se activa ni la presión se calcula errónea por datos ausentes.
   → Si la deuda queda confirmada-pero-incompleta y la Ruta no se activa: ✓ PASA.
CIERRE
· Registrar resultado en «Resultado obtenido» y marcar «Estado QA».
· Resetear cuenta solo si el siguiente caso requiere estado diferente al actual.
  (Perfil → Herramientas QA → «Reiniciar cuenta de prueba» (doble confirmación))</t>
        </is>
      </c>
      <c r="I13" s="33" t="inlineStr">
        <is>
          <t>Pantalla activa de Ruta Despeje.</t>
        </is>
      </c>
      <c r="J13" s="33" t="inlineStr">
        <is>
          <t>Conservar la deuda manual como confirmada respecto de su existencia/pertenencia, pero pendiente/incompleta para el uso afectado; no evaluar presion fuerte, priorizacion ni cronograma mientras falten datos materiales requeridos.</t>
        </is>
      </c>
      <c r="K13" s="33" t="inlineStr"/>
      <c r="L13" s="33" t="inlineStr">
        <is>
          <t>Sí</t>
        </is>
      </c>
      <c r="M13" s="34" t="inlineStr"/>
      <c r="N13" s="35" t="inlineStr"/>
      <c r="O13" s="34" t="inlineStr"/>
      <c r="P13" s="6" t="inlineStr">
        <is>
          <t>Walvy_M04_Matriz_Trazabilidad_Cliente_v1.3.xlsx · 01_Matriz_Trazabilidad · TR-M04-053</t>
        </is>
      </c>
      <c r="Q13" s="6" t="inlineStr">
        <is>
          <t>En: Pantalla activa de Ruta Despeje.
→ Conservar la deuda manual como confirmada respecto de su existencia/pertenencia, pero pendiente/incompleta para el uso afectado; no evaluar presion fuerte, priorizacion ni cronograma mientras falten datos materiales requeridos.</t>
        </is>
      </c>
    </row>
    <row r="14" ht="90" customHeight="1">
      <c r="A14" s="30" t="inlineStr">
        <is>
          <t>M04</t>
        </is>
      </c>
      <c r="B14" s="31" t="inlineStr">
        <is>
          <t>TR-M04-054</t>
        </is>
      </c>
      <c r="C14" s="36" t="inlineStr">
        <is>
          <t>F1 · QA funcional local</t>
        </is>
      </c>
      <c r="D14" s="33" t="inlineStr">
        <is>
          <t>FLOW-M04-004 · Onboarding 1 · Documento protegido</t>
        </is>
      </c>
      <c r="E14" s="33" t="inlineStr">
        <is>
          <t>Documento está protegido con contraseña</t>
        </is>
      </c>
      <c r="F14" s="33" t="inlineStr">
        <is>
          <t>Carga documental | Detectar protección</t>
        </is>
      </c>
      <c r="G14" s="33" t="inlineStr">
        <is>
          <t>Cuenta de prueba activa y reseteada (sin deudas ni datos previos del flujo).
Condición de entrada: Carga documental | Detectar protección</t>
        </is>
      </c>
      <c r="H14" s="33" t="inlineStr">
        <is>
          <t>1. Iniciar sesión con la cuenta de prueba reseteada.
2. Navegar a: OD-01 «Agrega tus deudas» → cargar documentos.
3. Subir un archivo PDF protegido con contraseña (QA debe crearlo previamente o usar fixture del equipo).
4. Verificar que la app detecta la protección y muestra estado «requiere clave» (no error genérico).
5. Verificar que el mensaje informa que el documento está protegido y ofrece una acción concreta.
6. Verificar que NO se crea ninguna deuda ni se avanza en el flujo hasta resolver la clave.
   → Si aparece el estado recuperable con solicitud de clave: ✓ PASA.
CIERRE
· Registrar resultado en «Resultado obtenido» y marcar «Estado QA».
· Resetear cuenta solo si el siguiente caso requiere estado diferente al actual.
  (Perfil → Herramientas QA → «Reiniciar cuenta de prueba» (doble confirmación))</t>
        </is>
      </c>
      <c r="I14" s="33" t="inlineStr">
        <is>
          <t>Pantalla activa de Ruta Despeje.</t>
        </is>
      </c>
      <c r="J14" s="33" t="inlineStr">
        <is>
          <t>Mostrar estado recuperable y solicitar clave solo cuando sea necesaria.</t>
        </is>
      </c>
      <c r="K14" s="33" t="inlineStr"/>
      <c r="L14" s="33" t="inlineStr">
        <is>
          <t>Sí</t>
        </is>
      </c>
      <c r="M14" s="34" t="inlineStr"/>
      <c r="N14" s="35" t="inlineStr"/>
      <c r="O14" s="34" t="inlineStr"/>
      <c r="P14" s="6" t="inlineStr">
        <is>
          <t>Walvy_M04_Matriz_Trazabilidad_Cliente_v1.3.xlsx · 01_Matriz_Trazabilidad · TR-M04-054</t>
        </is>
      </c>
      <c r="Q14" s="6" t="inlineStr">
        <is>
          <t>En: Pantalla activa de Ruta Despeje.
→ Mostrar estado recuperable y solicitar clave solo cuando sea necesaria.</t>
        </is>
      </c>
    </row>
    <row r="15" ht="90" customHeight="1">
      <c r="A15" s="30" t="inlineStr">
        <is>
          <t>M04</t>
        </is>
      </c>
      <c r="B15" s="31" t="inlineStr">
        <is>
          <t>TR-M04-055</t>
        </is>
      </c>
      <c r="C15" s="36" t="inlineStr">
        <is>
          <t>F1 · QA funcional local</t>
        </is>
      </c>
      <c r="D15" s="33" t="inlineStr">
        <is>
          <t>FLOW-M04-004 · Onboarding 1 · Documento protegido</t>
        </is>
      </c>
      <c r="E15" s="33" t="inlineStr">
        <is>
          <t>Clave correcta</t>
        </is>
      </c>
      <c r="F15" s="33" t="inlineStr">
        <is>
          <t>Estado requiere clave | Continuar revisión</t>
        </is>
      </c>
      <c r="G15" s="33" t="inlineStr">
        <is>
          <t>Cuenta de prueba activa y reseteada (sin deudas ni datos previos del flujo).
Condición de entrada: Estado requiere clave | Continuar revisión</t>
        </is>
      </c>
      <c r="H15" s="33" t="inlineStr">
        <is>
          <t>1. Continuar desde TR-M04-054 (app mostrando estado «requiere clave»).
2. Ingresar la clave correcta del PDF protegido.
3. Confirmar que la app desbloquea el documento y continúa con el procesamiento normal.
4. Verificar que NO se persiste la clave ingresada como atributo de la deuda (no debe aparecer en ningún campo).
5. Verificar que el flujo avanza a la pantalla de análisis como si fuera un documento normal.
   → Si procesa y la clave no queda guardada: ✓ PASA.
CIERRE
· Registrar resultado en «Resultado obtenido» y marcar «Estado QA».
· Resetear cuenta solo si el siguiente caso requiere estado diferente al actual.
  (Perfil → Herramientas QA → «Reiniciar cuenta de prueba» (doble confirmación))</t>
        </is>
      </c>
      <c r="I15" s="33" t="inlineStr">
        <is>
          <t>Pantalla activa de Ruta Despeje.</t>
        </is>
      </c>
      <c r="J15" s="33" t="inlineStr">
        <is>
          <t>Procesar documento y continuar a revisión; clave no se persiste como atributo de deuda.</t>
        </is>
      </c>
      <c r="K15" s="33" t="inlineStr"/>
      <c r="L15" s="33" t="inlineStr">
        <is>
          <t>Sí</t>
        </is>
      </c>
      <c r="M15" s="34" t="inlineStr"/>
      <c r="N15" s="35" t="inlineStr"/>
      <c r="O15" s="34" t="inlineStr"/>
      <c r="P15" s="6" t="inlineStr">
        <is>
          <t>Walvy_M04_Matriz_Trazabilidad_Cliente_v1.3.xlsx · 01_Matriz_Trazabilidad · TR-M04-055</t>
        </is>
      </c>
      <c r="Q15" s="6" t="inlineStr">
        <is>
          <t>En: Pantalla activa de Ruta Despeje.
→ Procesar documento y continuar a revisión; clave no se persiste como atributo de deuda.</t>
        </is>
      </c>
    </row>
    <row r="16" ht="90" customHeight="1">
      <c r="A16" s="30" t="inlineStr">
        <is>
          <t>M04</t>
        </is>
      </c>
      <c r="B16" s="31" t="inlineStr">
        <is>
          <t>TR-M04-056</t>
        </is>
      </c>
      <c r="C16" s="36" t="inlineStr">
        <is>
          <t>F1 · QA funcional local</t>
        </is>
      </c>
      <c r="D16" s="33" t="inlineStr">
        <is>
          <t>FLOW-M04-004 · Onboarding 1 · Documento protegido</t>
        </is>
      </c>
      <c r="E16" s="33" t="inlineStr">
        <is>
          <t>Clave incorrecta</t>
        </is>
      </c>
      <c r="F16" s="33" t="inlineStr">
        <is>
          <t>Estado requiere clave | Reintentar</t>
        </is>
      </c>
      <c r="G16" s="33" t="inlineStr">
        <is>
          <t>Cuenta de prueba activa y reseteada (sin deudas ni datos previos del flujo).
Condición de entrada: Estado requiere clave | Reintentar</t>
        </is>
      </c>
      <c r="H16" s="33" t="inlineStr">
        <is>
          <t>1. Continuar desde TR-M04-054 (app mostrando estado «requiere clave»).
2. Ingresar una clave incorrecta.
3. Verificar que la app muestra error de clave incorrecta y permite reintentar.
4. Verificar que el documento sigue en estado «requiere clave» (no se descarta automáticamente).
5. Verificar que NO se crea ninguna deuda ni avanza el flujo con la clave errónea.
   → Si permite reintento sin descartar el documento: ✓ PASA.
CIERRE
· Registrar resultado en «Resultado obtenido» y marcar «Estado QA».
· Resetear cuenta solo si el siguiente caso requiere estado diferente al actual.
  (Perfil → Herramientas QA → «Reiniciar cuenta de prueba» (doble confirmación))</t>
        </is>
      </c>
      <c r="I16" s="33" t="inlineStr">
        <is>
          <t>Pantalla activa de Ruta Despeje.</t>
        </is>
      </c>
      <c r="J16" s="33" t="inlineStr">
        <is>
          <t>Mantener recuperación; permitir reintento u otro documento sin confirmar deuda.</t>
        </is>
      </c>
      <c r="K16" s="33" t="inlineStr"/>
      <c r="L16" s="33" t="inlineStr">
        <is>
          <t>Sí</t>
        </is>
      </c>
      <c r="M16" s="34" t="inlineStr"/>
      <c r="N16" s="35" t="inlineStr"/>
      <c r="O16" s="34" t="inlineStr"/>
      <c r="P16" s="6" t="inlineStr">
        <is>
          <t>Walvy_M04_Matriz_Trazabilidad_Cliente_v1.3.xlsx · 01_Matriz_Trazabilidad · TR-M04-056</t>
        </is>
      </c>
      <c r="Q16" s="6" t="inlineStr">
        <is>
          <t>En: Pantalla activa de Ruta Despeje.
→ Mantener recuperación; permitir reintento u otro documento sin confirmar deuda.</t>
        </is>
      </c>
    </row>
    <row r="17" ht="90" customHeight="1">
      <c r="A17" s="30" t="inlineStr">
        <is>
          <t>M04</t>
        </is>
      </c>
      <c r="B17" s="31" t="inlineStr">
        <is>
          <t>TR-M04-057</t>
        </is>
      </c>
      <c r="C17" s="36" t="inlineStr">
        <is>
          <t>F1 · QA funcional local</t>
        </is>
      </c>
      <c r="D17" s="33" t="inlineStr">
        <is>
          <t>FLOW-M04-004 · Onboarding 1 · Documento protegido</t>
        </is>
      </c>
      <c r="E17" s="33" t="inlineStr">
        <is>
          <t>Usuario no dispone de clave</t>
        </is>
      </c>
      <c r="F17" s="33" t="inlineStr">
        <is>
          <t>Estado requiere clave | Alternativa</t>
        </is>
      </c>
      <c r="G17" s="33" t="inlineStr">
        <is>
          <t>Cuenta de prueba activa y reseteada (sin deudas ni datos previos del flujo).
Condición de entrada: Estado requiere clave | Alternativa</t>
        </is>
      </c>
      <c r="H17" s="33" t="inlineStr">
        <is>
          <t>1. Continuar desde TR-M04-054 (app mostrando estado «requiere clave»).
2. Sin ingresar clave, desplazarse en la pantalla de Carga: verificar que siguen visibles
   «Cargar más documentos» y «Agregar deuda manual».
3. Verificar que el flujo M04 NO queda bloqueado; el usuario puede continuar por otra vía
   sin necesidad de resolver la clave del documento protegido.
4. Seleccionar «Agregar deuda manual» o «Cargar más documentos» y verificar que navega correctamente.
   → Si el flujo continúa sin bloqueo usando las alternativas de la pantalla: ✓ PASA.
Nota: No existe CTA «No tengo la clave». El contrato define que al pedir clave se vuelve
a la pantalla de Carga, donde las alternativas ya están disponibles.
CIERRE
· Registrar resultado en «Resultado obtenido» y marcar «Estado QA».
· Resetear cuenta solo si el siguiente caso requiere estado diferente al actual.
  (Perfil → Herramientas QA → «Reiniciar cuenta de prueba» (doble confirmación))</t>
        </is>
      </c>
      <c r="I17" s="33" t="inlineStr">
        <is>
          <t>Pantalla activa de Ruta Despeje.</t>
        </is>
      </c>
      <c r="J17" s="33" t="inlineStr">
        <is>
          <t>Permitir subir otro documento o registrar manualmente; flujo M04 no queda bloqueado.</t>
        </is>
      </c>
      <c r="K17" s="33" t="inlineStr"/>
      <c r="L17" s="33" t="inlineStr">
        <is>
          <t>Sí</t>
        </is>
      </c>
      <c r="M17" s="34" t="inlineStr"/>
      <c r="N17" s="35" t="inlineStr"/>
      <c r="O17" s="34" t="inlineStr"/>
      <c r="P17" s="6" t="inlineStr">
        <is>
          <t>Walvy_M04_Matriz_Trazabilidad_Cliente_v1.3.xlsx · 01_Matriz_Trazabilidad · TR-M04-057</t>
        </is>
      </c>
      <c r="Q17" s="6" t="inlineStr">
        <is>
          <t>En: Pantalla activa de Ruta Despeje.
→ Permitir subir otro documento o registrar manualmente; flujo M04 no queda bloqueado.</t>
        </is>
      </c>
    </row>
    <row r="18" ht="90" customHeight="1">
      <c r="A18" s="30" t="inlineStr">
        <is>
          <t>M04</t>
        </is>
      </c>
      <c r="B18" s="31" t="inlineStr">
        <is>
          <t>TR-M04-058</t>
        </is>
      </c>
      <c r="C18" s="36" t="inlineStr">
        <is>
          <t>F1 · QA funcional local</t>
        </is>
      </c>
      <c r="D18" s="33" t="inlineStr">
        <is>
          <t>FLOW-M04-005 · Onboarding 1 · Error documento</t>
        </is>
      </c>
      <c r="E18" s="33" t="inlineStr">
        <is>
          <t>Documento no procesable o sin datos suficientes</t>
        </is>
      </c>
      <c r="F18" s="33" t="inlineStr">
        <is>
          <t>Carga/Analizando | Error de procesamiento</t>
        </is>
      </c>
      <c r="G18" s="33" t="inlineStr">
        <is>
          <t>Cuenta de prueba activa y reseteada (sin deudas ni datos previos del flujo).
Condición de entrada: Carga/Analizando | Error de procesamiento</t>
        </is>
      </c>
      <c r="H18" s="33" t="inlineStr">
        <is>
          <t>1. Iniciar sesión con la cuenta de prueba reseteada.
2. Navegar a: OD-01 «Agrega tus deudas» → cargar documentos.
3. Subir un archivo que no sea procesable: imagen sin texto, PDF en blanco, o archivo dañado.
4. Verificar que la app muestra un error de procesamiento (no un spinner infinito).
5. Verificar que la app ofrece alternativas: subir otro documento o registrar manualmente.
6. Verificar que NO se crea ninguna deuda confirmada ni se produce una lectura fuerte del archivo.
   → Si el error es explícito y ofrece alternativa sin crear deudas: ✓ PASA.
CIERRE
· Registrar resultado en «Resultado obtenido» y marcar «Estado QA».
· Resetear cuenta solo si el siguiente caso requiere estado diferente al actual.
  (Perfil → Herramientas QA → «Reiniciar cuenta de prueba» (doble confirmación))</t>
        </is>
      </c>
      <c r="I18" s="33" t="inlineStr">
        <is>
          <t>Pantalla activa de Ruta Despeje.</t>
        </is>
      </c>
      <c r="J18" s="33" t="inlineStr">
        <is>
          <t>Ofrecer otro documento o carga manual; no producir deuda confirmada ni lectura fuerte.</t>
        </is>
      </c>
      <c r="K18" s="33" t="inlineStr"/>
      <c r="L18" s="33" t="inlineStr">
        <is>
          <t>Sí</t>
        </is>
      </c>
      <c r="M18" s="34" t="inlineStr"/>
      <c r="N18" s="35" t="inlineStr"/>
      <c r="O18" s="34" t="inlineStr"/>
      <c r="P18" s="6" t="inlineStr">
        <is>
          <t>Walvy_M04_Matriz_Trazabilidad_Cliente_v1.3.xlsx · 01_Matriz_Trazabilidad · TR-M04-058</t>
        </is>
      </c>
      <c r="Q18" s="6" t="inlineStr">
        <is>
          <t>En: Pantalla activa de Ruta Despeje.
→ Ofrecer otro documento o carga manual; no producir deuda confirmada ni lectura fuerte.</t>
        </is>
      </c>
    </row>
    <row r="19" ht="90" customHeight="1">
      <c r="A19" s="30" t="inlineStr">
        <is>
          <t>M04</t>
        </is>
      </c>
      <c r="B19" s="31" t="inlineStr">
        <is>
          <t>TR-M04-059</t>
        </is>
      </c>
      <c r="C19" s="36" t="inlineStr">
        <is>
          <t>F1 · QA funcional local</t>
        </is>
      </c>
      <c r="D19" s="33" t="inlineStr">
        <is>
          <t>FLOW-M04-006 · Onboarding 2 · Revisión</t>
        </is>
      </c>
      <c r="E19" s="33" t="inlineStr">
        <is>
          <t>Deuda detectada con datos suficientes y sin confirmación</t>
        </is>
      </c>
      <c r="F19" s="33" t="inlineStr">
        <is>
          <t>OD-02 | Confirmar deuda</t>
        </is>
      </c>
      <c r="G19" s="33" t="inlineStr">
        <is>
          <t>Cuenta de prueba activa y reseteada (sin deudas ni datos previos del flujo).
Condición de entrada: OD-02 | Confirmar deuda</t>
        </is>
      </c>
      <c r="H19" s="33" t="inlineStr">
        <is>
          <t>1. Iniciar sesión con la cuenta de prueba reseteada.
2. Subir un documento válido con al menos una deuda identificable (o usar cuenta seed con deuda detectada).
3. Navegar a: OD-02 «Revisar deudas detectadas».
4. Localizar la deuda detectada (con datos suficientes: tipo, saldo, acreedor, cuota).
5. Tocar «Confirmar» en la deuda.
6. Verificar que el estado de la deuda cambia a confirmada (confirmationStatus=confirmed).
7. Verificar que confirmar la deuda NO activa automáticamente la Ruta (permanece en revisión).
   → Si la deuda queda confirmada y la Ruta no se activa sola: ✓ PASA.
CIERRE
· Registrar resultado en «Resultado obtenido» y marcar «Estado QA».
· Resetear cuenta solo si el siguiente caso requiere estado diferente al actual.
  (Perfil → Herramientas QA → «Reiniciar cuenta de prueba» (doble confirmación))</t>
        </is>
      </c>
      <c r="I19" s="33" t="inlineStr">
        <is>
          <t>Pantalla activa de Ruta Despeje.</t>
        </is>
      </c>
      <c r="J19" s="33" t="inlineStr">
        <is>
          <t>Cambiar confirmation_status a confirmed; mantener separación entre confirmar y activar Ruta.</t>
        </is>
      </c>
      <c r="K19" s="33" t="inlineStr"/>
      <c r="L19" s="33" t="inlineStr">
        <is>
          <t>Sí</t>
        </is>
      </c>
      <c r="M19" s="34" t="inlineStr"/>
      <c r="N19" s="35" t="inlineStr"/>
      <c r="O19" s="34" t="inlineStr"/>
      <c r="P19" s="6" t="inlineStr">
        <is>
          <t>Walvy_M04_Matriz_Trazabilidad_Cliente_v1.3.xlsx · 01_Matriz_Trazabilidad · TR-M04-059</t>
        </is>
      </c>
      <c r="Q19" s="6" t="inlineStr">
        <is>
          <t>En: Pantalla activa de Ruta Despeje.
→ Cambiar confirmation_status a confirmed; mantener separación entre confirmar y activar Ruta.</t>
        </is>
      </c>
    </row>
    <row r="20" ht="90" customHeight="1">
      <c r="A20" s="30" t="inlineStr">
        <is>
          <t>M04</t>
        </is>
      </c>
      <c r="B20" s="31" t="inlineStr">
        <is>
          <t>TR-M04-060</t>
        </is>
      </c>
      <c r="C20" s="36" t="inlineStr">
        <is>
          <t>F1 · QA funcional local</t>
        </is>
      </c>
      <c r="D20" s="33" t="inlineStr">
        <is>
          <t>FLOW-M04-007 · Onboarding 2 · Revisión</t>
        </is>
      </c>
      <c r="E20" s="33" t="inlineStr">
        <is>
          <t>Falta dato crítico identificable</t>
        </is>
      </c>
      <c r="F20" s="33" t="inlineStr">
        <is>
          <t>OD-02 | Completar información</t>
        </is>
      </c>
      <c r="G20" s="33" t="inlineStr">
        <is>
          <t>Cuenta de prueba activa y reseteada (sin deudas ni datos previos del flujo).
Condición de entrada: OD-02 | Completar información</t>
        </is>
      </c>
      <c r="H20" s="33" t="inlineStr">
        <is>
          <t>1. Iniciar sesión con la cuenta de prueba reseteada.
2. Subir documento o usar cuenta seed con deuda detectada que tenga un dato crítico faltante
   (ej: sin cuota mínima o sin fecha de vencimiento).
3. Navegar a: OD-02 → card de la deuda con dato faltante.
4. Verificar que la app muestra exactamente QUÉ dato falta (nombre del campo, no mensaje genérico).
5. Verificar que la app ofrece una acción concreta para completarlo (campo editable o CTA «Completar»).
6. Verificar que la validación del campo editable es coherente con el tipo de dato que falta.
   → Si el campo faltante está identificado con acción concreta: ✓ PASA.
CIERRE
· Registrar resultado en «Resultado obtenido» y marcar «Estado QA».
· Resetear cuenta solo si el siguiente caso requiere estado diferente al actual.
  (Perfil → Herramientas QA → «Reiniciar cuenta de prueba» (doble confirmación))</t>
        </is>
      </c>
      <c r="I20" s="33" t="inlineStr">
        <is>
          <t>Pantalla activa de Ruta Despeje.</t>
        </is>
      </c>
      <c r="J20" s="33" t="inlineStr">
        <is>
          <t>Mostrar exactamente que dato falta y una accion concreta de completitud; separar tipo/origen/validacion y conservar cualquier dato parcial valido ya declarado. Un derivado no calculable no autoriza a descartar el dato fuente.</t>
        </is>
      </c>
      <c r="K20" s="33" t="inlineStr"/>
      <c r="L20" s="33" t="inlineStr">
        <is>
          <t>Sí</t>
        </is>
      </c>
      <c r="M20" s="34" t="inlineStr"/>
      <c r="N20" s="35" t="inlineStr"/>
      <c r="O20" s="34" t="inlineStr"/>
      <c r="P20" s="6" t="inlineStr">
        <is>
          <t>Walvy_M04_Matriz_Trazabilidad_Cliente_v1.3.xlsx · 01_Matriz_Trazabilidad · TR-M04-060</t>
        </is>
      </c>
      <c r="Q20" s="6" t="inlineStr">
        <is>
          <t>En: Pantalla activa de Ruta Despeje.
→ Mostrar exactamente que dato falta y una accion concreta de completitud; separar tipo/origen/validacion y conservar cualquier dato parcial valido ya declarado. Un derivado no calculable no autoriza a descartar el dato fuente.</t>
        </is>
      </c>
    </row>
    <row r="21" ht="90" customHeight="1">
      <c r="A21" s="30" t="inlineStr">
        <is>
          <t>M04</t>
        </is>
      </c>
      <c r="B21" s="31" t="inlineStr">
        <is>
          <t>TR-M04-061</t>
        </is>
      </c>
      <c r="C21" s="37" t="inlineStr">
        <is>
          <t>F2 · Fixture cross-contract</t>
        </is>
      </c>
      <c r="D21" s="33" t="inlineStr">
        <is>
          <t>FLOW-M04-007 · Onboarding 2 · Revisión</t>
        </is>
      </c>
      <c r="E21" s="33" t="inlineStr">
        <is>
          <t>Usuario completa dato crítico</t>
        </is>
      </c>
      <c r="F21" s="33" t="inlineStr">
        <is>
          <t>Sheet completar | Guardar</t>
        </is>
      </c>
      <c r="G21" s="33" t="inlineStr">
        <is>
          <t>Cuenta de prueba activa y reseteada (sin deudas ni datos previos del flujo).
Condición de entrada: Sheet completar | Guardar</t>
        </is>
      </c>
      <c r="H21" s="33" t="inlineStr">
        <is>
          <t>Seguir flujo de FLOW-M04-007 · Onboarding 2 · Revisión.
CIERRE
· Registrar resultado en columna «Resultado obtenido» y marcar «Estado QA».
· Resetear solo si el siguiente caso requiere estado inicial incompatible con el actual. Casos del mismo flujo pueden reutilizar el estado.
  (Perfil → Herramientas QA → «Reiniciar cuenta de prueba» (doble confirmación))</t>
        </is>
      </c>
      <c r="I21" s="33" t="inlineStr">
        <is>
          <t>Pantalla activa de Ruta Despeje.</t>
        </is>
      </c>
      <c r="J21" s="33" t="inlineStr">
        <is>
          <t>Persistir dato y reevaluar frescura, completitud y el contrato P4; si el gate queda completo, dejar Ruta elegible sin activarla.</t>
        </is>
      </c>
      <c r="K21" s="33" t="inlineStr">
        <is>
          <t xml:space="preserve">Fixture sintético (no requiere documento real).
Formato: CSV o XLSX con los valores del contrato P4 upstream cerrado.
Inyectar al menos: POSITIVE · ZERO · NOT_EVALUABLE.
</t>
        </is>
      </c>
      <c r="L21" s="33" t="inlineStr">
        <is>
          <t>Sí · con insumo dev</t>
        </is>
      </c>
      <c r="M21" s="34" t="inlineStr"/>
      <c r="N21" s="35" t="inlineStr"/>
      <c r="O21" s="34" t="inlineStr"/>
      <c r="P21" s="6" t="inlineStr">
        <is>
          <t>Walvy_M04_Matriz_Trazabilidad_Cliente_v1.3.xlsx · 01_Matriz_Trazabilidad · TR-M04-061</t>
        </is>
      </c>
      <c r="Q21" s="6" t="inlineStr">
        <is>
          <t>En: Pantalla activa de Ruta Despeje.
→ Persistir dato y reevaluar frescura, completitud y el contrato P4; si el gate queda completo, dejar Ruta elegible sin activarla.</t>
        </is>
      </c>
    </row>
    <row r="22" ht="90" customHeight="1">
      <c r="A22" s="30" t="inlineStr">
        <is>
          <t>M04</t>
        </is>
      </c>
      <c r="B22" s="31" t="inlineStr">
        <is>
          <t>TR-M04-062</t>
        </is>
      </c>
      <c r="C22" s="36" t="inlineStr">
        <is>
          <t>F1 · QA funcional local</t>
        </is>
      </c>
      <c r="D22" s="33" t="inlineStr">
        <is>
          <t>FLOW-M04-007 · Onboarding 2 · Revisión</t>
        </is>
      </c>
      <c r="E22" s="33" t="inlineStr">
        <is>
          <t>Usuario no conoce dato crítico</t>
        </is>
      </c>
      <c r="F22" s="33" t="inlineStr">
        <is>
          <t>OD-02 | Guardar pendiente</t>
        </is>
      </c>
      <c r="G22" s="33" t="inlineStr">
        <is>
          <t>Cuenta de prueba activa y reseteada (sin deudas ni datos previos del flujo).
Condición de entrada: OD-02 | Guardar pendiente</t>
        </is>
      </c>
      <c r="H22" s="33" t="inlineStr">
        <is>
          <t>1. Iniciar sesión con la cuenta de prueba reseteada.
2. Subir documento o usar cuenta seed con deuda detectada con dato crítico faltante.
3. Navegar a: OD-02 → card de la deuda → tocar «Completar» en el dato faltante.
4. En el campo de completitud, no ingresar el dato (o seleccionar «No lo sé»).
5. Guardar / avanzar sin el dato crítico.
6. Verificar que la deuda se conserva con los datos parciales conocidos (no se descarta).
7. Verificar que queda en estado pendiente/incompleta para el uso afectado (presión/Ruta).
8. Verificar que los derivados que dependen del dato ausente NO se calculan (no aparecen como 0).
   → Si la deuda persiste incompleta sin forzar un valor: ✓ PASA.
CIERRE
· Registrar resultado en «Resultado obtenido» y marcar «Estado QA».
· Resetear cuenta solo si el siguiente caso requiere estado diferente al actual.
  (Perfil → Herramientas QA → «Reiniciar cuenta de prueba» (doble confirmación))</t>
        </is>
      </c>
      <c r="I22" s="33" t="inlineStr">
        <is>
          <t>Pantalla activa de Ruta Despeje.</t>
        </is>
      </c>
      <c r="J22" s="33" t="inlineStr">
        <is>
          <t>Conservar la deuda y los datos parciales conocidos como pendiente/incompleta para el uso afectado; dejar derivados no calculables cuando falte un insumo y excluir solo la conclusion que dependa de ese faltante.</t>
        </is>
      </c>
      <c r="K22" s="33" t="inlineStr"/>
      <c r="L22" s="33" t="inlineStr">
        <is>
          <t>Sí</t>
        </is>
      </c>
      <c r="M22" s="34" t="inlineStr"/>
      <c r="N22" s="35" t="inlineStr"/>
      <c r="O22" s="34" t="inlineStr"/>
      <c r="P22" s="6" t="inlineStr">
        <is>
          <t>Walvy_M04_Matriz_Trazabilidad_Cliente_v1.3.xlsx · 01_Matriz_Trazabilidad · TR-M04-062</t>
        </is>
      </c>
      <c r="Q22" s="6" t="inlineStr">
        <is>
          <t>En: Pantalla activa de Ruta Despeje.
→ Conservar la deuda y los datos parciales conocidos como pendiente/incompleta para el uso afectado; dejar derivados no calculables cuando falte un insumo y excluir solo la conclusion que dependa de ese faltante.</t>
        </is>
      </c>
    </row>
    <row r="23" ht="90" customHeight="1">
      <c r="A23" s="30" t="inlineStr">
        <is>
          <t>M04</t>
        </is>
      </c>
      <c r="B23" s="31" t="inlineStr">
        <is>
          <t>TR-M04-063</t>
        </is>
      </c>
      <c r="C23" s="36" t="inlineStr">
        <is>
          <t>F1 · QA funcional local</t>
        </is>
      </c>
      <c r="D23" s="33" t="inlineStr">
        <is>
          <t>FLOW-M04-007 · Onboarding 2 · Revisión</t>
        </is>
      </c>
      <c r="E23" s="33" t="inlineStr">
        <is>
          <t>Documento identifica deuda/pago pero datos son parciales</t>
        </is>
      </c>
      <c r="F23" s="33" t="inlineStr">
        <is>
          <t>OD-02 | Revisar/Completar</t>
        </is>
      </c>
      <c r="G23" s="33" t="inlineStr">
        <is>
          <t>Cuenta de prueba activa y reseteada (sin deudas ni datos previos del flujo).
Condición de entrada: OD-02 | Revisar/Completar</t>
        </is>
      </c>
      <c r="H23" s="33" t="inlineStr">
        <is>
          <t>1. Iniciar sesión con la cuenta de prueba reseteada.
2. Subir un documento que identifique una deuda pero con datos parciales
   (ej: estado de cuenta con nombre de acreedor pero sin saldo exacto).
3. Navegar a: OD-02 → card de la deuda parcial.
4. Verificar que la deuda se crea con los datos disponibles y marcada como parcial/pendiente.
5. Verificar que el quality gate impide una evaluación confiable de presión/Ruta cuando los datos son insuficientes.
6. Intentar confirmar la deuda con datos parciales y verificar que el estado queda «pendiente» si no alcanza el umbral.
   → Si la deuda existe pero el resultado es cualitativo/parcial: ✓ PASA.
CIERRE
· Registrar resultado en «Resultado obtenido» y marcar «Estado QA».
· Resetear cuenta solo si el siguiente caso requiere estado diferente al actual.
  (Perfil → Herramientas QA → «Reiniciar cuenta de prueba» (doble confirmación))</t>
        </is>
      </c>
      <c r="I23" s="33" t="inlineStr">
        <is>
          <t>Pantalla activa de Ruta Despeje.</t>
        </is>
      </c>
      <c r="J23" s="33" t="inlineStr">
        <is>
          <t>Crear deuda pendiente con origen parcial; si el quality gate no permite una evaluación confiable, mantener resultado parcial/no calculable y orientar a completar/revisar; si está confirmada pero imprecisa, conservar lectura condicionada.</t>
        </is>
      </c>
      <c r="K23" s="33" t="inlineStr"/>
      <c r="L23" s="33" t="inlineStr">
        <is>
          <t>Sí</t>
        </is>
      </c>
      <c r="M23" s="34" t="inlineStr"/>
      <c r="N23" s="35" t="inlineStr"/>
      <c r="O23" s="34" t="inlineStr"/>
      <c r="P23" s="6" t="inlineStr">
        <is>
          <t>Walvy_M04_Matriz_Trazabilidad_Cliente_v1.3.xlsx · 01_Matriz_Trazabilidad · TR-M04-063</t>
        </is>
      </c>
      <c r="Q23" s="6" t="inlineStr">
        <is>
          <t>En: Pantalla activa de Ruta Despeje.
→ Crear deuda pendiente con origen parcial; si el quality gate no permite una evaluación confiable, mantener resultado parcial/no calculable y orientar a completar/revisar; si está confirmada pero imprecisa, conservar lectura condicionada.</t>
        </is>
      </c>
    </row>
    <row r="24" ht="90" customHeight="1">
      <c r="A24" s="30" t="inlineStr">
        <is>
          <t>M04</t>
        </is>
      </c>
      <c r="B24" s="31" t="inlineStr">
        <is>
          <t>TR-M04-064</t>
        </is>
      </c>
      <c r="C24" s="36" t="inlineStr">
        <is>
          <t>F1 · QA funcional local</t>
        </is>
      </c>
      <c r="D24" s="33" t="inlineStr">
        <is>
          <t>FLOW-M04-008 · Onboarding 2 · Revisión</t>
        </is>
      </c>
      <c r="E24" s="33" t="inlineStr">
        <is>
          <t>Deuda ya confirmada</t>
        </is>
      </c>
      <c r="F24" s="33" t="inlineStr">
        <is>
          <t>OD-02 | Continuar/Revisar</t>
        </is>
      </c>
      <c r="G24" s="33" t="inlineStr">
        <is>
          <t>Cuenta de prueba activa y reseteada (sin deudas ni datos previos del flujo).
Condición de entrada: OD-02 | Continuar/Revisar</t>
        </is>
      </c>
      <c r="H24" s="33" t="inlineStr">
        <is>
          <t>1. Iniciar sesión con cuenta que tenga al menos 1 deuda ya confirmada y 1 pendiente.
2. Navegar a: OD-02 «Revisar deudas detectadas».
3. Localizar la deuda ya confirmada.
4. Verificar que su estado muestra «confirmada» y no solicita confirmación de nuevo.
5. Verificar que las demás deudas pendientes siguen disponibles para revisión individual.
6. Avanzar / continuar con la revisión del resto sin que la deuda confirmada cambie de estado.
   → Si la deuda confirmada mantiene estado y no bloquea la revisión del resto: ✓ PASA.
CIERRE
· Registrar resultado en «Resultado obtenido» y marcar «Estado QA».
· Resetear cuenta solo si el siguiente caso requiere estado diferente al actual.
  (Perfil → Herramientas QA → «Reiniciar cuenta de prueba» (doble confirmación))</t>
        </is>
      </c>
      <c r="I24" s="33" t="inlineStr">
        <is>
          <t>Pantalla activa de Ruta Despeje.</t>
        </is>
      </c>
      <c r="J24" s="33" t="inlineStr">
        <is>
          <t>Mantener estado confirmado y continuar resolución del resto de instancias.</t>
        </is>
      </c>
      <c r="K24" s="33" t="inlineStr"/>
      <c r="L24" s="33" t="inlineStr">
        <is>
          <t>Sí</t>
        </is>
      </c>
      <c r="M24" s="34" t="inlineStr"/>
      <c r="N24" s="35" t="inlineStr"/>
      <c r="O24" s="34" t="inlineStr"/>
      <c r="P24" s="6" t="inlineStr">
        <is>
          <t>Walvy_M04_Matriz_Trazabilidad_Cliente_v1.3.xlsx · 01_Matriz_Trazabilidad · TR-M04-064</t>
        </is>
      </c>
      <c r="Q24" s="6" t="inlineStr">
        <is>
          <t>En: Pantalla activa de Ruta Despeje.
→ Mantener estado confirmado y continuar resolución del resto de instancias.</t>
        </is>
      </c>
    </row>
    <row r="25" ht="90" customHeight="1">
      <c r="A25" s="30" t="inlineStr">
        <is>
          <t>M04</t>
        </is>
      </c>
      <c r="B25" s="31" t="inlineStr">
        <is>
          <t>TR-M04-065</t>
        </is>
      </c>
      <c r="C25" s="36" t="inlineStr">
        <is>
          <t>F1 · QA funcional local</t>
        </is>
      </c>
      <c r="D25" s="33" t="inlineStr">
        <is>
          <t>FLOW-M04-008 · Onboarding 2 · Revisión</t>
        </is>
      </c>
      <c r="E25" s="33" t="inlineStr">
        <is>
          <t>Todas las instancias relevantes están resueltas</t>
        </is>
      </c>
      <c r="F25" s="33" t="inlineStr">
        <is>
          <t>OD-02 | Finalizar revisión</t>
        </is>
      </c>
      <c r="G25" s="33" t="inlineStr">
        <is>
          <t>Cuenta de prueba activa y reseteada (sin deudas ni datos previos del flujo).
Condición de entrada: OD-02 | Finalizar revisión</t>
        </is>
      </c>
      <c r="H25" s="33" t="inlineStr">
        <is>
          <t>1. Iniciar sesión con cuenta que tenga todas las deudas confirmadas (sin ninguna pendiente ni con «Faltan datos»).
2. Navegar a: OD-02 «Revisa tus deudas».
3. Verificar que todas las deudas muestran chip «Confirmada» y aparece el banner inferior con texto «Tus deudas están confirmadas y listas para resultado.»
4. Verificar que el botón «Ver resultado» en el footer está habilitado (solo se habilita cuando todas están confirmadas).
5. Tocar «Ver resultado».
6. Verificar que la app navega a OD-03 «Resultado» y NO vuelve a OD-01 ni repite la carga.
   → Si navega a Resultado con todas confirmadas: ✓ PASA.
CIERRE
· Registrar resultado en «Resultado obtenido» y marcar «Estado QA».
· Resetear cuenta solo si el siguiente caso requiere estado diferente al actual.
  (Perfil → Herramientas QA → «Reiniciar cuenta de prueba» (doble confirmación))</t>
        </is>
      </c>
      <c r="I25" s="33" t="inlineStr">
        <is>
          <t>Pantalla activa de Ruta Despeje.</t>
        </is>
      </c>
      <c r="J25" s="33" t="inlineStr">
        <is>
          <t>Cerrar revisión por lote y derivar a evaluación/resultado.</t>
        </is>
      </c>
      <c r="K25" s="33" t="inlineStr"/>
      <c r="L25" s="33" t="inlineStr">
        <is>
          <t>Sí</t>
        </is>
      </c>
      <c r="M25" s="34" t="inlineStr"/>
      <c r="N25" s="35" t="inlineStr"/>
      <c r="O25" s="34" t="inlineStr"/>
      <c r="P25" s="6" t="inlineStr">
        <is>
          <t>Walvy_M04_Matriz_Trazabilidad_Cliente_v1.3.xlsx · 01_Matriz_Trazabilidad · TR-M04-065</t>
        </is>
      </c>
      <c r="Q25" s="6" t="inlineStr">
        <is>
          <t>En: Pantalla activa de Ruta Despeje.
→ Cerrar revisión por lote y derivar a evaluación/resultado.</t>
        </is>
      </c>
    </row>
    <row r="26" ht="90" customHeight="1">
      <c r="A26" s="30" t="inlineStr">
        <is>
          <t>M04</t>
        </is>
      </c>
      <c r="B26" s="31" t="inlineStr">
        <is>
          <t>TR-M04-066</t>
        </is>
      </c>
      <c r="C26" s="36" t="inlineStr">
        <is>
          <t>F1 · QA funcional local</t>
        </is>
      </c>
      <c r="D26" s="33" t="inlineStr">
        <is>
          <t>FLOW-M04-009 · Onboarding 2 · Revisión</t>
        </is>
      </c>
      <c r="E26" s="33" t="inlineStr">
        <is>
          <t>Usuario no reconoce deuda</t>
        </is>
      </c>
      <c r="F26" s="33" t="inlineStr">
        <is>
          <t>OD-02 deuda detectada | No corresponde</t>
        </is>
      </c>
      <c r="G26" s="33" t="inlineStr">
        <is>
          <t>Cuenta de prueba activa y reseteada (sin deudas ni datos previos del flujo).
Condición de entrada: OD-02 deuda detectada | No corresponde</t>
        </is>
      </c>
      <c r="H26" s="33" t="inlineStr">
        <is>
          <t>1. Iniciar sesión con cuenta que tenga al menos una deuda detectada por documento en OD-02.
2. Navegar a OD-02 → expandir la card de la deuda → tocar «Descartar deuda».
3. Verificar que aparece modal «¿Quieres descartar la deuda?» → tocar «Descartar» para confirmar.
4. Verificar que la deuda desaparece de la lista en OD-02 (no queda en gris, se va).
   Si era la última deuda, la app navega a RD-01 — ese es el comportamiento correcto.
5. Avanzar a OD-03 y verificar que la deuda descartada no figura en presión ni en Ruta Despeje.
   → Si modal aparece, deuda se elimina y queda excluida de presión/Ruta: ✓ PASA.
CIERRE
· Registrar resultado en «Resultado obtenido» y marcar «Estado QA».
· Resetear cuenta solo si el siguiente caso requiere estado diferente al actual.
  (Perfil → Herramientas QA → «Reiniciar cuenta de prueba» (doble confirmación))</t>
        </is>
      </c>
      <c r="I26" s="33" t="inlineStr">
        <is>
          <t>Pantalla activa de Ruta Despeje.</t>
        </is>
      </c>
      <c r="J26" s="33" t="inlineStr">
        <is>
          <t>Excluir de Salud/Ruta; conservar provenance mínima de origen/decisión.</t>
        </is>
      </c>
      <c r="K26" s="33" t="inlineStr"/>
      <c r="L26" s="33" t="inlineStr">
        <is>
          <t>Sí</t>
        </is>
      </c>
      <c r="M26" s="34" t="inlineStr"/>
      <c r="N26" s="35" t="inlineStr"/>
      <c r="O26" s="34" t="inlineStr"/>
      <c r="P26" s="6" t="inlineStr">
        <is>
          <t>Walvy_M04_Matriz_Trazabilidad_Cliente_v1.3.xlsx · 01_Matriz_Trazabilidad · TR-M04-066</t>
        </is>
      </c>
      <c r="Q26" s="6" t="inlineStr">
        <is>
          <t>En: Pantalla activa de Ruta Despeje.
→ Excluir de Salud/Ruta; conservar provenance mínima de origen/decisión.</t>
        </is>
      </c>
    </row>
    <row r="27" ht="90" customHeight="1">
      <c r="A27" s="30" t="inlineStr">
        <is>
          <t>M04</t>
        </is>
      </c>
      <c r="B27" s="31" t="inlineStr">
        <is>
          <t>TR-M04-067</t>
        </is>
      </c>
      <c r="C27" s="36" t="inlineStr">
        <is>
          <t>F1 · QA funcional local</t>
        </is>
      </c>
      <c r="D27" s="33" t="inlineStr">
        <is>
          <t>FLOW-M04-010 · Onboarding 2 · Revisión</t>
        </is>
      </c>
      <c r="E27" s="33" t="inlineStr">
        <is>
          <t>Existe duplicado probable</t>
        </is>
      </c>
      <c r="F27" s="33" t="inlineStr">
        <is>
          <t>OD-02 deuda detectada/registrada | Revisar coincidencia</t>
        </is>
      </c>
      <c r="G27" s="33" t="inlineStr">
        <is>
          <t>Cuenta de prueba reseteada (sin deudas previas).
Fixture con exactamente 2 deudas del MISMO acreedor cuyo saldo difiere ≤2%:
  Ej: «Banco X» $100.000 y «Banco X» $101.500 (diferencia = 1,5%).</t>
        </is>
      </c>
      <c r="H27" s="33" t="inlineStr">
        <is>
          <t>📋 FIXTURE: 2 deudas del mismo acreedor, mismo tipo, saldo con diferencia ≤10%.
   Ej: «Santander» $620.381 y «Santander» $600.000 (diferencia = 3,3%). Un CMF real sirve.
1. Cargar el fixture (o CMF con dos deudas Santander) y navegar a OD-02.
2. Verificar que las dos filas muestran chip «Posible duplicado» (reemplaza a «Faltan datos»).
3. Verificar que aparecen como dos cards separadas, no fusionadas.
4. Verificar el pie de pantalla:
   · aviso «Tienes posibles duplicados» visible;
   · «Ver resultado» deshabilitado;
   · «Ver resultado con datos parciales» deshabilitado (si aparece).
5. Expandir una de las dos filas → tocar «Resolver duplicado».
   Verificar que se abre el sheet «¿Son la misma deuda?» con 4 opciones y «Decidir después».
6. Tocar «Decidir después»: verificar que el bloqueo se mantiene.
7. Volver a abrir «Resolver duplicado», elegir una opción y verificar que el chip desaparece de las dos filas.
   → Si aviso visible, cards separadas y bloqueo hasta resolver: ✓ PASA.
CIERRE
· Registrar resultado en «Resultado obtenido» y marcar «Estado QA».
· Resetear cuenta solo si el siguiente caso requiere estado diferente al actual.
  (Perfil → Herramientas QA → «Reiniciar cuenta de prueba» (doble confirmación))</t>
        </is>
      </c>
      <c r="I27" s="33" t="inlineStr">
        <is>
          <t>Pantalla Revisión de deudas detectadas (OD-02) → banner de aviso de duplicado.</t>
        </is>
      </c>
      <c r="J27" s="33" t="inlineStr">
        <is>
          <t>Solicitar revisión; no fusionar automáticamente ni doble contabilizar.</t>
        </is>
      </c>
      <c r="K27" s="33" t="inlineStr">
        <is>
          <t>Fixture sintético CSV o XLSX con 2 deudas:
  Fila 1: nombre «Banco X», saldo $100.000, tipo tarjeta_credito, fecha_venc cualquiera.
  Fila 2: nombre «Banco X», saldo $101.500, tipo tarjeta_credito, fecha_venc cualquiera.
Diferencia de saldo = 1,5% (&lt; tolerancia 2%).
Requisito: creditorLabel o name idénticos (misma cadena, ignorando mayúsculas).</t>
        </is>
      </c>
      <c r="L27" s="33" t="inlineStr">
        <is>
          <t>Sí</t>
        </is>
      </c>
      <c r="M27" s="34" t="inlineStr"/>
      <c r="N27" s="35" t="inlineStr"/>
      <c r="O27" s="34" t="inlineStr">
        <is>
          <t>Backend: debt-review.rule.ts → detectProbableDuplicates().
Criterio: mismoAcreedor() &amp;&amp; saldoCercano() (tolerancia TOLERANCIA_SALDO=0.02).
Reason code devuelto: debt_probable_duplicate_needs_review.</t>
        </is>
      </c>
      <c r="P27" s="6" t="inlineStr">
        <is>
          <t>Walvy_M04_Matriz_Trazabilidad_Cliente_v1.3.xlsx · 01_Matriz_Trazabilidad · TR-M04-067</t>
        </is>
      </c>
      <c r="Q27" s="6" t="inlineStr">
        <is>
          <t>En: Pantalla Revisión de deudas detectadas (OD-02) → banner de aviso de duplicado.
→ Solicitar revisión; no fusionar automáticamente ni doble contabilizar.</t>
        </is>
      </c>
    </row>
    <row r="28" ht="90" customHeight="1">
      <c r="A28" s="30" t="inlineStr">
        <is>
          <t>M04</t>
        </is>
      </c>
      <c r="B28" s="31" t="inlineStr">
        <is>
          <t>TR-M04-068</t>
        </is>
      </c>
      <c r="C28" s="36" t="inlineStr">
        <is>
          <t>F1 · QA funcional local</t>
        </is>
      </c>
      <c r="D28" s="33" t="inlineStr">
        <is>
          <t>FLOW-M04-011 · Onboarding 2 · Revisión</t>
        </is>
      </c>
      <c r="E28" s="33" t="inlineStr">
        <is>
          <t>Documento contiene múltiples posibles deudas</t>
        </is>
      </c>
      <c r="F28" s="33" t="inlineStr">
        <is>
          <t>OD-02 lote | Revisar pendientes</t>
        </is>
      </c>
      <c r="G28" s="33" t="inlineStr">
        <is>
          <t>Cuenta de prueba activa y reseteada (sin deudas ni datos previos del flujo).
Condición de entrada: OD-02 lote | Revisar pendientes</t>
        </is>
      </c>
      <c r="H28" s="33" t="inlineStr">
        <is>
          <t>1. Iniciar sesión con cuenta de prueba reseteada.
2. Subir un documento que contenga múltiples deudas detectables (ej: estado de cuenta con 3+ líneas de crédito).
3. Navegar a: OD-02 «Revisar deudas detectadas».
4. Verificar que cada deuda detectada aparece como una card independiente (no consolidadas en una sola).
5. Verificar que se puede revisar/confirmar/descartar cada deuda individualmente.
6. Confirmar 1 deuda y verificar que las demás siguen pendientes de revisión.
   → Si cada deuda tiene su card individual: ✓ PASA.
CIERRE
· Registrar resultado en «Resultado obtenido» y marcar «Estado QA».
· Resetear cuenta solo si el siguiente caso requiere estado diferente al actual.
  (Perfil → Herramientas QA → «Reiniciar cuenta de prueba» (doble confirmación))</t>
        </is>
      </c>
      <c r="I28" s="33" t="inlineStr">
        <is>
          <t>Pantalla activa de Ruta Despeje.</t>
        </is>
      </c>
      <c r="J28" s="33" t="inlineStr">
        <is>
          <t>Separar instancias y revisar individualmente; no consolidar lote por defecto.</t>
        </is>
      </c>
      <c r="K28" s="33" t="inlineStr"/>
      <c r="L28" s="33" t="inlineStr">
        <is>
          <t>Sí</t>
        </is>
      </c>
      <c r="M28" s="34" t="inlineStr"/>
      <c r="N28" s="35" t="inlineStr"/>
      <c r="O28" s="34" t="inlineStr"/>
      <c r="P28" s="6" t="inlineStr">
        <is>
          <t>Walvy_M04_Matriz_Trazabilidad_Cliente_v1.3.xlsx · 01_Matriz_Trazabilidad · TR-M04-068</t>
        </is>
      </c>
      <c r="Q28" s="6" t="inlineStr">
        <is>
          <t>En: Pantalla activa de Ruta Despeje.
→ Separar instancias y revisar individualmente; no consolidar lote por defecto.</t>
        </is>
      </c>
    </row>
    <row r="29" ht="90" customHeight="1">
      <c r="A29" s="30" t="inlineStr">
        <is>
          <t>M04</t>
        </is>
      </c>
      <c r="B29" s="31" t="inlineStr">
        <is>
          <t>TR-M04-069</t>
        </is>
      </c>
      <c r="C29" s="36" t="inlineStr">
        <is>
          <t>F1 · QA funcional local</t>
        </is>
      </c>
      <c r="D29" s="33" t="inlineStr">
        <is>
          <t>FLOW-M04-011 · Onboarding 2 · Revisión</t>
        </is>
      </c>
      <c r="E29" s="33" t="inlineStr">
        <is>
          <t>Solo parte del lote está resuelta</t>
        </is>
      </c>
      <c r="F29" s="33" t="inlineStr">
        <is>
          <t>OD-02 lote | Continuar revisión</t>
        </is>
      </c>
      <c r="G29" s="33" t="inlineStr">
        <is>
          <t>Cuenta de prueba activa y reseteada (sin deudas ni datos previos del flujo).
Condición de entrada: OD-02 lote | Continuar revisión</t>
        </is>
      </c>
      <c r="H29" s="33" t="inlineStr">
        <is>
          <t>1. Iniciar sesión con cuenta seed que tenga un lote de deudas con solo algunas resueltas.
2. Navegar a: OD-02 «Revisar deudas detectadas».
3. Verificar que las deudas pendientes (sin resolver) siguen visibles en la lista.
4. Verificar que las deudas pendientes están FUERA de cualquier lectura concluyente de presión/Ruta.
5. Intentar avanzar a OD-03/resultado con el lote incompleto.
6. Verificar que la app no permite avanzar con conclusión hasta resolver el lote, o bien marca el resultado como provisional.
   → Si los pendientes siguen visibles y bloquean/marcan la conclusión: ✓ PASA.
CIERRE
· Registrar resultado en «Resultado obtenido» y marcar «Estado QA».
· Resetear cuenta solo si el siguiente caso requiere estado diferente al actual.
  (Perfil → Herramientas QA → «Reiniciar cuenta de prueba» (doble confirmación))</t>
        </is>
      </c>
      <c r="I29" s="33" t="inlineStr">
        <is>
          <t>Pantalla activa de Ruta Despeje.</t>
        </is>
      </c>
      <c r="J29" s="33" t="inlineStr">
        <is>
          <t>Mantener pendientes visibles y fuera de lectura concluyente hasta resolverlas.</t>
        </is>
      </c>
      <c r="K29" s="33" t="inlineStr"/>
      <c r="L29" s="33" t="inlineStr">
        <is>
          <t>Sí</t>
        </is>
      </c>
      <c r="M29" s="34" t="inlineStr"/>
      <c r="N29" s="35" t="inlineStr"/>
      <c r="O29" s="34" t="inlineStr"/>
      <c r="P29" s="6" t="inlineStr">
        <is>
          <t>Walvy_M04_Matriz_Trazabilidad_Cliente_v1.3.xlsx · 01_Matriz_Trazabilidad · TR-M04-069</t>
        </is>
      </c>
      <c r="Q29" s="6" t="inlineStr">
        <is>
          <t>En: Pantalla activa de Ruta Despeje.
→ Mantener pendientes visibles y fuera de lectura concluyente hasta resolverlas.</t>
        </is>
      </c>
    </row>
    <row r="30" ht="90" customHeight="1">
      <c r="A30" s="30" t="inlineStr">
        <is>
          <t>M04</t>
        </is>
      </c>
      <c r="B30" s="31" t="inlineStr">
        <is>
          <t>TR-M04-070</t>
        </is>
      </c>
      <c r="C30" s="37" t="inlineStr">
        <is>
          <t>F2 · Fixture cross-contract</t>
        </is>
      </c>
      <c r="D30" s="33" t="inlineStr">
        <is>
          <t>FLOW-M04-012 · Onboarding 2→3</t>
        </is>
      </c>
      <c r="E30" s="33" t="inlineStr">
        <is>
          <t>Base completa para evaluación</t>
        </is>
      </c>
      <c r="F30" s="33" t="inlineStr">
        <is>
          <t>OD-02→OD-03 | Siguiente/Validar</t>
        </is>
      </c>
      <c r="G30" s="33" t="inlineStr">
        <is>
          <t>Cuenta de prueba activa y reseteada (sin deudas ni datos previos del flujo).
Condición de entrada: OD-02→OD-03 | Siguiente/Validar</t>
        </is>
      </c>
      <c r="H30" s="33" t="inlineStr">
        <is>
          <t>Seguir flujo de FLOW-M04-012 · Onboarding 2→3.
CIERRE
· Registrar resultado en columna «Resultado obtenido» y marcar «Estado QA».
· Resetear solo si el siguiente caso requiere estado inicial incompatible con el actual. Casos del mismo flujo pueden reutilizar el estado.
  (Ajustes → Borrar mis datos · o solicitar reset al admin de QA)</t>
        </is>
      </c>
      <c r="I30" s="33" t="inlineStr">
        <is>
          <t>Pantalla activa de Ruta Despeje.</t>
        </is>
      </c>
      <c r="J30" s="33" t="inlineStr">
        <is>
          <t>Evaluar confirmación, suficiencia, frescura y Presión P4 antes de producir resultado.</t>
        </is>
      </c>
      <c r="K30" s="33" t="inlineStr">
        <is>
          <t xml:space="preserve">Fixture sintético (no requiere documento real).
Formato: CSV o XLSX con los valores del contrato P4 upstream cerrado.
Inyectar al menos: POSITIVE · ZERO · NOT_EVALUABLE.
</t>
        </is>
      </c>
      <c r="L30" s="33" t="inlineStr">
        <is>
          <t>Sí · con insumo dev</t>
        </is>
      </c>
      <c r="M30" s="34" t="inlineStr"/>
      <c r="N30" s="35" t="inlineStr"/>
      <c r="O30" s="34" t="inlineStr"/>
      <c r="P30" s="6" t="inlineStr">
        <is>
          <t>Walvy_M04_Matriz_Trazabilidad_Cliente_v1.3.xlsx · 01_Matriz_Trazabilidad · TR-M04-070</t>
        </is>
      </c>
      <c r="Q30" s="6" t="inlineStr">
        <is>
          <t>En: Pantalla activa de Ruta Despeje.
→ Evaluar confirmación, suficiencia, frescura y Presión P4 antes de producir resultado.</t>
        </is>
      </c>
    </row>
    <row r="31" ht="90" customHeight="1">
      <c r="A31" s="30" t="inlineStr">
        <is>
          <t>M04</t>
        </is>
      </c>
      <c r="B31" s="31" t="inlineStr">
        <is>
          <t>TR-M04-071</t>
        </is>
      </c>
      <c r="C31" s="37" t="inlineStr">
        <is>
          <t>F2 · Fixture cross-contract</t>
        </is>
      </c>
      <c r="D31" s="33" t="inlineStr">
        <is>
          <t>FLOW-M04-012 · Onboarding 2→3</t>
        </is>
      </c>
      <c r="E31" s="33" t="inlineStr">
        <is>
          <t>Base permite lectura cualitativa pero precisión es limitada</t>
        </is>
      </c>
      <c r="F31" s="33" t="inlineStr">
        <is>
          <t>OD-02→OD-03 | Siguiente/Validar</t>
        </is>
      </c>
      <c r="G31" s="33" t="inlineStr">
        <is>
          <t>Cuenta de prueba activa y reseteada (sin deudas ni datos previos del flujo).
Condición de entrada: OD-02→OD-03 | Siguiente/Validar</t>
        </is>
      </c>
      <c r="H31" s="33" t="inlineStr">
        <is>
          <t>Seguir flujo de FLOW-M04-012 · Onboarding 2→3.
CIERRE
· Registrar resultado en columna «Resultado obtenido» y marcar «Estado QA».
· Resetear solo si el siguiente caso requiere estado inicial incompatible con el actual. Casos del mismo flujo pueden reutilizar el estado.
  (Ajustes → Borrar mis datos · o solicitar reset al admin de QA)</t>
        </is>
      </c>
      <c r="I31" s="33" t="inlineStr">
        <is>
          <t>Pantalla activa de Ruta Despeje.</t>
        </is>
      </c>
      <c r="J31" s="33" t="inlineStr">
        <is>
          <t>Degradar la lectura cuando la calidad es insuficiente; un faltante material bloquea En Control, sin borrar evidencia adversa independientemente suficiente.</t>
        </is>
      </c>
      <c r="K31" s="33" t="inlineStr">
        <is>
          <t xml:space="preserve">Fixture sintético (no requiere documento real).
Formato: CSV o XLSX con los valores del contrato P4 upstream cerrado.
Inyectar al menos: POSITIVE · ZERO · NOT_EVALUABLE.
</t>
        </is>
      </c>
      <c r="L31" s="33" t="inlineStr">
        <is>
          <t>Sí · con insumo dev</t>
        </is>
      </c>
      <c r="M31" s="34" t="inlineStr"/>
      <c r="N31" s="35" t="inlineStr"/>
      <c r="O31" s="34" t="inlineStr"/>
      <c r="P31" s="6" t="inlineStr">
        <is>
          <t>Walvy_M04_Matriz_Trazabilidad_Cliente_v1.3.xlsx · 01_Matriz_Trazabilidad · TR-M04-071</t>
        </is>
      </c>
      <c r="Q31" s="6" t="inlineStr">
        <is>
          <t>En: Pantalla activa de Ruta Despeje.
→ Degradar la lectura cuando la calidad es insuficiente; un faltante material bloquea En Control, sin borrar evidencia adversa independientemente suficiente.</t>
        </is>
      </c>
    </row>
    <row r="32" ht="90" customHeight="1">
      <c r="A32" s="30" t="inlineStr">
        <is>
          <t>M04</t>
        </is>
      </c>
      <c r="B32" s="31" t="inlineStr">
        <is>
          <t>TR-M04-072</t>
        </is>
      </c>
      <c r="C32" s="37" t="inlineStr">
        <is>
          <t>F2 · Fixture cross-contract</t>
        </is>
      </c>
      <c r="D32" s="33" t="inlineStr">
        <is>
          <t>FLOW-M04-012 · Onboarding 2→3</t>
        </is>
      </c>
      <c r="E32" s="33" t="inlineStr">
        <is>
          <t>Falta dato crítico o confirmación</t>
        </is>
      </c>
      <c r="F32" s="33" t="inlineStr">
        <is>
          <t>OD-02→OD-03 | Siguiente/Validar</t>
        </is>
      </c>
      <c r="G32" s="33" t="inlineStr">
        <is>
          <t>Cuenta de prueba activa y reseteada (sin deudas ni datos previos del flujo).
Condición de entrada: OD-02→OD-03 | Siguiente/Validar</t>
        </is>
      </c>
      <c r="H32" s="33" t="inlineStr">
        <is>
          <t>Seguir flujo de FLOW-M04-012 · Onboarding 2→3.
CIERRE
· Registrar resultado en columna «Resultado obtenido» y marcar «Estado QA».
· Resetear solo si el siguiente caso requiere estado inicial incompatible con el actual. Casos del mismo flujo pueden reutilizar el estado.
  (Ajustes → Borrar mis datos · o solicitar reset al admin de QA)</t>
        </is>
      </c>
      <c r="I32" s="33" t="inlineStr">
        <is>
          <t>Pantalla activa de Ruta Despeje.</t>
        </is>
      </c>
      <c r="J32" s="33" t="inlineStr">
        <is>
          <t>Bloquear conclusión fuerte favorable y devolver a completitud/confirmación cuando falte dato material o confirmación.</t>
        </is>
      </c>
      <c r="K32" s="33" t="inlineStr">
        <is>
          <t xml:space="preserve">Fixture sintético (no requiere documento real).
Formato: CSV o XLSX con los valores del contrato P4 upstream cerrado.
Inyectar al menos: POSITIVE · ZERO · NOT_EVALUABLE.
</t>
        </is>
      </c>
      <c r="L32" s="33" t="inlineStr">
        <is>
          <t>Sí · con insumo dev</t>
        </is>
      </c>
      <c r="M32" s="34" t="inlineStr"/>
      <c r="N32" s="35" t="inlineStr"/>
      <c r="O32" s="34" t="inlineStr"/>
      <c r="P32" s="6" t="inlineStr">
        <is>
          <t>Walvy_M04_Matriz_Trazabilidad_Cliente_v1.3.xlsx · 01_Matriz_Trazabilidad · TR-M04-072</t>
        </is>
      </c>
      <c r="Q32" s="6" t="inlineStr">
        <is>
          <t>En: Pantalla activa de Ruta Despeje.
→ Bloquear conclusión fuerte favorable y devolver a completitud/confirmación cuando falte dato material o confirmación.</t>
        </is>
      </c>
    </row>
    <row r="33" ht="90" customHeight="1">
      <c r="A33" s="30" t="inlineStr">
        <is>
          <t>M04</t>
        </is>
      </c>
      <c r="B33" s="31" t="inlineStr">
        <is>
          <t>TR-M04-073</t>
        </is>
      </c>
      <c r="C33" s="37" t="inlineStr">
        <is>
          <t>F2 · Fixture cross-contract</t>
        </is>
      </c>
      <c r="D33" s="33" t="inlineStr">
        <is>
          <t>FLOW-M04-013 · Onboarding 3 · Resultado</t>
        </is>
      </c>
      <c r="E33" s="33" t="inlineStr">
        <is>
          <t>Deuda confirmada con Presión final En Control y datos suficientes</t>
        </is>
      </c>
      <c r="F33" s="33" t="inlineStr">
        <is>
          <t>OD-03 Resultado | Ver detalle/Revisar pagos</t>
        </is>
      </c>
      <c r="G33" s="33" t="inlineStr">
        <is>
          <t>Cuenta de prueba activa y reseteada (sin deudas ni datos previos del flujo).
Condición de entrada: OD-03 Resultado | Ver detalle/Revisar pagos</t>
        </is>
      </c>
      <c r="H33" s="33" t="inlineStr">
        <is>
          <t>Seguir flujo de FLOW-M04-013 · Onboarding 3 · Resultado.
CIERRE
· Registrar resultado en columna «Resultado obtenido» y marcar «Estado QA».
· Resetear solo si el siguiente caso requiere estado inicial incompatible con el actual. Casos del mismo flujo pueden reutilizar el estado.
  (Ajustes → Borrar mis datos · o solicitar reset al admin de QA)</t>
        </is>
      </c>
      <c r="I33" s="33" t="inlineStr">
        <is>
          <t>Pantalla activa de Ruta Despeje.</t>
        </is>
      </c>
      <c r="J33" s="33" t="inlineStr">
        <is>
          <t>Mostrar En Control/seguimiento y mantener Ruta inactiva; el CTA operativo puede derivar a M06 sin cambiar ownership.</t>
        </is>
      </c>
      <c r="K33" s="33" t="inlineStr">
        <is>
          <t xml:space="preserve">Fixture sintético (no requiere documento real).
Formato: CSV o XLSX con los valores del contrato P4 upstream cerrado.
Inyectar al menos: POSITIVE · ZERO · NOT_EVALUABLE.
</t>
        </is>
      </c>
      <c r="L33" s="33" t="inlineStr">
        <is>
          <t>Sí · con insumo dev</t>
        </is>
      </c>
      <c r="M33" s="34" t="inlineStr"/>
      <c r="N33" s="35" t="inlineStr"/>
      <c r="O33" s="34" t="inlineStr"/>
      <c r="P33" s="6" t="inlineStr">
        <is>
          <t>Walvy_M04_Matriz_Trazabilidad_Cliente_v1.3.xlsx · 01_Matriz_Trazabilidad · TR-M04-073</t>
        </is>
      </c>
      <c r="Q33" s="6" t="inlineStr">
        <is>
          <t>En: Pantalla activa de Ruta Despeje.
→ Mostrar En Control/seguimiento y mantener Ruta inactiva; el CTA operativo puede derivar a M06 sin cambiar ownership.</t>
        </is>
      </c>
    </row>
    <row r="34" ht="90" customHeight="1">
      <c r="A34" s="30" t="inlineStr">
        <is>
          <t>M04</t>
        </is>
      </c>
      <c r="B34" s="31" t="inlineStr">
        <is>
          <t>TR-M04-074</t>
        </is>
      </c>
      <c r="C34" s="36" t="inlineStr">
        <is>
          <t>F1 · QA funcional local</t>
        </is>
      </c>
      <c r="D34" s="33" t="inlineStr">
        <is>
          <t>FLOW-M04-013 · Onboarding 3 · Resultado</t>
        </is>
      </c>
      <c r="E34" s="33" t="inlineStr">
        <is>
          <t>Estado En Control M04 con acción operativa de pagos perteneciente a M06.</t>
        </is>
      </c>
      <c r="F34" s="33" t="inlineStr">
        <is>
          <t>OD-03 Resultado | Revisar mis pagos</t>
        </is>
      </c>
      <c r="G34" s="33" t="inlineStr">
        <is>
          <t>Cuenta de prueba activa y reseteada (sin deudas ni datos previos del flujo).
Condición de entrada: OD-03 Resultado | Revisar mis pagos</t>
        </is>
      </c>
      <c r="H34" s="33" t="inlineStr">
        <is>
          <t>📋 FIXTURE REQUERIDO: cuenta seed «od03-sana».
   Email: qa-m04-od03-sana-*@walvy.local · Password: Walvy2024!
1. Iniciar sesión con la cuenta seed od03-sana (estado: En Control M04).
2. Navegar a: OD-03 Resultado → pantalla de estado del onboarding.
3. Verificar que el estado muestra «En Control» (Salud M04 no crítica).
4. Localizar el CTA de pagos (ej: «Revisar mis pagos» o equivalente operativo de M06).
5. Tocar el CTA y verificar que navega hacia la sección de Pagos (M06), no a Ruta Despeje.
6. Verificar que M04 no crea un calendario de pagos propio; la responsabilidad queda en M06.
   → Si el CTA deriva a M06/Pagos sin crear historial M04: ✓ PASA.
CIERRE
· Registrar resultado en «Resultado obtenido» y marcar «Estado QA».
· Resetear cuenta solo si el siguiente caso requiere estado diferente al actual.
  (Perfil → Herramientas QA → «Reiniciar cuenta de prueba» (doble confirmación))</t>
        </is>
      </c>
      <c r="I34" s="33" t="inlineStr">
        <is>
          <t>Pantalla activa de Ruta Despeje.</t>
        </is>
      </c>
      <c r="J34" s="33" t="inlineStr">
        <is>
          <t>CTA observado deriva a M06/Pagos manteniendo owner M06.</t>
        </is>
      </c>
      <c r="K34" s="43" t="inlineStr">
        <is>
          <t>── CUENTA SEED (origin/qa) ──
Email   : qa-m04-od03-sana-*@walvy.local
Password: Walvy2024!
Grupo   : A1
Estado  : OD-03 · presión en_control · 1 deuda confirmada (tarjeta_credito $300k cuota $150k) · debt_cycle total · ruta NO activada
(El email exacto queda en la salida del script seed-qa-m04.mjs)</t>
        </is>
      </c>
      <c r="L34" s="33" t="inlineStr">
        <is>
          <t>Sí · con insumo dev</t>
        </is>
      </c>
      <c r="M34" s="34" t="inlineStr"/>
      <c r="N34" s="35" t="inlineStr"/>
      <c r="O34" s="34" t="inlineStr"/>
      <c r="P34" s="6" t="inlineStr">
        <is>
          <t>Walvy_M04_Matriz_Trazabilidad_Cliente_v1.3.xlsx · 01_Matriz_Trazabilidad · TR-M04-074</t>
        </is>
      </c>
      <c r="Q34" s="6" t="inlineStr">
        <is>
          <t>En: Pantalla activa de Ruta Despeje.
→ CTA observado deriva a M06/Pagos manteniendo owner M06.</t>
        </is>
      </c>
    </row>
    <row r="35" ht="90" customHeight="1">
      <c r="A35" s="30" t="inlineStr">
        <is>
          <t>M04</t>
        </is>
      </c>
      <c r="B35" s="31" t="inlineStr">
        <is>
          <t>TR-M04-075</t>
        </is>
      </c>
      <c r="C35" s="37" t="inlineStr">
        <is>
          <t>F2 · Fixture cross-contract</t>
        </is>
      </c>
      <c r="D35" s="33" t="inlineStr">
        <is>
          <t>FLOW-M04-013 · Onboarding 3 · Resultado</t>
        </is>
      </c>
      <c r="E35" s="33" t="inlineStr">
        <is>
          <t>Tarjeta con total facturado pagado dentro del ciclo</t>
        </is>
      </c>
      <c r="F35" s="33" t="inlineStr">
        <is>
          <t>OD-03 Resultado | Lectura de ciclo</t>
        </is>
      </c>
      <c r="G35" s="33" t="inlineStr">
        <is>
          <t>Cuenta de prueba activa y reseteada (sin deudas ni datos previos del flujo).
Condición de entrada: OD-03 Resultado | Lectura de ciclo</t>
        </is>
      </c>
      <c r="H35" s="33" t="inlineStr">
        <is>
          <t>Seguir flujo de FLOW-M04-013 · Onboarding 3 · Resultado.
CIERRE
· Registrar resultado en columna «Resultado obtenido» y marcar «Estado QA».
· Resetear solo si el siguiente caso requiere estado inicial incompatible con el actual. Casos del mismo flujo pueden reutilizar el estado.
  (Ajustes → Borrar mis datos · o solicitar reset al admin de QA)</t>
        </is>
      </c>
      <c r="I35" s="33" t="inlineStr">
        <is>
          <t>Pantalla activa de Ruta Despeje.</t>
        </is>
      </c>
      <c r="J35" s="33" t="inlineStr">
        <is>
          <t>Ciclo con total facturado cubierto: D0 por este comportamiento. La Presión final se determina por el contrato P4 completo; no escalar por el ciclo pagado.</t>
        </is>
      </c>
      <c r="K35" s="33" t="inlineStr">
        <is>
          <t xml:space="preserve">Fixture sintético (no requiere documento real).
Formato: CSV o XLSX con los valores del contrato P4 upstream cerrado.
Inyectar al menos: POSITIVE · ZERO · NOT_EVALUABLE.
</t>
        </is>
      </c>
      <c r="L35" s="33" t="inlineStr">
        <is>
          <t>Sí · con insumo dev</t>
        </is>
      </c>
      <c r="M35" s="34" t="inlineStr"/>
      <c r="N35" s="35" t="inlineStr"/>
      <c r="O35" s="34" t="inlineStr"/>
      <c r="P35" s="6" t="inlineStr">
        <is>
          <t>Walvy_M04_Matriz_Trazabilidad_Cliente_v1.3.xlsx · 01_Matriz_Trazabilidad · TR-M04-075</t>
        </is>
      </c>
      <c r="Q35" s="6" t="inlineStr">
        <is>
          <t>En: Pantalla activa de Ruta Despeje.
→ Ciclo con total facturado cubierto: D0 por este comportamiento. La Presión final se determina por el contrato P4 completo; no escalar por el ciclo pagado.</t>
        </is>
      </c>
    </row>
    <row r="36" ht="90" customHeight="1">
      <c r="A36" s="30" t="inlineStr">
        <is>
          <t>M04</t>
        </is>
      </c>
      <c r="B36" s="31" t="inlineStr">
        <is>
          <t>TR-M04-076</t>
        </is>
      </c>
      <c r="C36" s="37" t="inlineStr">
        <is>
          <t>F2 · Fixture cross-contract</t>
        </is>
      </c>
      <c r="D36" s="33" t="inlineStr">
        <is>
          <t>FLOW-M04-013 · Onboarding 3 · Resultado</t>
        </is>
      </c>
      <c r="E36" s="33" t="inlineStr">
        <is>
          <t>Compras en cuotas al día</t>
        </is>
      </c>
      <c r="F36" s="33" t="inlineStr">
        <is>
          <t>OD-03 Resultado | Lectura de cuotas</t>
        </is>
      </c>
      <c r="G36" s="33" t="inlineStr">
        <is>
          <t>Cuenta de prueba activa y reseteada (sin deudas ni datos previos del flujo).
Condición de entrada: OD-03 Resultado | Lectura de cuotas</t>
        </is>
      </c>
      <c r="H36" s="33" t="inlineStr">
        <is>
          <t>Seguir flujo de FLOW-M04-013 · Onboarding 3 · Resultado.
CIERRE
· Registrar resultado en columna «Resultado obtenido» y marcar «Estado QA».
· Resetear solo si el siguiente caso requiere estado inicial incompatible con el actual. Casos del mismo flujo pueden reutilizar el estado.
  (Ajustes → Borrar mis datos · o solicitar reset al admin de QA)</t>
        </is>
      </c>
      <c r="I36" s="33" t="inlineStr">
        <is>
          <t>Pantalla activa de Ruta Despeje.</t>
        </is>
      </c>
      <c r="J36" s="33" t="inlineStr">
        <is>
          <t>Compras en cuotas al día: D0 por ese comportamiento; la cuota sí integra C cuando corresponda y no activa Ruta por existir.</t>
        </is>
      </c>
      <c r="K36" s="33" t="inlineStr">
        <is>
          <t xml:space="preserve">Fixture sintético (no requiere documento real).
Formato: CSV o XLSX con los valores del contrato P4 upstream cerrado.
Inyectar al menos: POSITIVE · ZERO · NOT_EVALUABLE.
</t>
        </is>
      </c>
      <c r="L36" s="33" t="inlineStr">
        <is>
          <t>Sí · con insumo dev</t>
        </is>
      </c>
      <c r="M36" s="34" t="inlineStr"/>
      <c r="N36" s="35" t="inlineStr"/>
      <c r="O36" s="34" t="inlineStr"/>
      <c r="P36" s="6" t="inlineStr">
        <is>
          <t>Walvy_M04_Matriz_Trazabilidad_Cliente_v1.3.xlsx · 01_Matriz_Trazabilidad · TR-M04-076</t>
        </is>
      </c>
      <c r="Q36" s="6" t="inlineStr">
        <is>
          <t>En: Pantalla activa de Ruta Despeje.
→ Compras en cuotas al día: D0 por ese comportamiento; la cuota sí integra C cuando corresponda y no activa Ruta por existir.</t>
        </is>
      </c>
    </row>
    <row r="37" ht="90" customHeight="1">
      <c r="A37" s="30" t="inlineStr">
        <is>
          <t>M04</t>
        </is>
      </c>
      <c r="B37" s="31" t="inlineStr">
        <is>
          <t>TR-M04-077</t>
        </is>
      </c>
      <c r="C37" s="37" t="inlineStr">
        <is>
          <t>F2 · Fixture cross-contract</t>
        </is>
      </c>
      <c r="D37" s="33" t="inlineStr">
        <is>
          <t>FLOW-M04-014 · Onboarding 3 · Resultado</t>
        </is>
      </c>
      <c r="E37" s="33" t="inlineStr">
        <is>
          <t>Capacidad ajustada/baja según K canónico</t>
        </is>
      </c>
      <c r="F37" s="33" t="inlineStr">
        <is>
          <t>OD-03 Resultado | Revisar</t>
        </is>
      </c>
      <c r="G37" s="33" t="inlineStr">
        <is>
          <t>Cuenta de prueba activa y reseteada (sin deudas ni datos previos del flujo).
Condición de entrada: OD-03 Resultado | Revisar</t>
        </is>
      </c>
      <c r="H37" s="33" t="inlineStr">
        <is>
          <t>Seguir flujo de FLOW-M04-014 · Onboarding 3 · Resultado.
CIERRE
· Registrar resultado en columna «Resultado obtenido» y marcar «Estado QA».
· Resetear solo si el siguiente caso requiere estado inicial incompatible con el actual. Casos del mismo flujo pueden reutilizar el estado.
  (Ajustes → Borrar mis datos · o solicitar reset al admin de QA)</t>
        </is>
      </c>
      <c r="I37" s="33" t="inlineStr">
        <is>
          <t>Pantalla activa de Ruta Despeje.</t>
        </is>
      </c>
      <c r="J37" s="33" t="inlineStr">
        <is>
          <t>No aplicar un floor independiente de 5%. Consumir K canónico y dejar que C×K×D determine Presión.</t>
        </is>
      </c>
      <c r="K37" s="33" t="inlineStr">
        <is>
          <t xml:space="preserve">Fixture sintético (no requiere documento real).
Formato: CSV o XLSX con los valores del contrato P4 upstream cerrado.
Inyectar al menos: POSITIVE · ZERO · NOT_EVALUABLE.
</t>
        </is>
      </c>
      <c r="L37" s="33" t="inlineStr">
        <is>
          <t>Sí · con insumo dev</t>
        </is>
      </c>
      <c r="M37" s="34" t="inlineStr"/>
      <c r="N37" s="35" t="inlineStr"/>
      <c r="O37" s="34" t="inlineStr"/>
      <c r="P37" s="6" t="inlineStr">
        <is>
          <t>Walvy_M04_Matriz_Trazabilidad_Cliente_v1.3.xlsx · 01_Matriz_Trazabilidad · TR-M04-077</t>
        </is>
      </c>
      <c r="Q37" s="6" t="inlineStr">
        <is>
          <t>En: Pantalla activa de Ruta Despeje.
→ No aplicar un floor independiente de 5%. Consumir K canónico y dejar que C×K×D determine Presión.</t>
        </is>
      </c>
    </row>
    <row r="38" ht="90" customHeight="1">
      <c r="A38" s="30" t="inlineStr">
        <is>
          <t>M04</t>
        </is>
      </c>
      <c r="B38" s="31" t="inlineStr">
        <is>
          <t>TR-M04-078</t>
        </is>
      </c>
      <c r="C38" s="36" t="inlineStr">
        <is>
          <t>F1 · QA funcional local</t>
        </is>
      </c>
      <c r="D38" s="33" t="inlineStr">
        <is>
          <t>FLOW-M04-014 · Onboarding 3 · Resultado</t>
        </is>
      </c>
      <c r="E38" s="33" t="inlineStr">
        <is>
          <t>4+ cuotas y ratio agregado &gt;=8% del ingreso</t>
        </is>
      </c>
      <c r="F38" s="33" t="inlineStr">
        <is>
          <t>OD-03 Resultado | Revisar deudas</t>
        </is>
      </c>
      <c r="G38" s="33" t="inlineStr">
        <is>
          <t>Cuenta de prueba activa y reseteada (sin deudas ni datos previos del flujo).
Condición de entrada: OD-03 Resultado | Revisar deudas</t>
        </is>
      </c>
      <c r="H38" s="33" t="inlineStr">
        <is>
          <t>📋 FIXTURE REQUERIDO: cuenta seed «od03-fragmentado».
   Email: qa-m04-od03-fragmentado-*@walvy.local · Password: Walvy2024!
1. Iniciar sesión con la cuenta seed od03-fragmentado (≥4 cuotas activas, ratio ≥8% ingreso).
2. Navegar a: OD-03 Resultado.
3. Verificar que aparece el detector contextual de fragmentación (aviso o indicador informativo).
4. Verificar que el aviso de fragmentación NO cambia por sí solo la banda de Presión (semáforo).
5. Verificar que el aviso de fragmentación NO cambia la elegibilidad de Ruta (si era elegible, sigue siendo elegible).
   → Si el detector aparece sin alterar Presión ni elegibilidad: ✓ PASA.
CIERRE
· Registrar resultado en «Resultado obtenido» y marcar «Estado QA».
· Resetear cuenta solo si el siguiente caso requiere estado diferente al actual.
  (Perfil → Herramientas QA → «Reiniciar cuenta de prueba» (doble confirmación))</t>
        </is>
      </c>
      <c r="I38" s="33" t="inlineStr">
        <is>
          <t>Pantalla activa de Ruta Despeje.</t>
        </is>
      </c>
      <c r="J38" s="33" t="inlineStr">
        <is>
          <t>Registrar detector contextual de fragmentación. No altera por sí solo la banda de Presión ni la elegibilidad de Ruta.</t>
        </is>
      </c>
      <c r="K38" s="43" t="inlineStr">
        <is>
          <t>── CUENTA SEED (origin/qa) ──
Email   : qa-m04-od03-fragmentado-*@walvy.local
Password: Walvy2024!
Grupo   : A2
Estado  : OD-03 · 4 deudas cuota_activa confirmadas ($25k c/u) · ratio fragmentación 10% · RGL-022 activo · ruta NO activada
(El email exacto queda en la salida del script seed-qa-m04.mjs)</t>
        </is>
      </c>
      <c r="L38" s="33" t="inlineStr">
        <is>
          <t>Sí · con insumo dev</t>
        </is>
      </c>
      <c r="M38" s="34" t="inlineStr"/>
      <c r="N38" s="35" t="inlineStr"/>
      <c r="O38" s="34" t="inlineStr"/>
      <c r="P38" s="6" t="inlineStr">
        <is>
          <t>Walvy_M04_Matriz_Trazabilidad_Cliente_v1.3.xlsx · 01_Matriz_Trazabilidad · TR-M04-078</t>
        </is>
      </c>
      <c r="Q38" s="6" t="inlineStr">
        <is>
          <t>En: Pantalla activa de Ruta Despeje.
→ Registrar detector contextual de fragmentación. No altera por sí solo la banda de Presión ni la elegibilidad de Ruta.</t>
        </is>
      </c>
    </row>
    <row r="39" ht="90" customHeight="1">
      <c r="A39" s="30" t="inlineStr">
        <is>
          <t>M04</t>
        </is>
      </c>
      <c r="B39" s="31" t="inlineStr">
        <is>
          <t>TR-M04-079</t>
        </is>
      </c>
      <c r="C39" s="37" t="inlineStr">
        <is>
          <t>F2 · Fixture cross-contract</t>
        </is>
      </c>
      <c r="D39" s="33" t="inlineStr">
        <is>
          <t>FLOW-M04-014 · Onboarding 3 · Resultado</t>
        </is>
      </c>
      <c r="E39" s="33" t="inlineStr">
        <is>
          <t>Liquidez financiada puntual para flujo ordinario, justificable como descalce y no recurrente</t>
        </is>
      </c>
      <c r="F39" s="33" t="inlineStr">
        <is>
          <t>OD-03 Resultado | Revisar deudas</t>
        </is>
      </c>
      <c r="G39" s="33" t="inlineStr">
        <is>
          <t>Cuenta de prueba activa y reseteada (sin deudas ni datos previos del flujo).
Condición de entrada: OD-03 Resultado | Revisar deudas</t>
        </is>
      </c>
      <c r="H39" s="33" t="inlineStr">
        <is>
          <t>Seguir flujo de FLOW-M04-014 · Onboarding 3 · Resultado.
CIERRE
· Registrar resultado en columna «Resultado obtenido» y marcar «Estado QA».
· Resetear solo si el siguiente caso requiere estado inicial incompatible con el actual. Casos del mismo flujo pueden reutilizar el estado.
  (Ajustes → Borrar mis datos · o solicitar reset al admin de QA)</t>
        </is>
      </c>
      <c r="I39" s="33" t="inlineStr">
        <is>
          <t>Pantalla activa de Ruta Despeje.</t>
        </is>
      </c>
      <c r="J39" s="33" t="inlineStr">
        <is>
          <t>Mantener contexto sin floor en el primer ciclo; si reaparece en ciclos consecutivos comparables, reevaluar bajo recurrencia RGL-021.</t>
        </is>
      </c>
      <c r="K39" s="33" t="inlineStr">
        <is>
          <t xml:space="preserve">Fixture sintético (no requiere documento real).
Formato: CSV o XLSX con los valores del contrato P4 upstream cerrado.
Inyectar al menos: POSITIVE · ZERO · NOT_EVALUABLE.
</t>
        </is>
      </c>
      <c r="L39" s="33" t="inlineStr">
        <is>
          <t>Sí · con insumo dev</t>
        </is>
      </c>
      <c r="M39" s="34" t="inlineStr"/>
      <c r="N39" s="35" t="inlineStr"/>
      <c r="O39" s="34" t="inlineStr"/>
      <c r="P39" s="6" t="inlineStr">
        <is>
          <t>Walvy_M04_Matriz_Trazabilidad_Cliente_v1.3.xlsx · 01_Matriz_Trazabilidad · TR-M04-079</t>
        </is>
      </c>
      <c r="Q39" s="6" t="inlineStr">
        <is>
          <t>En: Pantalla activa de Ruta Despeje.
→ Mantener contexto sin floor en el primer ciclo; si reaparece en ciclos consecutivos comparables, reevaluar bajo recurrencia RGL-021.</t>
        </is>
      </c>
    </row>
    <row r="40" ht="90" customHeight="1">
      <c r="A40" s="30" t="inlineStr">
        <is>
          <t>M04</t>
        </is>
      </c>
      <c r="B40" s="31" t="inlineStr">
        <is>
          <t>TR-M04-080</t>
        </is>
      </c>
      <c r="C40" s="37" t="inlineStr">
        <is>
          <t>F2 · Fixture cross-contract</t>
        </is>
      </c>
      <c r="D40" s="33" t="inlineStr">
        <is>
          <t>FLOW-M04-014 · Onboarding 3 · Resultado</t>
        </is>
      </c>
      <c r="E40" s="33" t="inlineStr">
        <is>
          <t>Cuotas con intereses/CAE/comisiones sin presión fuerte</t>
        </is>
      </c>
      <c r="F40" s="33" t="inlineStr">
        <is>
          <t>OD-03 Resultado | Revisar</t>
        </is>
      </c>
      <c r="G40" s="33" t="inlineStr">
        <is>
          <t>Cuenta de prueba activa y reseteada (sin deudas ni datos previos del flujo).
Condición de entrada: OD-03 Resultado | Revisar</t>
        </is>
      </c>
      <c r="H40" s="33" t="inlineStr">
        <is>
          <t>Seguir flujo de FLOW-M04-014 · Onboarding 3 · Resultado.
CIERRE
· Registrar resultado en columna «Resultado obtenido» y marcar «Estado QA».
· Resetear solo si el siguiente caso requiere estado inicial incompatible con el actual. Casos del mismo flujo pueden reutilizar el estado.
  (Ajustes → Borrar mis datos · o solicitar reset al admin de QA)</t>
        </is>
      </c>
      <c r="I40" s="33" t="inlineStr">
        <is>
          <t>Pantalla activa de Ruta Despeje.</t>
        </is>
      </c>
      <c r="J40" s="33" t="inlineStr">
        <is>
          <t>Interés, CAE o comisión financiera ordinaria no genera D por sí sola. Si está incorporada en la cuota/servicio, impacta C sin doble conteo.</t>
        </is>
      </c>
      <c r="K40" s="33" t="inlineStr">
        <is>
          <t xml:space="preserve">Fixture sintético (no requiere documento real).
Formato: CSV o XLSX con los valores del contrato P4 upstream cerrado.
Inyectar al menos: POSITIVE · ZERO · NOT_EVALUABLE.
</t>
        </is>
      </c>
      <c r="L40" s="33" t="inlineStr">
        <is>
          <t>Sí · con insumo dev</t>
        </is>
      </c>
      <c r="M40" s="34" t="inlineStr"/>
      <c r="N40" s="35" t="inlineStr"/>
      <c r="O40" s="34" t="inlineStr"/>
      <c r="P40" s="6" t="inlineStr">
        <is>
          <t>Walvy_M04_Matriz_Trazabilidad_Cliente_v1.3.xlsx · 01_Matriz_Trazabilidad · TR-M04-080</t>
        </is>
      </c>
      <c r="Q40" s="6" t="inlineStr">
        <is>
          <t>En: Pantalla activa de Ruta Despeje.
→ Interés, CAE o comisión financiera ordinaria no genera D por sí sola. Si está incorporada en la cuota/servicio, impacta C sin doble conteo.</t>
        </is>
      </c>
    </row>
    <row r="41" ht="90" customHeight="1">
      <c r="A41" s="30" t="inlineStr">
        <is>
          <t>M04</t>
        </is>
      </c>
      <c r="B41" s="31" t="inlineStr">
        <is>
          <t>TR-M04-081</t>
        </is>
      </c>
      <c r="C41" s="37" t="inlineStr">
        <is>
          <t>F2 · Fixture cross-contract</t>
        </is>
      </c>
      <c r="D41" s="33" t="inlineStr">
        <is>
          <t>FLOW-M04-014 · Onboarding 3 · Resultado</t>
        </is>
      </c>
      <c r="E41" s="33" t="inlineStr">
        <is>
          <t>Dato crítico no vigente o confianza insuficiente</t>
        </is>
      </c>
      <c r="F41" s="33" t="inlineStr">
        <is>
          <t>OD-03 Resultado | Corregir</t>
        </is>
      </c>
      <c r="G41" s="33" t="inlineStr">
        <is>
          <t>Cuenta de prueba activa y reseteada (sin deudas ni datos previos del flujo).
Condición de entrada: OD-03 Resultado | Corregir</t>
        </is>
      </c>
      <c r="H41" s="33" t="inlineStr">
        <is>
          <t>Seguir flujo de FLOW-M04-014 · Onboarding 3 · Resultado.
CIERRE
· Registrar resultado en columna «Resultado obtenido» y marcar «Estado QA».
· Resetear solo si el siguiente caso requiere estado inicial incompatible con el actual. Casos del mismo flujo pueden reutilizar el estado.
  (Ajustes → Borrar mis datos · o solicitar reset al admin de QA)</t>
        </is>
      </c>
      <c r="I41" s="33" t="inlineStr">
        <is>
          <t>Pantalla activa de Ruta Despeje.</t>
        </is>
      </c>
      <c r="J41" s="33" t="inlineStr">
        <is>
          <t>Degradar lectura y pedir corrección cuando un dato material no sea vigente/confiable; faltantes materiales bloquean En Control.</t>
        </is>
      </c>
      <c r="K41" s="33" t="inlineStr">
        <is>
          <t xml:space="preserve">Fixture sintético (no requiere documento real).
Formato: CSV o XLSX con los valores del contrato P4 upstream cerrado.
Inyectar al menos: POSITIVE · ZERO · NOT_EVALUABLE.
</t>
        </is>
      </c>
      <c r="L41" s="33" t="inlineStr">
        <is>
          <t>Sí · con insumo dev</t>
        </is>
      </c>
      <c r="M41" s="34" t="inlineStr"/>
      <c r="N41" s="35" t="inlineStr"/>
      <c r="O41" s="34" t="inlineStr"/>
      <c r="P41" s="6" t="inlineStr">
        <is>
          <t>Walvy_M04_Matriz_Trazabilidad_Cliente_v1.3.xlsx · 01_Matriz_Trazabilidad · TR-M04-081</t>
        </is>
      </c>
      <c r="Q41" s="6" t="inlineStr">
        <is>
          <t>En: Pantalla activa de Ruta Despeje.
→ Degradar lectura y pedir corrección cuando un dato material no sea vigente/confiable; faltantes materiales bloquean En Control.</t>
        </is>
      </c>
    </row>
    <row r="42" ht="90" customHeight="1">
      <c r="A42" s="30" t="inlineStr">
        <is>
          <t>M04</t>
        </is>
      </c>
      <c r="B42" s="31" t="inlineStr">
        <is>
          <t>TR-M04-082</t>
        </is>
      </c>
      <c r="C42" s="37" t="inlineStr">
        <is>
          <t>F2 · Fixture cross-contract</t>
        </is>
      </c>
      <c r="D42" s="33" t="inlineStr">
        <is>
          <t>FLOW-M04-014 · Onboarding 3 · Resultado</t>
        </is>
      </c>
      <c r="E42" s="33" t="inlineStr">
        <is>
          <t>Pago parcial antes de cierre + evidencia posterior suficiente</t>
        </is>
      </c>
      <c r="F42" s="33" t="inlineStr">
        <is>
          <t>OD-03 Resultado | Mantener seguimiento/validar ciclo</t>
        </is>
      </c>
      <c r="G42" s="33" t="inlineStr">
        <is>
          <t>Cuenta de prueba activa y reseteada (sin deudas ni datos previos del flujo).
Condición de entrada: OD-03 Resultado | Mantener seguimiento/validar ciclo</t>
        </is>
      </c>
      <c r="H42" s="33" t="inlineStr">
        <is>
          <t>Seguir flujo de FLOW-M04-014 · Onboarding 3 · Resultado.
CIERRE
· Registrar resultado en columna «Resultado obtenido» y marcar «Estado QA».
· Resetear solo si el siguiente caso requiere estado inicial incompatible con el actual. Casos del mismo flujo pueden reutilizar el estado.
  (Ajustes → Borrar mis datos · o solicitar reset al admin de QA)</t>
        </is>
      </c>
      <c r="I42" s="33" t="inlineStr">
        <is>
          <t>Pantalla activa de Ruta Despeje.</t>
        </is>
      </c>
      <c r="J42" s="33" t="inlineStr">
        <is>
          <t>Pago parcial antes del cierre no determina D todavía. Reconciliar el ciclo; si luego queda totalmente cubierto, D0; si queda shortfall confirmado, D1 o D2 según recurrencia M06.</t>
        </is>
      </c>
      <c r="K42" s="33" t="inlineStr">
        <is>
          <t xml:space="preserve">Fixture sintético (no requiere documento real).
Formato: CSV o XLSX con los valores del contrato P4 upstream cerrado.
Inyectar al menos: POSITIVE · ZERO · NOT_EVALUABLE.
</t>
        </is>
      </c>
      <c r="L42" s="33" t="inlineStr">
        <is>
          <t>Sí · con insumo dev</t>
        </is>
      </c>
      <c r="M42" s="34" t="inlineStr"/>
      <c r="N42" s="35" t="inlineStr"/>
      <c r="O42" s="34" t="inlineStr"/>
      <c r="P42" s="6" t="inlineStr">
        <is>
          <t>Walvy_M04_Matriz_Trazabilidad_Cliente_v1.3.xlsx · 01_Matriz_Trazabilidad · TR-M04-082</t>
        </is>
      </c>
      <c r="Q42" s="6" t="inlineStr">
        <is>
          <t>En: Pantalla activa de Ruta Despeje.
→ Pago parcial antes del cierre no determina D todavía. Reconciliar el ciclo; si luego queda totalmente cubierto, D0; si queda shortfall confirmado, D1 o D2 según recurrencia M06.</t>
        </is>
      </c>
    </row>
    <row r="43" ht="90" customHeight="1">
      <c r="A43" s="30" t="inlineStr">
        <is>
          <t>M04</t>
        </is>
      </c>
      <c r="B43" s="31" t="inlineStr">
        <is>
          <t>TR-M04-083</t>
        </is>
      </c>
      <c r="C43" s="36" t="inlineStr">
        <is>
          <t>F1 · QA funcional local</t>
        </is>
      </c>
      <c r="D43" s="33" t="inlineStr">
        <is>
          <t>FLOW-M04-014 · Onboarding 3 · Resultado</t>
        </is>
      </c>
      <c r="E43" s="33" t="inlineStr">
        <is>
          <t>Coexisten confirmación pendiente, dato faltante y/o dato no vigente sobre una deuda, con o sin evidencia adversa suficiente.</t>
        </is>
      </c>
      <c r="F43" s="33" t="inlineStr">
        <is>
          <t>OD-03 Resultado | Confirmar/Completar</t>
        </is>
      </c>
      <c r="G43" s="33" t="inlineStr">
        <is>
          <t>Cuenta de prueba activa y reseteada (sin deudas ni datos previos del flujo).
Condición de entrada: OD-03 Resultado | Confirmar/Completar</t>
        </is>
      </c>
      <c r="H43" s="33" t="inlineStr">
        <is>
          <t>📋 FIXTURE REQUERIDO: cuenta seed «od03-multiestado».
   Email: qa-m04-od03-multiestado-*@walvy.local · Password: Walvy2024!
1. Iniciar sesión con la cuenta seed od03-multiestado (coexisten: pendiente de confirmación + dato faltante + posible dato no vigente).
2. Navegar a: OD-03 Resultado.
3. Para cada deuda que tenga múltiples calidades de problema, verificar que la app muestra UN SOLO work item de calidad.
4. Verificar la precedencia: F2 «confirmar» &gt; F1 «completar» &gt; F0 «vigencia» (la más urgente aparece primero).
5. Verificar que NO aparecen múltiples alertas simultáneas apiladas sobre la misma deuda.
   → Si cada deuda tiene un único work item con la precedencia correcta: ✓ PASA.
CIERRE
· Registrar resultado en «Resultado obtenido» y marcar «Estado QA».
· Resetear cuenta solo si el siguiente caso requiere estado diferente al actual.
  (Perfil → Herramientas QA → «Reiniciar cuenta de prueba» (doble confirmación))</t>
        </is>
      </c>
      <c r="I43" s="33" t="inlineStr">
        <is>
          <t>Pantalla activa de Ruta Despeje.</t>
        </is>
      </c>
      <c r="J43" s="33" t="inlineStr">
        <is>
          <t>Conservar todos los facts pero exponer un único work item de calidad por deuda con precedencia F2 confirmar→F1 completar→F3 actualizar; evidencia adversa suficiente puede mantener estado, sin habilitar Ruta hasta gate.</t>
        </is>
      </c>
      <c r="K43" s="43" t="inlineStr">
        <is>
          <t>── CUENTA SEED (origin/qa) ──
Email   : qa-m04-od03-multiestado-*@walvy.local
Password: Walvy2024!
Grupo   : A3
Estado  : OD-03 multi-estado · dA=unconfirmed(F2) · dB=sin-cuota(F1) · dC=dato-viejo-35d(F3) · ruta NO activada
(El email exacto queda en la salida del script seed-qa-m04.mjs)</t>
        </is>
      </c>
      <c r="L43" s="33" t="inlineStr">
        <is>
          <t>Sí · con insumo dev</t>
        </is>
      </c>
      <c r="M43" s="34" t="inlineStr"/>
      <c r="N43" s="35" t="inlineStr"/>
      <c r="O43" s="34" t="inlineStr"/>
      <c r="P43" s="6" t="inlineStr">
        <is>
          <t>Walvy_M04_Matriz_Trazabilidad_Cliente_v1.3.xlsx · 01_Matriz_Trazabilidad · TR-M04-083</t>
        </is>
      </c>
      <c r="Q43" s="6" t="inlineStr">
        <is>
          <t>En: Pantalla activa de Ruta Despeje.
→ Conservar todos los facts pero exponer un único work item de calidad por deuda con precedencia F2 confirmar→F1 completar→F3 actualizar; evidencia adversa suficiente puede mantener estado, sin habilitar Ruta hasta gate.</t>
        </is>
      </c>
    </row>
    <row r="44" ht="90" customHeight="1">
      <c r="A44" s="30" t="inlineStr">
        <is>
          <t>M04</t>
        </is>
      </c>
      <c r="B44" s="31" t="inlineStr">
        <is>
          <t>TR-M04-084</t>
        </is>
      </c>
      <c r="C44" s="37" t="inlineStr">
        <is>
          <t>F2 · Fixture cross-contract</t>
        </is>
      </c>
      <c r="D44" s="33" t="inlineStr">
        <is>
          <t>FLOW-M04-015 · Onboarding 3 · Resultado</t>
        </is>
      </c>
      <c r="E44" s="33" t="inlineStr">
        <is>
          <t>Evento deuda→deuda causalmente confirmado; K2</t>
        </is>
      </c>
      <c r="F44" s="33" t="inlineStr">
        <is>
          <t>OD-03 Resultado | Ver Ruta Despeje</t>
        </is>
      </c>
      <c r="G44" s="33" t="inlineStr">
        <is>
          <t>Cuenta de prueba activa y reseteada (sin deudas ni datos previos del flujo).
Condición de entrada: OD-03 Resultado | Ver Ruta Despeje</t>
        </is>
      </c>
      <c r="H44" s="33" t="inlineStr">
        <is>
          <t>Seguir flujo de FLOW-M04-015 · Onboarding 3 · Resultado.
CIERRE
· Registrar resultado en columna «Resultado obtenido» y marcar «Estado QA».
· Resetear solo si el siguiente caso requiere estado inicial incompatible con el actual. Casos del mismo flujo pueden reutilizar el estado.
  (Ajustes → Borrar mis datos · o solicitar reset al admin de QA)</t>
        </is>
      </c>
      <c r="I44" s="33" t="inlineStr">
        <is>
          <t>Pantalla activa de Ruta Despeje.</t>
        </is>
      </c>
      <c r="J44" s="33" t="inlineStr">
        <is>
          <t>Registrar contexto sin floor adicional; nunca degradar una Presión ya más severa.</t>
        </is>
      </c>
      <c r="K44" s="33" t="inlineStr">
        <is>
          <t xml:space="preserve">Fixture sintético (no requiere documento real).
Formato: CSV o XLSX con los valores del contrato P4 upstream cerrado.
Inyectar al menos: POSITIVE · ZERO · NOT_EVALUABLE.
</t>
        </is>
      </c>
      <c r="L44" s="33" t="inlineStr">
        <is>
          <t>Sí · con insumo dev</t>
        </is>
      </c>
      <c r="M44" s="34" t="inlineStr"/>
      <c r="N44" s="35" t="inlineStr"/>
      <c r="O44" s="34" t="inlineStr"/>
      <c r="P44" s="6" t="inlineStr">
        <is>
          <t>Walvy_M04_Matriz_Trazabilidad_Cliente_v1.3.xlsx · 01_Matriz_Trazabilidad · TR-M04-084</t>
        </is>
      </c>
      <c r="Q44" s="6" t="inlineStr">
        <is>
          <t>En: Pantalla activa de Ruta Despeje.
→ Registrar contexto sin floor adicional; nunca degradar una Presión ya más severa.</t>
        </is>
      </c>
    </row>
    <row r="45" ht="90" customHeight="1">
      <c r="A45" s="30" t="inlineStr">
        <is>
          <t>M04</t>
        </is>
      </c>
      <c r="B45" s="31" t="inlineStr">
        <is>
          <t>TR-M04-085</t>
        </is>
      </c>
      <c r="C45" s="37" t="inlineStr">
        <is>
          <t>F2 · Fixture cross-contract</t>
        </is>
      </c>
      <c r="D45" s="33" t="inlineStr">
        <is>
          <t>FLOW-M04-015 · Onboarding 3 · Resultado</t>
        </is>
      </c>
      <c r="E45" s="33" t="inlineStr">
        <is>
          <t>Evento deuda→deuda adverso K1/K0 o recurrencia confirmada</t>
        </is>
      </c>
      <c r="F45" s="33" t="inlineStr">
        <is>
          <t>OD-03 Resultado | Ruta Despeje prioritaria</t>
        </is>
      </c>
      <c r="G45" s="33" t="inlineStr">
        <is>
          <t>Cuenta de prueba activa y reseteada (sin deudas ni datos previos del flujo).
Condición de entrada: OD-03 Resultado | Ruta Despeje prioritaria</t>
        </is>
      </c>
      <c r="H45" s="33" t="inlineStr">
        <is>
          <t>Seguir flujo de FLOW-M04-015 · Onboarding 3 · Resultado.
CIERRE
· Registrar resultado en columna «Resultado obtenido» y marcar «Estado QA».
· Resetear solo si el siguiente caso requiere estado inicial incompatible con el actual. Casos del mismo flujo pueden reutilizar el estado.
  (Ajustes → Borrar mis datos · o solicitar reset al admin de QA)</t>
        </is>
      </c>
      <c r="I45" s="33" t="inlineStr">
        <is>
          <t>Pantalla activa de Ruta Despeje.</t>
        </is>
      </c>
      <c r="J45" s="33" t="inlineStr">
        <is>
          <t>K1 establece floor Atención; K0 establece floor Riesgo; recurrencia confirmada establece floor Riesgo + condición estructural/persistente.</t>
        </is>
      </c>
      <c r="K45" s="33" t="inlineStr">
        <is>
          <t xml:space="preserve">Fixture sintético (no requiere documento real).
Formato: CSV o XLSX con los valores del contrato P4 upstream cerrado.
Inyectar al menos: POSITIVE · ZERO · NOT_EVALUABLE.
</t>
        </is>
      </c>
      <c r="L45" s="33" t="inlineStr">
        <is>
          <t>Sí · con insumo dev</t>
        </is>
      </c>
      <c r="M45" s="34" t="inlineStr"/>
      <c r="N45" s="35" t="inlineStr"/>
      <c r="O45" s="34" t="inlineStr"/>
      <c r="P45" s="6" t="inlineStr">
        <is>
          <t>Walvy_M04_Matriz_Trazabilidad_Cliente_v1.3.xlsx · 01_Matriz_Trazabilidad · TR-M04-085</t>
        </is>
      </c>
      <c r="Q45" s="6" t="inlineStr">
        <is>
          <t>En: Pantalla activa de Ruta Despeje.
→ K1 establece floor Atención; K0 establece floor Riesgo; recurrencia confirmada establece floor Riesgo + condición estructural/persistente.</t>
        </is>
      </c>
    </row>
    <row r="46" ht="90" customHeight="1">
      <c r="A46" s="30" t="inlineStr">
        <is>
          <t>M04</t>
        </is>
      </c>
      <c r="B46" s="31" t="inlineStr">
        <is>
          <t>TR-M04-086</t>
        </is>
      </c>
      <c r="C46" s="37" t="inlineStr">
        <is>
          <t>F2 · Fixture cross-contract</t>
        </is>
      </c>
      <c r="D46" s="33" t="inlineStr">
        <is>
          <t>FLOW-M04-015 · Onboarding 3 · Resultado</t>
        </is>
      </c>
      <c r="E46" s="33" t="inlineStr">
        <is>
          <t>Liquidez financiada confirmada destinada a gasto/compromiso ordinario no financiero en un ciclo</t>
        </is>
      </c>
      <c r="F46" s="33" t="inlineStr">
        <is>
          <t>OD-03 Resultado | Ver Ruta Despeje</t>
        </is>
      </c>
      <c r="G46" s="33" t="inlineStr">
        <is>
          <t>Cuenta de prueba activa y reseteada (sin deudas ni datos previos del flujo).
Condición de entrada: OD-03 Resultado | Ver Ruta Despeje</t>
        </is>
      </c>
      <c r="H46" s="33" t="inlineStr">
        <is>
          <t>Seguir flujo de FLOW-M04-015 · Onboarding 3 · Resultado.
CIERRE
· Registrar resultado en columna «Resultado obtenido» y marcar «Estado QA».
· Resetear solo si el siguiente caso requiere estado inicial incompatible con el actual. Casos del mismo flujo pueden reutilizar el estado.
  (Ajustes → Borrar mis datos · o solicitar reset al admin de QA)</t>
        </is>
      </c>
      <c r="I46" s="33" t="inlineStr">
        <is>
          <t>Pantalla activa de Ruta Despeje.</t>
        </is>
      </c>
      <c r="J46" s="33" t="inlineStr">
        <is>
          <t>Aplicar floor Atención. Si el destino es deuda, delegar exclusivamente a RGL-020; finalidad desconocida no aplica floor.</t>
        </is>
      </c>
      <c r="K46" s="33" t="inlineStr">
        <is>
          <t xml:space="preserve">Fixture sintético (no requiere documento real).
Formato: CSV o XLSX con los valores del contrato P4 upstream cerrado.
Inyectar al menos: POSITIVE · ZERO · NOT_EVALUABLE.
</t>
        </is>
      </c>
      <c r="L46" s="33" t="inlineStr">
        <is>
          <t>Sí · con insumo dev</t>
        </is>
      </c>
      <c r="M46" s="34" t="inlineStr"/>
      <c r="N46" s="35" t="inlineStr"/>
      <c r="O46" s="34" t="inlineStr"/>
      <c r="P46" s="6" t="inlineStr">
        <is>
          <t>Walvy_M04_Matriz_Trazabilidad_Cliente_v1.3.xlsx · 01_Matriz_Trazabilidad · TR-M04-086</t>
        </is>
      </c>
      <c r="Q46" s="6" t="inlineStr">
        <is>
          <t>En: Pantalla activa de Ruta Despeje.
→ Aplicar floor Atención. Si el destino es deuda, delegar exclusivamente a RGL-020; finalidad desconocida no aplica floor.</t>
        </is>
      </c>
    </row>
    <row r="47" ht="90" customHeight="1">
      <c r="A47" s="30" t="inlineStr">
        <is>
          <t>M04</t>
        </is>
      </c>
      <c r="B47" s="31" t="inlineStr">
        <is>
          <t>TR-M04-087</t>
        </is>
      </c>
      <c r="C47" s="37" t="inlineStr">
        <is>
          <t>F2 · Fixture cross-contract</t>
        </is>
      </c>
      <c r="D47" s="33" t="inlineStr">
        <is>
          <t>FLOW-M04-015 · Onboarding 3 · Resultado</t>
        </is>
      </c>
      <c r="E47" s="33" t="inlineStr">
        <is>
          <t>2+ ciclos mensuales consecutivos y comparables con liquidez financiada para flujo ordinario no financiero</t>
        </is>
      </c>
      <c r="F47" s="33" t="inlineStr">
        <is>
          <t>OD-03 Resultado | Ruta Despeje prioritaria</t>
        </is>
      </c>
      <c r="G47" s="33" t="inlineStr">
        <is>
          <t>Cuenta de prueba activa y reseteada (sin deudas ni datos previos del flujo).
Condición de entrada: OD-03 Resultado | Ruta Despeje prioritaria</t>
        </is>
      </c>
      <c r="H47" s="33" t="inlineStr">
        <is>
          <t>Seguir flujo de FLOW-M04-015 · Onboarding 3 · Resultado.
CIERRE
· Registrar resultado en columna «Resultado obtenido» y marcar «Estado QA».
· Resetear solo si el siguiente caso requiere estado inicial incompatible con el actual. Casos del mismo flujo pueden reutilizar el estado.
  (Ajustes → Borrar mis datos · o solicitar reset al admin de QA)</t>
        </is>
      </c>
      <c r="I47" s="33" t="inlineStr">
        <is>
          <t>Pantalla activa de Ruta Despeje.</t>
        </is>
      </c>
      <c r="J47" s="33" t="inlineStr">
        <is>
          <t>Aplicar floor Riesgo + condición estructural/persistente; K no neutraliza la recurrencia. Finalidad desconocida no cuenta.</t>
        </is>
      </c>
      <c r="K47" s="33" t="inlineStr">
        <is>
          <t xml:space="preserve">Fixture sintético (no requiere documento real).
Formato: CSV o XLSX con los valores del contrato P4 upstream cerrado.
Inyectar al menos: POSITIVE · ZERO · NOT_EVALUABLE.
</t>
        </is>
      </c>
      <c r="L47" s="33" t="inlineStr">
        <is>
          <t>Sí · con insumo dev</t>
        </is>
      </c>
      <c r="M47" s="34" t="inlineStr"/>
      <c r="N47" s="35" t="inlineStr"/>
      <c r="O47" s="34" t="inlineStr"/>
      <c r="P47" s="6" t="inlineStr">
        <is>
          <t>Walvy_M04_Matriz_Trazabilidad_Cliente_v1.3.xlsx · 01_Matriz_Trazabilidad · TR-M04-087</t>
        </is>
      </c>
      <c r="Q47" s="6" t="inlineStr">
        <is>
          <t>En: Pantalla activa de Ruta Despeje.
→ Aplicar floor Riesgo + condición estructural/persistente; K no neutraliza la recurrencia. Finalidad desconocida no cuenta.</t>
        </is>
      </c>
    </row>
    <row r="48" ht="90" customHeight="1">
      <c r="A48" s="30" t="inlineStr">
        <is>
          <t>M04</t>
        </is>
      </c>
      <c r="B48" s="31" t="inlineStr">
        <is>
          <t>TR-M04-088</t>
        </is>
      </c>
      <c r="C48" s="37" t="inlineStr">
        <is>
          <t>F2 · Fixture cross-contract</t>
        </is>
      </c>
      <c r="D48" s="33" t="inlineStr">
        <is>
          <t>FLOW-M04-015 · Onboarding 3 · Resultado</t>
        </is>
      </c>
      <c r="E48" s="33" t="inlineStr">
        <is>
          <t>Pago solo mínimo, parcial final o saldo arrastrado en ciclo reconciliado</t>
        </is>
      </c>
      <c r="F48" s="33" t="inlineStr">
        <is>
          <t>OD-03 Resultado | Ver Ruta Despeje</t>
        </is>
      </c>
      <c r="G48" s="33" t="inlineStr">
        <is>
          <t>Cuenta de prueba activa y reseteada (sin deudas ni datos previos del flujo).
Condición de entrada: OD-03 Resultado | Ver Ruta Despeje</t>
        </is>
      </c>
      <c r="H48" s="33" t="inlineStr">
        <is>
          <t>Seguir flujo de FLOW-M04-015 · Onboarding 3 · Resultado.
CIERRE
· Registrar resultado en columna «Resultado obtenido» y marcar «Estado QA».
· Resetear solo si el siguiente caso requiere estado inicial incompatible con el actual. Casos del mismo flujo pueden reutilizar el estado.
  (Ajustes → Borrar mis datos · o solicitar reset al admin de QA)</t>
        </is>
      </c>
      <c r="I48" s="33" t="inlineStr">
        <is>
          <t>Pantalla activa de Ruta Despeje.</t>
        </is>
      </c>
      <c r="J48" s="33" t="inlineStr">
        <is>
          <t>Evento aislado confirmado → D1. Recurrencia/persistencia confirmada por M06 → D2. Varias etiquetas del mismo ciclo no se suman.</t>
        </is>
      </c>
      <c r="K48" s="33" t="inlineStr">
        <is>
          <t xml:space="preserve">Fixture sintético (no requiere documento real).
Formato: CSV o XLSX con los valores del contrato P4 upstream cerrado.
Inyectar al menos: POSITIVE · ZERO · NOT_EVALUABLE.
</t>
        </is>
      </c>
      <c r="L48" s="33" t="inlineStr">
        <is>
          <t>Sí · con insumo dev</t>
        </is>
      </c>
      <c r="M48" s="34" t="inlineStr"/>
      <c r="N48" s="35" t="inlineStr"/>
      <c r="O48" s="34" t="inlineStr"/>
      <c r="P48" s="6" t="inlineStr">
        <is>
          <t>Walvy_M04_Matriz_Trazabilidad_Cliente_v1.3.xlsx · 01_Matriz_Trazabilidad · TR-M04-088</t>
        </is>
      </c>
      <c r="Q48" s="6" t="inlineStr">
        <is>
          <t>En: Pantalla activa de Ruta Despeje.
→ Evento aislado confirmado → D1. Recurrencia/persistencia confirmada por M06 → D2. Varias etiquetas del mismo ciclo no se suman.</t>
        </is>
      </c>
    </row>
    <row r="49" ht="90" customHeight="1">
      <c r="A49" s="30" t="inlineStr">
        <is>
          <t>M04</t>
        </is>
      </c>
      <c r="B49" s="31" t="inlineStr">
        <is>
          <t>TR-M04-089</t>
        </is>
      </c>
      <c r="C49" s="37" t="inlineStr">
        <is>
          <t>F2 · Fixture cross-contract</t>
        </is>
      </c>
      <c r="D49" s="33" t="inlineStr">
        <is>
          <t>FLOW-M04-015 · Onboarding 3 · Resultado</t>
        </is>
      </c>
      <c r="E49" s="33" t="inlineStr">
        <is>
          <t>Vencimiento crítico sin capacidad clara/atraso relevante/mora</t>
        </is>
      </c>
      <c r="F49" s="33" t="inlineStr">
        <is>
          <t>OD-03 Resultado | Ver Ruta Despeje</t>
        </is>
      </c>
      <c r="G49" s="33" t="inlineStr">
        <is>
          <t>Cuenta de prueba activa y reseteada (sin deudas ni datos previos del flujo).
Condición de entrada: OD-03 Resultado | Ver Ruta Despeje</t>
        </is>
      </c>
      <c r="H49" s="33" t="inlineStr">
        <is>
          <t>Seguir flujo de FLOW-M04-015 · Onboarding 3 · Resultado.
CIERRE
· Registrar resultado en columna «Resultado obtenido» y marcar «Estado QA».
· Resetear solo si el siguiente caso requiere estado inicial incompatible con el actual. Casos del mismo flujo pueden reutilizar el estado.
  (Ajustes → Borrar mis datos · o solicitar reset al admin de QA)</t>
        </is>
      </c>
      <c r="I49" s="33" t="inlineStr">
        <is>
          <t>Pantalla activa de Ruta Despeje.</t>
        </is>
      </c>
      <c r="J49" s="33" t="inlineStr">
        <is>
          <t>Un vencimiento/atraso relevante consumido desde M06 alimenta aging y/o D según evidencia; M04 no crea un threshold temporal paralelo.</t>
        </is>
      </c>
      <c r="K49" s="33" t="inlineStr">
        <is>
          <t xml:space="preserve">Fixture sintético (no requiere documento real).
Formato: CSV o XLSX con los valores del contrato P4 upstream cerrado.
Inyectar al menos: POSITIVE · ZERO · NOT_EVALUABLE.
</t>
        </is>
      </c>
      <c r="L49" s="33" t="inlineStr">
        <is>
          <t>Sí · con insumo dev</t>
        </is>
      </c>
      <c r="M49" s="34" t="inlineStr"/>
      <c r="N49" s="35" t="inlineStr"/>
      <c r="O49" s="34" t="inlineStr"/>
      <c r="P49" s="6" t="inlineStr">
        <is>
          <t>Walvy_M04_Matriz_Trazabilidad_Cliente_v1.3.xlsx · 01_Matriz_Trazabilidad · TR-M04-089</t>
        </is>
      </c>
      <c r="Q49" s="6" t="inlineStr">
        <is>
          <t>En: Pantalla activa de Ruta Despeje.
→ Un vencimiento/atraso relevante consumido desde M06 alimenta aging y/o D según evidencia; M04 no crea un threshold temporal paralelo.</t>
        </is>
      </c>
    </row>
    <row r="50" ht="90" customHeight="1">
      <c r="A50" s="30" t="inlineStr">
        <is>
          <t>M04</t>
        </is>
      </c>
      <c r="B50" s="31" t="inlineStr">
        <is>
          <t>TR-M04-090</t>
        </is>
      </c>
      <c r="C50" s="37" t="inlineStr">
        <is>
          <t>F2 · Fixture cross-contract</t>
        </is>
      </c>
      <c r="D50" s="33" t="inlineStr">
        <is>
          <t>FLOW-M04-015 · Onboarding 3 · Resultado</t>
        </is>
      </c>
      <c r="E50" s="33" t="inlineStr">
        <is>
          <t>Muchas cuotas + incapacidad real/saldo negativo/mora</t>
        </is>
      </c>
      <c r="F50" s="33" t="inlineStr">
        <is>
          <t>OD-03 Resultado | Priorizar/Revisar Ruta</t>
        </is>
      </c>
      <c r="G50" s="33" t="inlineStr">
        <is>
          <t>Cuenta de prueba activa y reseteada (sin deudas ni datos previos del flujo).
Condición de entrada: OD-03 Resultado | Priorizar/Revisar Ruta</t>
        </is>
      </c>
      <c r="H50" s="33" t="inlineStr">
        <is>
          <t>Seguir flujo de FLOW-M04-015 · Onboarding 3 · Resultado.
CIERRE
· Registrar resultado en columna «Resultado obtenido» y marcar «Estado QA».
· Resetear solo si el siguiente caso requiere estado inicial incompatible con el actual. Casos del mismo flujo pueden reutilizar el estado.
  (Ajustes → Borrar mis datos · o solicitar reset al admin de QA)</t>
        </is>
      </c>
      <c r="I50" s="33" t="inlineStr">
        <is>
          <t>Pantalla activa de Ruta Despeje.</t>
        </is>
      </c>
      <c r="J50" s="33" t="inlineStr">
        <is>
          <t>Muchas cuotas no crean Riesgo por sí solas. Mantener detector R022 y dejar que C×K×D/overlays determine la Presión.</t>
        </is>
      </c>
      <c r="K50" s="33" t="inlineStr">
        <is>
          <t xml:space="preserve">Fixture sintético (no requiere documento real).
Formato: CSV o XLSX con los valores del contrato P4 upstream cerrado.
Inyectar al menos: POSITIVE · ZERO · NOT_EVALUABLE.
</t>
        </is>
      </c>
      <c r="L50" s="33" t="inlineStr">
        <is>
          <t>Sí · con insumo dev</t>
        </is>
      </c>
      <c r="M50" s="34" t="inlineStr"/>
      <c r="N50" s="35" t="inlineStr"/>
      <c r="O50" s="34" t="inlineStr"/>
      <c r="P50" s="6" t="inlineStr">
        <is>
          <t>Walvy_M04_Matriz_Trazabilidad_Cliente_v1.3.xlsx · 01_Matriz_Trazabilidad · TR-M04-090</t>
        </is>
      </c>
      <c r="Q50" s="6" t="inlineStr">
        <is>
          <t>En: Pantalla activa de Ruta Despeje.
→ Muchas cuotas no crean Riesgo por sí solas. Mantener detector R022 y dejar que C×K×D/overlays determine la Presión.</t>
        </is>
      </c>
    </row>
    <row r="51" ht="90" customHeight="1">
      <c r="A51" s="30" t="inlineStr">
        <is>
          <t>M04</t>
        </is>
      </c>
      <c r="B51" s="31" t="inlineStr">
        <is>
          <t>TR-M04-091</t>
        </is>
      </c>
      <c r="C51" s="37" t="inlineStr">
        <is>
          <t>F2 · Fixture cross-contract</t>
        </is>
      </c>
      <c r="D51" s="33" t="inlineStr">
        <is>
          <t>FLOW-M04-015 · Onboarding 3 · Resultado</t>
        </is>
      </c>
      <c r="E51" s="33" t="inlineStr">
        <is>
          <t>Deuda confirmada + datos mínimos + presión financiera</t>
        </is>
      </c>
      <c r="F51" s="33" t="inlineStr">
        <is>
          <t>OD-03 Resultado | Ver Ruta Despeje</t>
        </is>
      </c>
      <c r="G51" s="33" t="inlineStr">
        <is>
          <t>Cuenta de prueba activa y reseteada (sin deudas ni datos previos del flujo).
Condición de entrada: OD-03 Resultado | Ver Ruta Despeje</t>
        </is>
      </c>
      <c r="H51" s="33" t="inlineStr">
        <is>
          <t>Seguir flujo de FLOW-M04-015 · Onboarding 3 · Resultado.
CIERRE
· Registrar resultado en columna «Resultado obtenido» y marcar «Estado QA».
· Resetear solo si el siguiente caso requiere estado inicial incompatible con el actual. Casos del mismo flujo pueden reutilizar el estado.
  (Ajustes → Borrar mis datos · o solicitar reset al admin de QA)</t>
        </is>
      </c>
      <c r="I51" s="33" t="inlineStr">
        <is>
          <t>Pantalla activa de Ruta Despeje.</t>
        </is>
      </c>
      <c r="J51" s="33" t="inlineStr">
        <is>
          <t>Aplicar Presión final canónica conservando el resultado más severo entre base C×K×D y floors válidos; no sumar puntos ni crear cuarto nivel.</t>
        </is>
      </c>
      <c r="K51" s="33" t="inlineStr">
        <is>
          <t xml:space="preserve">Fixture sintético (no requiere documento real).
Formato: CSV o XLSX con los valores del contrato P4 upstream cerrado.
Inyectar al menos: POSITIVE · ZERO · NOT_EVALUABLE.
</t>
        </is>
      </c>
      <c r="L51" s="33" t="inlineStr">
        <is>
          <t>Sí · con insumo dev</t>
        </is>
      </c>
      <c r="M51" s="34" t="inlineStr"/>
      <c r="N51" s="35" t="inlineStr"/>
      <c r="O51" s="34" t="inlineStr"/>
      <c r="P51" s="6" t="inlineStr">
        <is>
          <t>Walvy_M04_Matriz_Trazabilidad_Cliente_v1.3.xlsx · 01_Matriz_Trazabilidad · TR-M04-091</t>
        </is>
      </c>
      <c r="Q51" s="6" t="inlineStr">
        <is>
          <t>En: Pantalla activa de Ruta Despeje.
→ Aplicar Presión final canónica conservando el resultado más severo entre base C×K×D y floors válidos; no sumar puntos ni crear cuarto nivel.</t>
        </is>
      </c>
    </row>
    <row r="52" ht="90" customHeight="1">
      <c r="A52" s="30" t="inlineStr">
        <is>
          <t>M04</t>
        </is>
      </c>
      <c r="B52" s="31" t="inlineStr">
        <is>
          <t>TR-M04-092</t>
        </is>
      </c>
      <c r="C52" s="37" t="inlineStr">
        <is>
          <t>F2 · Fixture cross-contract</t>
        </is>
      </c>
      <c r="D52" s="33" t="inlineStr">
        <is>
          <t>FLOW-M04-015 · Onboarding 3 · Resultado</t>
        </is>
      </c>
      <c r="E52" s="33" t="inlineStr">
        <is>
          <t>Presión=Riesgo sustentada, pero falta confirmación o suficiencia mínima</t>
        </is>
      </c>
      <c r="F52" s="33" t="inlineStr">
        <is>
          <t>OD-03 Resultado | Confirmar/Completar</t>
        </is>
      </c>
      <c r="G52" s="33" t="inlineStr">
        <is>
          <t>Cuenta de prueba activa y reseteada (sin deudas ni datos previos del flujo).
Condición de entrada: OD-03 Resultado | Confirmar/Completar</t>
        </is>
      </c>
      <c r="H52" s="33" t="inlineStr">
        <is>
          <t>Seguir flujo de FLOW-M04-015 · Onboarding 3 · Resultado.
CIERRE
· Registrar resultado en columna «Resultado obtenido» y marcar «Estado QA».
· Resetear solo si el siguiente caso requiere estado inicial incompatible con el actual. Casos del mismo flujo pueden reutilizar el estado.
  (Ajustes → Borrar mis datos · o solicitar reset al admin de QA)</t>
        </is>
      </c>
      <c r="I52" s="33" t="inlineStr">
        <is>
          <t>Pantalla activa de Ruta Despeje.</t>
        </is>
      </c>
      <c r="J52" s="33" t="inlineStr">
        <is>
          <t>Una señal adversa no sustituye confirmación/suficiencia de Ruta. Riesgo habilita elegibilidad solo con deuda confirmada y mínimos suficientes.</t>
        </is>
      </c>
      <c r="K52" s="33" t="inlineStr">
        <is>
          <t xml:space="preserve">Fixture sintético (no requiere documento real).
Formato: CSV o XLSX con los valores del contrato P4 upstream cerrado.
Inyectar al menos: POSITIVE · ZERO · NOT_EVALUABLE.
</t>
        </is>
      </c>
      <c r="L52" s="33" t="inlineStr">
        <is>
          <t>Sí · con insumo dev</t>
        </is>
      </c>
      <c r="M52" s="34" t="inlineStr"/>
      <c r="N52" s="35" t="inlineStr"/>
      <c r="O52" s="34" t="inlineStr"/>
      <c r="P52" s="6" t="inlineStr">
        <is>
          <t>Walvy_M04_Matriz_Trazabilidad_Cliente_v1.3.xlsx · 01_Matriz_Trazabilidad · TR-M04-092</t>
        </is>
      </c>
      <c r="Q52" s="6" t="inlineStr">
        <is>
          <t>En: Pantalla activa de Ruta Despeje.
→ Una señal adversa no sustituye confirmación/suficiencia de Ruta. Riesgo habilita elegibilidad solo con deuda confirmada y mínimos suficientes.</t>
        </is>
      </c>
    </row>
    <row r="53" ht="90" customHeight="1">
      <c r="A53" s="30" t="inlineStr">
        <is>
          <t>M04</t>
        </is>
      </c>
      <c r="B53" s="31" t="inlineStr">
        <is>
          <t>TR-M04-093</t>
        </is>
      </c>
      <c r="C53" s="36" t="inlineStr">
        <is>
          <t>F1 · QA funcional local</t>
        </is>
      </c>
      <c r="D53" s="33" t="inlineStr">
        <is>
          <t>FLOW-M04-016 · Ruta 1 · Resumen</t>
        </is>
      </c>
      <c r="E53" s="33" t="inlineStr">
        <is>
          <t>Ruta elegible/disponible; primer “Seguir plan” válido aún no ejecutado.</t>
        </is>
      </c>
      <c r="F53" s="33" t="inlineStr">
        <is>
          <t>RD-01 Resumen | Mostrar resumen</t>
        </is>
      </c>
      <c r="G53" s="33" t="inlineStr">
        <is>
          <t>Cuenta de prueba activa y reseteada (sin deudas ni datos previos del flujo).
Condición de entrada: RD-01 Resumen | Mostrar resumen</t>
        </is>
      </c>
      <c r="H53" s="33" t="inlineStr">
        <is>
          <t>📋 FIXTURE REQUERIDO: cuenta seed «rd01-elegible».
   Email: qa-m04-rd01-elegible-*@walvy.local · Password: Walvy2024!
1. Iniciar sesión con la cuenta seed rd01-elegible (Ruta disponible, primer «Seguir plan» no ejecutado).
2. Navegar a: Ruta Despeje → RD-01 Resumen.
3. Verificar que la pantalla muestra el resumen de la Ruta (deudas en plan, orden sugerido, estimación).
4. Verificar que la Ruta NO está activa todavía (route_eligibility_status=elegible, no activa).
5. Verificar que navegar a RD-01 NO activa la Ruta por sí solo.
   → Si la Ruta está elegible pero no activa tras ver el resumen: ✓ PASA.
CIERRE
· Registrar resultado en «Resultado obtenido» y marcar «Estado QA».
· Resetear cuenta solo si el siguiente caso requiere estado diferente al actual.
  (Perfil → Herramientas QA → «Reiniciar cuenta de prueba» (doble confirmación))</t>
        </is>
      </c>
      <c r="I53" s="33" t="inlineStr">
        <is>
          <t>Pantalla activa de Ruta Despeje.</t>
        </is>
      </c>
      <c r="J53" s="33" t="inlineStr">
        <is>
          <t>Construir orden/plan solo cuando la Ruta está elegible; preservar snowball y no activar por navegación.</t>
        </is>
      </c>
      <c r="K53" s="43" t="inlineStr">
        <is>
          <t>── CUENTA SEED (origin/qa) ──
Email   : qa-m04-rd01-elegible-*@walvy.local
Password: Walvy2024!
Grupo   : B1
Estado  : RD-01 · 1 deuda confirmada (tarjeta_credito cuota $600k / ingreso $1M = 60% → C3 → riesgo) · ruta elegible (NO activada)
(El email exacto queda en la salida del script seed-qa-m04.mjs)</t>
        </is>
      </c>
      <c r="L53" s="33" t="inlineStr">
        <is>
          <t>Sí · con insumo dev</t>
        </is>
      </c>
      <c r="M53" s="34" t="inlineStr"/>
      <c r="N53" s="35" t="inlineStr"/>
      <c r="O53" s="34" t="inlineStr"/>
      <c r="P53" s="6" t="inlineStr">
        <is>
          <t>Walvy_M04_Matriz_Trazabilidad_Cliente_v1.3.xlsx · 01_Matriz_Trazabilidad · TR-M04-093</t>
        </is>
      </c>
      <c r="Q53" s="6" t="inlineStr">
        <is>
          <t>En: Pantalla activa de Ruta Despeje.
→ Construir orden/plan solo cuando la Ruta está elegible; preservar snowball y no activar por navegación.</t>
        </is>
      </c>
    </row>
    <row r="54" ht="90" customHeight="1">
      <c r="A54" s="30" t="inlineStr">
        <is>
          <t>M04</t>
        </is>
      </c>
      <c r="B54" s="31" t="inlineStr">
        <is>
          <t>TR-M04-094</t>
        </is>
      </c>
      <c r="C54" s="36" t="inlineStr">
        <is>
          <t>F1 · QA funcional local</t>
        </is>
      </c>
      <c r="D54" s="33" t="inlineStr">
        <is>
          <t>FLOW-M04-016 · Ruta 1 · Resumen</t>
        </is>
      </c>
      <c r="E54" s="33" t="inlineStr">
        <is>
          <t>Existen múltiples deudas confirmadas dentro del plan</t>
        </is>
      </c>
      <c r="F54" s="33" t="inlineStr">
        <is>
          <t>RD-01 Resumen | Priorización</t>
        </is>
      </c>
      <c r="G54" s="33" t="inlineStr">
        <is>
          <t>Cuenta de prueba activa y reseteada (sin deudas ni datos previos del flujo).
Condición de entrada: RD-01 Resumen | Priorización</t>
        </is>
      </c>
      <c r="H54" s="33" t="inlineStr">
        <is>
          <t>📋 FIXTURE REQUERIDO: cuenta seed «rd01-multi».
   Email: qa-m04-rd01-multi-*@walvy.local · Password: Walvy2024!
1. Iniciar sesión con la cuenta seed rd01-multi (múltiples deudas confirmadas en el plan).
2. Navegar a: Ruta Despeje → RD-01 Resumen.
3. Verificar que la deuda con menor saldo actual aparece en primer lugar del plan (prioridad snowball).
4. Verificar que las demás deudas muestran que sus pagos mínimos/compromisos se mantienen (no se cancelan).
5. Verificar que el orden no cambia al navegar hacia atrás y volver.
   → Si la priorización es por menor saldo y mínimos protegidos: ✓ PASA.
CIERRE
· Registrar resultado en «Resultado obtenido» y marcar «Estado QA».
· Resetear cuenta solo si el siguiente caso requiere estado diferente al actual.
  (Perfil → Herramientas QA → «Reiniciar cuenta de prueba» (doble confirmación))</t>
        </is>
      </c>
      <c r="I54" s="33" t="inlineStr">
        <is>
          <t>Pantalla activa de Ruta Despeje.</t>
        </is>
      </c>
      <c r="J54" s="33" t="inlineStr">
        <is>
          <t>Priorizar menor saldo actual; mantener pagos mínimos/compromisos de las demás.</t>
        </is>
      </c>
      <c r="K54" s="43" t="inlineStr">
        <is>
          <t>── CUENTA SEED (origin/qa) ──
Email   : qa-m04-rd01-multi-*@walvy.local
Password: Walvy2024!
Grupo   : B2
Estado  : RD-01 · 2 deudas: d1=$400k(P1-snowball) d2=$1.2M(P2) · suma cuotas=65% ingreso → riesgo · ruta elegible (NO activada)
(El email exacto queda en la salida del script seed-qa-m04.mjs)</t>
        </is>
      </c>
      <c r="L54" s="33" t="inlineStr">
        <is>
          <t>Sí · con insumo dev</t>
        </is>
      </c>
      <c r="M54" s="34" t="inlineStr"/>
      <c r="N54" s="35" t="inlineStr"/>
      <c r="O54" s="34" t="inlineStr"/>
      <c r="P54" s="6" t="inlineStr">
        <is>
          <t>Walvy_M04_Matriz_Trazabilidad_Cliente_v1.3.xlsx · 01_Matriz_Trazabilidad · TR-M04-094</t>
        </is>
      </c>
      <c r="Q54" s="6" t="inlineStr">
        <is>
          <t>En: Pantalla activa de Ruta Despeje.
→ Priorizar menor saldo actual; mantener pagos mínimos/compromisos de las demás.</t>
        </is>
      </c>
    </row>
    <row r="55" ht="90" customHeight="1">
      <c r="A55" s="30" t="inlineStr">
        <is>
          <t>M04</t>
        </is>
      </c>
      <c r="B55" s="31" t="inlineStr">
        <is>
          <t>TR-M04-095</t>
        </is>
      </c>
      <c r="C55" s="36" t="inlineStr">
        <is>
          <t>F1 · QA funcional local</t>
        </is>
      </c>
      <c r="D55" s="33" t="inlineStr">
        <is>
          <t>FLOW-M04-016 · Ruta 1 · Resumen</t>
        </is>
      </c>
      <c r="E55" s="33" t="inlineStr">
        <is>
          <t>Usuario continúa a plan</t>
        </is>
      </c>
      <c r="F55" s="33" t="inlineStr">
        <is>
          <t>RD-01 Resumen | Ver mi plan</t>
        </is>
      </c>
      <c r="G55" s="33" t="inlineStr">
        <is>
          <t>Cuenta de prueba activa y reseteada (sin deudas ni datos previos del flujo).
Condición de entrada: RD-01 Resumen | Ver mi plan</t>
        </is>
      </c>
      <c r="H55" s="33" t="inlineStr">
        <is>
          <t>📋 FIXTURE REQUERIDO: cuenta seed «rd01-elegible».
   Email: qa-m04-rd01-elegible-*@walvy.local · Password: Walvy2024!
1. Iniciar sesión con la cuenta seed rd01-elegible.
2. Navegar a: Ruta Despeje → RD-01 Resumen.
3. Tocar «Ver mi plan» o equivalente para navegar a RD-02.
4. Verificar que la app navega a RD-02 Plan conservando el estado elegible.
5. Verificar que «Ver mi plan» NO activa la Ruta (route_eligibility_status sigue siendo «elegible»).
6. Volver a RD-01 y verificar que el estado no cambió a «activa».
   → Si después de «Ver mi plan» el estado sigue siendo elegible: ✓ PASA.
CIERRE
· Registrar resultado en «Resultado obtenido» y marcar «Estado QA».
· Resetear cuenta solo si el siguiente caso requiere estado diferente al actual.
  (Perfil → Herramientas QA → «Reiniciar cuenta de prueba» (doble confirmación))</t>
        </is>
      </c>
      <c r="I55" s="33" t="inlineStr">
        <is>
          <t>Pantalla activa de Ruta Despeje.</t>
        </is>
      </c>
      <c r="J55" s="33" t="inlineStr">
        <is>
          <t>Navegar a RD-02 conservando estado elegible y orden; “Ver mi plan” no activa la Ruta.</t>
        </is>
      </c>
      <c r="K55" s="43" t="inlineStr">
        <is>
          <t>── CUENTA SEED (origin/qa) ──
Email   : qa-m04-rd01-elegible-*@walvy.local
Password: Walvy2024!
Grupo   : B1
Estado  : (misma cuenta que TR-M04-093) RD-01 · ruta elegible · 1 deuda
(El email exacto queda en la salida del script seed-qa-m04.mjs)</t>
        </is>
      </c>
      <c r="L55" s="33" t="inlineStr">
        <is>
          <t>Sí · con insumo dev</t>
        </is>
      </c>
      <c r="M55" s="34" t="inlineStr"/>
      <c r="N55" s="35" t="inlineStr"/>
      <c r="O55" s="34" t="inlineStr"/>
      <c r="P55" s="6" t="inlineStr">
        <is>
          <t>Walvy_M04_Matriz_Trazabilidad_Cliente_v1.3.xlsx · 01_Matriz_Trazabilidad · TR-M04-095</t>
        </is>
      </c>
      <c r="Q55" s="6" t="inlineStr">
        <is>
          <t>En: Pantalla activa de Ruta Despeje.
→ Navegar a RD-02 conservando estado elegible y orden; “Ver mi plan” no activa la Ruta.</t>
        </is>
      </c>
    </row>
    <row r="56" ht="90" customHeight="1">
      <c r="A56" s="30" t="inlineStr">
        <is>
          <t>M04</t>
        </is>
      </c>
      <c r="B56" s="31" t="inlineStr">
        <is>
          <t>TR-M04-096</t>
        </is>
      </c>
      <c r="C56" s="36" t="inlineStr">
        <is>
          <t>F1 · QA funcional local</t>
        </is>
      </c>
      <c r="D56" s="33" t="inlineStr">
        <is>
          <t>FLOW-M04-017 · Detalle deuda</t>
        </is>
      </c>
      <c r="E56" s="33" t="inlineStr">
        <is>
          <t>Deuda manejable/atención requiere precisión</t>
        </is>
      </c>
      <c r="F56" s="33" t="inlineStr">
        <is>
          <t>DD-01 / seguimiento | Editar datos</t>
        </is>
      </c>
      <c r="G56" s="33" t="inlineStr">
        <is>
          <t>Cuenta de prueba activa y reseteada (sin deudas ni datos previos del flujo).
Condición de entrada: DD-01 / seguimiento | Editar datos</t>
        </is>
      </c>
      <c r="H56" s="33" t="inlineStr">
        <is>
          <t>📋 FIXTURE REQUERIDO: cuenta seed «dd01-activa».
   Email: qa-m04-dd01-activa-*@walvy.local · Password: Walvy2024!
1. Iniciar sesión con la cuenta seed dd01-activa (Ruta activa, deuda en estado «manejable» o «atención»).
2. Navegar a: Ruta Despeje → RD-02 Plan → tocar la deuda para abrir DD-01 Detalle.
3. Tocar «Editar» o el campo que requiere corrección (ej: actualizar saldo o cuota).
4. Modificar el dato puntual y guardar.
5. Verificar que la deuda se actualiza sin crear un formulario de alta paralelo.
6. Verificar que la evaluación (presión/plan) se recalcula automáticamente con el dato corregido.
   → Si la edición puntual reevalúa sin crear duplicado: ✓ PASA.
CIERRE
· Registrar resultado en «Resultado obtenido» y marcar «Estado QA».
· Resetear cuenta solo si el siguiente caso requiere estado diferente al actual.
  (Perfil → Herramientas QA → «Reiniciar cuenta de prueba» (doble confirmación))</t>
        </is>
      </c>
      <c r="I56" s="33" t="inlineStr">
        <is>
          <t>Pantalla activa de Ruta Despeje.</t>
        </is>
      </c>
      <c r="J56" s="33" t="inlineStr">
        <is>
          <t>Permitir edición/corrección puntual y reevaluar sin crear formulario paralelo.</t>
        </is>
      </c>
      <c r="K56" s="43" t="inlineStr">
        <is>
          <t>── CUENTA SEED (origin/qa) ──
Email   : qa-m04-dd01-activa-*@walvy.local
Password: Walvy2024!
Grupo   : C1
Estado  : DD-01 · ruta ACTIVA · 1 deuda hipotecaria $8M cuota $650k · nextDueDate=+5d · para probar edición en detalle
(El email exacto queda en la salida del script seed-qa-m04.mjs)</t>
        </is>
      </c>
      <c r="L56" s="33" t="inlineStr">
        <is>
          <t>Sí · con insumo dev</t>
        </is>
      </c>
      <c r="M56" s="34" t="inlineStr"/>
      <c r="N56" s="35" t="inlineStr"/>
      <c r="O56" s="34" t="inlineStr"/>
      <c r="P56" s="6" t="inlineStr">
        <is>
          <t>Walvy_M04_Matriz_Trazabilidad_Cliente_v1.3.xlsx · 01_Matriz_Trazabilidad · TR-M04-096</t>
        </is>
      </c>
      <c r="Q56" s="6" t="inlineStr">
        <is>
          <t>En: Pantalla activa de Ruta Despeje.
→ Permitir edición/corrección puntual y reevaluar sin crear formulario paralelo.</t>
        </is>
      </c>
    </row>
    <row r="57" ht="90" customHeight="1">
      <c r="A57" s="30" t="inlineStr">
        <is>
          <t>M04</t>
        </is>
      </c>
      <c r="B57" s="31" t="inlineStr">
        <is>
          <t>TR-M04-097</t>
        </is>
      </c>
      <c r="C57" s="36" t="inlineStr">
        <is>
          <t>F1 · QA funcional local</t>
        </is>
      </c>
      <c r="D57" s="33" t="inlineStr">
        <is>
          <t>FLOW-M04-017 · Detalle deuda</t>
        </is>
      </c>
      <c r="E57" s="33" t="inlineStr">
        <is>
          <t>Vencimiento/pago operativo requiere seguimiento sin presión M04</t>
        </is>
      </c>
      <c r="F57" s="33" t="inlineStr">
        <is>
          <t>DD-01 / seguimiento | Activar alerta</t>
        </is>
      </c>
      <c r="G57" s="33" t="inlineStr">
        <is>
          <t>Cuenta de prueba activa y reseteada (sin deudas ni datos previos del flujo).
Condición de entrada: DD-01 / seguimiento | Activar alerta</t>
        </is>
      </c>
      <c r="H57" s="33" t="inlineStr">
        <is>
          <t>📋 FIXTURE REQUERIDO: cuenta seed «dd01-activa».
   Email: qa-m04-dd01-activa-*@walvy.local · Password: Walvy2024!
1. Iniciar sesión con la cuenta seed dd01-activa.
2. Navegar a: Ruta Despeje → DD-01 Detalle de una deuda con vencimiento próximo.
3. Localizar la opción de alerta de pago / seguimiento de vencimiento.
4. Tocar la opción y verificar que la app deriva a M06/Alertas (no gestiona el calendario desde M04).
5. Verificar que M04 no crea ni muestra un historial operativo de pagos propio.
   → Si la alerta deriva a M06 y M04 no crea historial propio: ✓ PASA.
CIERRE
· Registrar resultado en «Resultado obtenido» y marcar «Estado QA».
· Resetear cuenta solo si el siguiente caso requiere estado diferente al actual.
  (Perfil → Herramientas QA → «Reiniciar cuenta de prueba» (doble confirmación))</t>
        </is>
      </c>
      <c r="I57" s="33" t="inlineStr">
        <is>
          <t>Pantalla activa de Ruta Despeje.</t>
        </is>
      </c>
      <c r="J57" s="33" t="inlineStr">
        <is>
          <t>Derivar a M06/Alertas; M04 no administra calendario/pago.</t>
        </is>
      </c>
      <c r="K57" s="43" t="inlineStr">
        <is>
          <t>── CUENTA SEED (origin/qa) ──
Email   : qa-m04-dd01-activa-*@walvy.local
Password: Walvy2024!
Grupo   : C1
Estado  : (misma cuenta que TR-M04-096) DD-01 · ruta activa · alerta vencimiento próximo → CTA M06
(El email exacto queda en la salida del script seed-qa-m04.mjs)</t>
        </is>
      </c>
      <c r="L57" s="33" t="inlineStr">
        <is>
          <t>Sí · con insumo dev</t>
        </is>
      </c>
      <c r="M57" s="34" t="inlineStr"/>
      <c r="N57" s="35" t="inlineStr"/>
      <c r="O57" s="34" t="inlineStr"/>
      <c r="P57" s="6" t="inlineStr">
        <is>
          <t>Walvy_M04_Matriz_Trazabilidad_Cliente_v1.3.xlsx · 01_Matriz_Trazabilidad · TR-M04-097</t>
        </is>
      </c>
      <c r="Q57" s="6" t="inlineStr">
        <is>
          <t>En: Pantalla activa de Ruta Despeje.
→ Derivar a M06/Alertas; M04 no administra calendario/pago.</t>
        </is>
      </c>
    </row>
    <row r="58" ht="90" customHeight="1">
      <c r="A58" s="30" t="inlineStr">
        <is>
          <t>M04</t>
        </is>
      </c>
      <c r="B58" s="31" t="inlineStr">
        <is>
          <t>TR-M04-098</t>
        </is>
      </c>
      <c r="C58" s="36" t="inlineStr">
        <is>
          <t>F1 · QA funcional local</t>
        </is>
      </c>
      <c r="D58" s="33" t="inlineStr">
        <is>
          <t>FLOW-M04-017 · Detalle deuda</t>
        </is>
      </c>
      <c r="E58" s="33" t="inlineStr">
        <is>
          <t>Deuda pasa a cumplir gate de Ruta</t>
        </is>
      </c>
      <c r="F58" s="33" t="inlineStr">
        <is>
          <t>DD-01 / seguimiento | Ver Ruta Despeje</t>
        </is>
      </c>
      <c r="G58" s="33" t="inlineStr">
        <is>
          <t>Cuenta de prueba activa y reseteada (sin deudas ni datos previos del flujo).
Condición de entrada: DD-01 / seguimiento | Ver Ruta Despeje</t>
        </is>
      </c>
      <c r="H58" s="33" t="inlineStr">
        <is>
          <t>📋 FIXTURE REQUERIDO: cuenta seed «dd01-activa».
   Email: qa-m04-dd01-activa-*@walvy.local · Password: Walvy2024!
1. Iniciar sesión con la cuenta seed dd01-activa (deuda que pasa a cumplir el gate de Ruta tras actualización).
2. Navegar a: Ruta Despeje → DD-01 Detalle de la deuda.
3. Completar el dato que faltaba para que la deuda cumpla el gate de Ruta (ej: agregar cuota mínima).
4. Guardar y verificar que aparece el CTA «Ver Ruta Despeje».
5. Tocar el CTA y verificar que navega a RD-01 con Ruta elegible/disponible.
6. Verificar que navegar desde DD-01 no activa la Ruta por sí solo.
   → Si el CTA aparece y no activa la Ruta al navegar: ✓ PASA.
CIERRE
· Registrar resultado en «Resultado obtenido» y marcar «Estado QA».
· Resetear cuenta solo si el siguiente caso requiere estado diferente al actual.
  (Perfil → Herramientas QA → «Reiniciar cuenta de prueba» (doble confirmación))</t>
        </is>
      </c>
      <c r="I58" s="33" t="inlineStr">
        <is>
          <t>Pantalla activa de Ruta Despeje.</t>
        </is>
      </c>
      <c r="J58" s="33" t="inlineStr">
        <is>
          <t>Derivar a RD-01 con Ruta elegible/disponible; la vista DD y “Ver Ruta Despeje” no activan la Ruta.</t>
        </is>
      </c>
      <c r="K58" s="43" t="inlineStr">
        <is>
          <t>── CUENTA SEED (origin/qa) ──
Email   : qa-m04-dd01-activa-*@walvy.local
Password: Walvy2024!
Grupo   : C1
Estado  : (misma cuenta que TR-M04-096) DD-01 · ruta activa · ver-ruta desde detalle
(El email exacto queda en la salida del script seed-qa-m04.mjs)</t>
        </is>
      </c>
      <c r="L58" s="33" t="inlineStr">
        <is>
          <t>Sí · con insumo dev</t>
        </is>
      </c>
      <c r="M58" s="34" t="inlineStr"/>
      <c r="N58" s="35" t="inlineStr"/>
      <c r="O58" s="34" t="inlineStr"/>
      <c r="P58" s="6" t="inlineStr">
        <is>
          <t>Walvy_M04_Matriz_Trazabilidad_Cliente_v1.3.xlsx · 01_Matriz_Trazabilidad · TR-M04-098</t>
        </is>
      </c>
      <c r="Q58" s="6" t="inlineStr">
        <is>
          <t>En: Pantalla activa de Ruta Despeje.
→ Derivar a RD-01 con Ruta elegible/disponible; la vista DD y “Ver Ruta Despeje” no activan la Ruta.</t>
        </is>
      </c>
    </row>
    <row r="59" ht="90" customHeight="1">
      <c r="A59" s="30" t="inlineStr">
        <is>
          <t>M04</t>
        </is>
      </c>
      <c r="B59" s="31" t="inlineStr">
        <is>
          <t>TR-M04-099</t>
        </is>
      </c>
      <c r="C59" s="37" t="inlineStr">
        <is>
          <t>F2 · Fixture cross-contract</t>
        </is>
      </c>
      <c r="D59" s="33" t="inlineStr">
        <is>
          <t>FLOW-M04-017 · Detalle deuda</t>
        </is>
      </c>
      <c r="E59" s="33" t="inlineStr">
        <is>
          <t>Dependencia destino no está disponible</t>
        </is>
      </c>
      <c r="F59" s="33" t="inlineStr">
        <is>
          <t>DD-01 / seguimiento | Acción contextual</t>
        </is>
      </c>
      <c r="G59" s="33" t="inlineStr">
        <is>
          <t>Cuenta de prueba activa y reseteada (sin deudas ni datos previos del flujo).
Condición de entrada: DD-01 / seguimiento | Acción contextual</t>
        </is>
      </c>
      <c r="H59" s="33" t="inlineStr">
        <is>
          <t>Seguir flujo de FLOW-M04-017 · Detalle deuda.
CIERRE
· Registrar resultado en columna «Resultado obtenido» y marcar «Estado QA».
· Resetear solo si el siguiente caso requiere estado inicial incompatible con el actual. Casos del mismo flujo pueden reutilizar el estado.
  (Ajustes → Borrar mis datos · o solicitar reset al admin de QA)</t>
        </is>
      </c>
      <c r="I59" s="33" t="inlineStr">
        <is>
          <t>Pantalla activa de Ruta Despeje.</t>
        </is>
      </c>
      <c r="J59" s="33" t="inlineStr">
        <is>
          <t>Aplicar fallback documentado sin bloquear M04 ni crear owner paralelo.</t>
        </is>
      </c>
      <c r="K59" s="33" t="inlineStr">
        <is>
          <t xml:space="preserve">Fixture sintético (no requiere documento real).
Formato: CSV o XLSX con los valores del contrato P4 upstream cerrado.
Inyectar al menos: POSITIVE · ZERO · NOT_EVALUABLE.
</t>
        </is>
      </c>
      <c r="L59" s="33" t="inlineStr">
        <is>
          <t>Sí · con insumo dev</t>
        </is>
      </c>
      <c r="M59" s="34" t="inlineStr"/>
      <c r="N59" s="35" t="inlineStr"/>
      <c r="O59" s="34" t="inlineStr"/>
      <c r="P59" s="6" t="inlineStr">
        <is>
          <t>Walvy_M04_Matriz_Trazabilidad_Cliente_v1.3.xlsx · 01_Matriz_Trazabilidad · TR-M04-099</t>
        </is>
      </c>
      <c r="Q59" s="6" t="inlineStr">
        <is>
          <t>En: Pantalla activa de Ruta Despeje.
→ Aplicar fallback documentado sin bloquear M04 ni crear owner paralelo.</t>
        </is>
      </c>
    </row>
    <row r="60" ht="90" customHeight="1">
      <c r="A60" s="30" t="inlineStr">
        <is>
          <t>M04</t>
        </is>
      </c>
      <c r="B60" s="31" t="inlineStr">
        <is>
          <t>TR-M04-100</t>
        </is>
      </c>
      <c r="C60" s="32" t="inlineStr">
        <is>
          <t>F3 · M02/M03 / superficie</t>
        </is>
      </c>
      <c r="D60" s="33" t="inlineStr">
        <is>
          <t>FLOW-M04-018 · Home consumidor</t>
        </is>
      </c>
      <c r="E60" s="33" t="inlineStr">
        <is>
          <t>Deuda es señal dominante del mes y gate permite acción M04</t>
        </is>
      </c>
      <c r="F60" s="33" t="inlineStr">
        <is>
          <t>Home | CTA dominante</t>
        </is>
      </c>
      <c r="G60" s="33" t="inlineStr">
        <is>
          <t>Cuenta de prueba activa y reseteada (sin deudas ni datos previos del flujo).
Condición de entrada: Home | CTA dominante</t>
        </is>
      </c>
      <c r="H60" s="33" t="inlineStr">
        <is>
          <t>Seguir flujo de FLOW-M04-018 · Home consumidor.
CIERRE
· Registrar resultado en columna «Resultado obtenido» y marcar «Estado QA».
· Resetear solo si el siguiente caso requiere estado inicial incompatible con el actual. Casos del mismo flujo pueden reutilizar el estado.
  (Ajustes → Borrar mis datos · o solicitar reset al admin de QA)</t>
        </is>
      </c>
      <c r="I60" s="33" t="inlineStr">
        <is>
          <t>Pantalla activa de Ruta Despeje.</t>
        </is>
      </c>
      <c r="J60" s="33" t="inlineStr">
        <is>
          <t>Home puede representar una acción M04 ya resuelta por el owner; no recalcula ni decide aquí el ganador transversal.</t>
        </is>
      </c>
      <c r="K60" s="33" t="inlineStr">
        <is>
          <t xml:space="preserve">Ambiente con Home/Perfil (M03) disponible.
Producer payload válido de M04.
</t>
        </is>
      </c>
      <c r="L60" s="33" t="inlineStr">
        <is>
          <t>No · requiere env</t>
        </is>
      </c>
      <c r="M60" s="34" t="inlineStr"/>
      <c r="N60" s="35" t="inlineStr"/>
      <c r="O60" s="34" t="inlineStr"/>
      <c r="P60" s="6" t="inlineStr">
        <is>
          <t>Walvy_M04_Matriz_Trazabilidad_Cliente_v1.3.xlsx · 01_Matriz_Trazabilidad · TR-M04-100</t>
        </is>
      </c>
      <c r="Q60" s="6" t="inlineStr">
        <is>
          <t>En: Pantalla activa de Ruta Despeje.
→ Home puede representar una acción M04 ya resuelta por el owner; no recalcula ni decide aquí el ganador transversal.</t>
        </is>
      </c>
    </row>
    <row r="61" ht="90" customHeight="1">
      <c r="A61" s="30" t="inlineStr">
        <is>
          <t>M04</t>
        </is>
      </c>
      <c r="B61" s="31" t="inlineStr">
        <is>
          <t>TR-M04-101</t>
        </is>
      </c>
      <c r="C61" s="32" t="inlineStr">
        <is>
          <t>F3 · M02/M03 / superficie</t>
        </is>
      </c>
      <c r="D61" s="33" t="inlineStr">
        <is>
          <t>FLOW-M04-018 · Home consumidor</t>
        </is>
      </c>
      <c r="E61" s="33" t="inlineStr">
        <is>
          <t>Deuda no es señal dominante</t>
        </is>
      </c>
      <c r="F61" s="33" t="inlineStr">
        <is>
          <t>Home | Sin CTA dominante deuda</t>
        </is>
      </c>
      <c r="G61" s="33" t="inlineStr">
        <is>
          <t>Cuenta de prueba activa y reseteada (sin deudas ni datos previos del flujo).
Condición de entrada: Home | Sin CTA dominante deuda</t>
        </is>
      </c>
      <c r="H61" s="33" t="inlineStr">
        <is>
          <t>Seguir flujo de FLOW-M04-018 · Home consumidor.
CIERRE
· Registrar resultado en columna «Resultado obtenido» y marcar «Estado QA».
· Resetear solo si el siguiente caso requiere estado inicial incompatible con el actual. Casos del mismo flujo pueden reutilizar el estado.
  (Ajustes → Borrar mis datos · o solicitar reset al admin de QA)</t>
        </is>
      </c>
      <c r="I61" s="33" t="inlineStr">
        <is>
          <t>Pantalla activa de Ruta Despeje.</t>
        </is>
      </c>
      <c r="J61" s="33" t="inlineStr">
        <is>
          <t>Si el candidato M04 no ocupa el slot dominante, Home puede mantenerlo como siguiente paso secundario o no mostrarlo según orquestación; no se crea otra señal.</t>
        </is>
      </c>
      <c r="K61" s="33" t="inlineStr">
        <is>
          <t xml:space="preserve">Ambiente con Home/Perfil (M03) disponible.
Producer payload válido de M04.
</t>
        </is>
      </c>
      <c r="L61" s="33" t="inlineStr">
        <is>
          <t>No · requiere env</t>
        </is>
      </c>
      <c r="M61" s="34" t="inlineStr"/>
      <c r="N61" s="35" t="inlineStr"/>
      <c r="O61" s="34" t="inlineStr"/>
      <c r="P61" s="6" t="inlineStr">
        <is>
          <t>Walvy_M04_Matriz_Trazabilidad_Cliente_v1.3.xlsx · 01_Matriz_Trazabilidad · TR-M04-101</t>
        </is>
      </c>
      <c r="Q61" s="6" t="inlineStr">
        <is>
          <t>En: Pantalla activa de Ruta Despeje.
→ Si el candidato M04 no ocupa el slot dominante, Home puede mantenerlo como siguiente paso secundario o no mostrarlo según orquestación; no se crea otra señal.</t>
        </is>
      </c>
    </row>
    <row r="62" ht="90" customHeight="1">
      <c r="A62" s="30" t="inlineStr">
        <is>
          <t>M04</t>
        </is>
      </c>
      <c r="B62" s="31" t="inlineStr">
        <is>
          <t>TR-M04-102</t>
        </is>
      </c>
      <c r="C62" s="32" t="inlineStr">
        <is>
          <t>F3 · M02/M03 / superficie</t>
        </is>
      </c>
      <c r="D62" s="33" t="inlineStr">
        <is>
          <t>FLOW-M04-018 · Home consumidor</t>
        </is>
      </c>
      <c r="E62" s="33" t="inlineStr">
        <is>
          <t>Señal de pago pertenece a M06</t>
        </is>
      </c>
      <c r="F62" s="33" t="inlineStr">
        <is>
          <t>Home | Revisar pago/alerta</t>
        </is>
      </c>
      <c r="G62" s="33" t="inlineStr">
        <is>
          <t>Cuenta de prueba activa y reseteada (sin deudas ni datos previos del flujo).
Condición de entrada: Home | Revisar pago/alerta</t>
        </is>
      </c>
      <c r="H62" s="33" t="inlineStr">
        <is>
          <t>Seguir flujo de FLOW-M04-018 · Home consumidor.
CIERRE
· Registrar resultado en columna «Resultado obtenido» y marcar «Estado QA».
· Resetear solo si el siguiente caso requiere estado inicial incompatible con el actual. Casos del mismo flujo pueden reutilizar el estado.
  (Ajustes → Borrar mis datos · o solicitar reset al admin de QA)</t>
        </is>
      </c>
      <c r="I62" s="33" t="inlineStr">
        <is>
          <t>Pantalla activa de Ruta Despeje.</t>
        </is>
      </c>
      <c r="J62" s="33" t="inlineStr">
        <is>
          <t>Derivar a M06/Pagos-Alertas y no a Ruta salvo condición de elevación.</t>
        </is>
      </c>
      <c r="K62" s="33" t="inlineStr">
        <is>
          <t xml:space="preserve">Ambiente con Home/Perfil (M03) disponible.
Producer payload válido de M04.
</t>
        </is>
      </c>
      <c r="L62" s="33" t="inlineStr">
        <is>
          <t>No · requiere env</t>
        </is>
      </c>
      <c r="M62" s="34" t="inlineStr"/>
      <c r="N62" s="35" t="inlineStr"/>
      <c r="O62" s="34" t="inlineStr"/>
      <c r="P62" s="6" t="inlineStr">
        <is>
          <t>Walvy_M04_Matriz_Trazabilidad_Cliente_v1.3.xlsx · 01_Matriz_Trazabilidad · TR-M04-102</t>
        </is>
      </c>
      <c r="Q62" s="6" t="inlineStr">
        <is>
          <t>En: Pantalla activa de Ruta Despeje.
→ Derivar a M06/Pagos-Alertas y no a Ruta salvo condición de elevación.</t>
        </is>
      </c>
    </row>
    <row r="63" ht="90" customHeight="1">
      <c r="A63" s="30" t="inlineStr">
        <is>
          <t>M04</t>
        </is>
      </c>
      <c r="B63" s="31" t="inlineStr">
        <is>
          <t>TR-M04-103</t>
        </is>
      </c>
      <c r="C63" s="32" t="inlineStr">
        <is>
          <t>F3 · M02/M03 / superficie</t>
        </is>
      </c>
      <c r="D63" s="33" t="inlineStr">
        <is>
          <t>FLOW-M04-018 · Home consumidor</t>
        </is>
      </c>
      <c r="E63" s="33" t="inlineStr">
        <is>
          <t>Dependencia destino no disponible</t>
        </is>
      </c>
      <c r="F63" s="33" t="inlineStr">
        <is>
          <t>Home | CTA contextual</t>
        </is>
      </c>
      <c r="G63" s="33" t="inlineStr">
        <is>
          <t>Cuenta de prueba activa y reseteada (sin deudas ni datos previos del flujo).
Condición de entrada: Home | CTA contextual</t>
        </is>
      </c>
      <c r="H63" s="33" t="inlineStr">
        <is>
          <t>Seguir flujo de FLOW-M04-018 · Home consumidor.
CIERRE
· Registrar resultado en columna «Resultado obtenido» y marcar «Estado QA».
· Resetear solo si el siguiente caso requiere estado inicial incompatible con el actual. Casos del mismo flujo pueden reutilizar el estado.
  (Ajustes → Borrar mis datos · o solicitar reset al admin de QA)</t>
        </is>
      </c>
      <c r="I63" s="33" t="inlineStr">
        <is>
          <t>Pantalla activa de Ruta Despeje.</t>
        </is>
      </c>
      <c r="J63" s="33" t="inlineStr">
        <is>
          <t>Usar fallback definido y conservar owner/estado.</t>
        </is>
      </c>
      <c r="K63" s="33" t="inlineStr">
        <is>
          <t xml:space="preserve">Ambiente con Home/Perfil (M03) disponible.
Producer payload válido de M04.
</t>
        </is>
      </c>
      <c r="L63" s="33" t="inlineStr">
        <is>
          <t>No · requiere env</t>
        </is>
      </c>
      <c r="M63" s="34" t="inlineStr"/>
      <c r="N63" s="35" t="inlineStr"/>
      <c r="O63" s="34" t="inlineStr"/>
      <c r="P63" s="6" t="inlineStr">
        <is>
          <t>Walvy_M04_Matriz_Trazabilidad_Cliente_v1.3.xlsx · 01_Matriz_Trazabilidad · TR-M04-103</t>
        </is>
      </c>
      <c r="Q63" s="6" t="inlineStr">
        <is>
          <t>En: Pantalla activa de Ruta Despeje.
→ Usar fallback definido y conservar owner/estado.</t>
        </is>
      </c>
    </row>
    <row r="64" ht="90" customHeight="1">
      <c r="A64" s="30" t="inlineStr">
        <is>
          <t>M04</t>
        </is>
      </c>
      <c r="B64" s="31" t="inlineStr">
        <is>
          <t>TR-M04-104</t>
        </is>
      </c>
      <c r="C64" s="36" t="inlineStr">
        <is>
          <t>F1 · QA funcional local</t>
        </is>
      </c>
      <c r="D64" s="33" t="inlineStr">
        <is>
          <t>FLOW-M04-019 · Ruta 2 · Plan</t>
        </is>
      </c>
      <c r="E64" s="33" t="inlineStr">
        <is>
          <t>Deudas confirmadas y base de plan disponible</t>
        </is>
      </c>
      <c r="F64" s="33" t="inlineStr">
        <is>
          <t>RD-02 Plan | Mostrar orden</t>
        </is>
      </c>
      <c r="G64" s="33" t="inlineStr">
        <is>
          <t>Cuenta de prueba activa y reseteada (sin deudas ni datos previos del flujo).
Condición de entrada: RD-02 Plan | Mostrar orden</t>
        </is>
      </c>
      <c r="H64" s="33" t="inlineStr">
        <is>
          <t>📋 FIXTURE REQUERIDO: cuenta seed «rd02-plan-fecha».
   Email: qa-m04-rd02-plan-fecha-*@walvy.local · Password: Walvy2024!
1. Iniciar sesión con la cuenta seed rd02-plan-fecha (deudas confirmadas con base de plan disponible).
2. Navegar a: Ruta Despeje → RD-02 Plan.
3. Verificar que la pantalla muestra el orden sugerido de deudas (snowball: menor saldo primero).
4. Verificar que cada deuda en el plan muestra su pago mínimo/compromiso protegido.
5. Verificar que el orden es consistente en visitas sucesivas (no cambia al navegar atrás y volver).
   → Si el orden es snowball con mínimos protegidos: ✓ PASA.
CIERRE
· Registrar resultado en «Resultado obtenido» y marcar «Estado QA».
· Resetear cuenta solo si el siguiente caso requiere estado diferente al actual.
  (Perfil → Herramientas QA → «Reiniciar cuenta de prueba» (doble confirmación))</t>
        </is>
      </c>
      <c r="I64" s="33" t="inlineStr">
        <is>
          <t>Pantalla activa de Ruta Despeje.</t>
        </is>
      </c>
      <c r="J64" s="33" t="inlineStr">
        <is>
          <t>Mostrar orden sugerido por menor saldo actual con mínimos protegidos.</t>
        </is>
      </c>
      <c r="K64" s="43" t="inlineStr">
        <is>
          <t>── CUENTA SEED (origin/qa) ──
Email   : qa-m04-rd02-plan-fecha-*@walvy.local
Password: Walvy2024!
Grupo   : D1
Estado  : RD-02 · ruta elegible · 2 deudas: d1=$300k(P1) d2=$900k(P2) · ambas con cuota → plan con fecha · QA sigue secuencia: ver-plan→cronograma→simular→seguir-plan
(El email exacto queda en la salida del script seed-qa-m04.mjs)</t>
        </is>
      </c>
      <c r="L64" s="33" t="inlineStr">
        <is>
          <t>Sí · con insumo dev</t>
        </is>
      </c>
      <c r="M64" s="34" t="inlineStr"/>
      <c r="N64" s="35" t="inlineStr"/>
      <c r="O64" s="34" t="inlineStr"/>
      <c r="P64" s="6" t="inlineStr">
        <is>
          <t>Walvy_M04_Matriz_Trazabilidad_Cliente_v1.3.xlsx · 01_Matriz_Trazabilidad · TR-M04-104</t>
        </is>
      </c>
      <c r="Q64" s="6" t="inlineStr">
        <is>
          <t>En: Pantalla activa de Ruta Despeje.
→ Mostrar orden sugerido por menor saldo actual con mínimos protegidos.</t>
        </is>
      </c>
    </row>
    <row r="65" ht="90" customHeight="1">
      <c r="A65" s="30" t="inlineStr">
        <is>
          <t>M04</t>
        </is>
      </c>
      <c r="B65" s="31" t="inlineStr">
        <is>
          <t>TR-M04-105</t>
        </is>
      </c>
      <c r="C65" s="37" t="inlineStr">
        <is>
          <t>F2 · Fixture cross-contract</t>
        </is>
      </c>
      <c r="D65" s="33" t="inlineStr">
        <is>
          <t>FLOW-M04-019 · Ruta 2 · Plan</t>
        </is>
      </c>
      <c r="E65" s="33" t="inlineStr">
        <is>
          <t>Existe pago/compromiso mensual confirmado y confianza suficiente</t>
        </is>
      </c>
      <c r="F65" s="33" t="inlineStr">
        <is>
          <t>RD-02 Plan | Mostrar capacidad recuperable</t>
        </is>
      </c>
      <c r="G65" s="33" t="inlineStr">
        <is>
          <t>Cuenta de prueba activa y reseteada (sin deudas ni datos previos del flujo).
Condición de entrada: RD-02 Plan | Mostrar capacidad recuperable</t>
        </is>
      </c>
      <c r="H65" s="33" t="inlineStr">
        <is>
          <t>Seguir flujo de FLOW-M04-019 · Ruta 2 · Plan.
CIERRE
· Registrar resultado en columna «Resultado obtenido» y marcar «Estado QA».
· Resetear solo si el siguiente caso requiere estado inicial incompatible con el actual. Casos del mismo flujo pueden reutilizar el estado.
  (Ajustes → Borrar mis datos · o solicitar reset al admin de QA)</t>
        </is>
      </c>
      <c r="I65" s="33" t="inlineStr">
        <is>
          <t>Pantalla activa de Ruta Despeje.</t>
        </is>
      </c>
      <c r="J65" s="33" t="inlineStr">
        <is>
          <t>Mostrar monto potencialmente liberable como estimación de deuda, no ahorro general.</t>
        </is>
      </c>
      <c r="K65" s="33" t="inlineStr">
        <is>
          <t xml:space="preserve">Fixture sintético (no requiere documento real).
Formato: CSV o XLSX con los valores del contrato P4 upstream cerrado.
Inyectar al menos: POSITIVE · ZERO · NOT_EVALUABLE.
</t>
        </is>
      </c>
      <c r="L65" s="33" t="inlineStr">
        <is>
          <t>Sí · con insumo dev</t>
        </is>
      </c>
      <c r="M65" s="34" t="inlineStr"/>
      <c r="N65" s="35" t="inlineStr"/>
      <c r="O65" s="34" t="inlineStr"/>
      <c r="P65" s="6" t="inlineStr">
        <is>
          <t>Walvy_M04_Matriz_Trazabilidad_Cliente_v1.3.xlsx · 01_Matriz_Trazabilidad · TR-M04-105</t>
        </is>
      </c>
      <c r="Q65" s="6" t="inlineStr">
        <is>
          <t>En: Pantalla activa de Ruta Despeje.
→ Mostrar monto potencialmente liberable como estimación de deuda, no ahorro general.</t>
        </is>
      </c>
    </row>
    <row r="66" ht="90" customHeight="1">
      <c r="A66" s="30" t="inlineStr">
        <is>
          <t>M04</t>
        </is>
      </c>
      <c r="B66" s="31" t="inlineStr">
        <is>
          <t>TR-M04-106</t>
        </is>
      </c>
      <c r="C66" s="36" t="inlineStr">
        <is>
          <t>F1 · QA funcional local</t>
        </is>
      </c>
      <c r="D66" s="33" t="inlineStr">
        <is>
          <t>FLOW-M04-019 · Ruta 2 · Plan</t>
        </is>
      </c>
      <c r="E66" s="33" t="inlineStr">
        <is>
          <t>Datos, supuestos, confianza y versión suficientes</t>
        </is>
      </c>
      <c r="F66" s="33" t="inlineStr">
        <is>
          <t>RD-02 Plan | Mostrar cronograma</t>
        </is>
      </c>
      <c r="G66" s="33" t="inlineStr">
        <is>
          <t>Cuenta de prueba activa y reseteada (sin deudas ni datos previos del flujo).
Condición de entrada: RD-02 Plan | Mostrar cronograma</t>
        </is>
      </c>
      <c r="H66" s="33" t="inlineStr">
        <is>
          <t>📋 FIXTURE REQUERIDO: cuenta seed «rd02-plan-fecha».
   Email: qa-m04-rd02-plan-fecha-*@walvy.local · Password: Walvy2024!
1. Iniciar sesión con la cuenta seed rd02-plan-fecha (datos, supuestos y confianza suficientes para proyectar).
2. Navegar a: Ruta Despeje → RD-02 Plan → sección de cronograma/duración estimada.
3. Verificar que la app muestra una duración o fecha estimada de finalización del plan.
4. Verificar que la estimación está marcada como condicionada (ej: «estimado», «aprox.», «si mantienes el plan»).
5. Verificar que la fecha/duración cambia si se modifica el aporte mensual.
   → Si hay cronograma marcado como estimación condicionada: ✓ PASA.
CIERRE
· Registrar resultado en «Resultado obtenido» y marcar «Estado QA».
· Resetear cuenta solo si el siguiente caso requiere estado diferente al actual.
  (Perfil → Herramientas QA → «Reiniciar cuenta de prueba» (doble confirmación))</t>
        </is>
      </c>
      <c r="I66" s="33" t="inlineStr">
        <is>
          <t>Pantalla activa de Ruta Despeje.</t>
        </is>
      </c>
      <c r="J66" s="33" t="inlineStr">
        <is>
          <t>Mostrar duración/fecha como estimación condicionada.</t>
        </is>
      </c>
      <c r="K66" s="43" t="inlineStr">
        <is>
          <t>── CUENTA SEED (origin/qa) ──
Email   : qa-m04-rd02-plan-fecha-*@walvy.local
Password: Walvy2024!
Grupo   : D1
Estado  : (misma cuenta que TR-M04-104) RD-02 · cronograma estimado disponible · d1 libera cuota → tag recuperable
(El email exacto queda en la salida del script seed-qa-m04.mjs)</t>
        </is>
      </c>
      <c r="L66" s="33" t="inlineStr">
        <is>
          <t>Sí · con insumo dev</t>
        </is>
      </c>
      <c r="M66" s="34" t="inlineStr"/>
      <c r="N66" s="35" t="inlineStr"/>
      <c r="O66" s="34" t="inlineStr"/>
      <c r="P66" s="6" t="inlineStr">
        <is>
          <t>Walvy_M04_Matriz_Trazabilidad_Cliente_v1.3.xlsx · 01_Matriz_Trazabilidad · TR-M04-106</t>
        </is>
      </c>
      <c r="Q66" s="6" t="inlineStr">
        <is>
          <t>En: Pantalla activa de Ruta Despeje.
→ Mostrar duración/fecha como estimación condicionada.</t>
        </is>
      </c>
    </row>
    <row r="67" ht="90" customHeight="1">
      <c r="A67" s="30" t="inlineStr">
        <is>
          <t>M04</t>
        </is>
      </c>
      <c r="B67" s="31" t="inlineStr">
        <is>
          <t>TR-M04-107</t>
        </is>
      </c>
      <c r="C67" s="36" t="inlineStr">
        <is>
          <t>F1 · QA funcional local</t>
        </is>
      </c>
      <c r="D67" s="33" t="inlineStr">
        <is>
          <t>FLOW-M04-019 · Ruta 2 · Plan</t>
        </is>
      </c>
      <c r="E67" s="33" t="inlineStr">
        <is>
          <t>Faltan datos/supuestos/confianza para proyectar fecha</t>
        </is>
      </c>
      <c r="F67" s="33" t="inlineStr">
        <is>
          <t>RD-02 Plan | Mostrar estado cualitativo</t>
        </is>
      </c>
      <c r="G67" s="33" t="inlineStr">
        <is>
          <t>Cuenta de prueba activa y reseteada (sin deudas ni datos previos del flujo).
Condición de entrada: RD-02 Plan | Mostrar estado cualitativo</t>
        </is>
      </c>
      <c r="H67" s="33" t="inlineStr">
        <is>
          <t>📋 FIXTURE REQUERIDO: cuenta seed «rd02-sin-fecha».
   Email: qa-m04-rd02-sin-fecha-*@walvy.local · Password: Walvy2024!
1. Iniciar sesión con la cuenta seed rd02-sin-fecha (faltan datos/confianza para proyectar fecha).
2. Navegar a: Ruta Despeje → RD-02 Plan → sección de cronograma.
3. Verificar que la app NO muestra una fecha concreta de finalización.
4. Verificar que en su lugar muestra un estado cualitativo (ej: «Completa datos para ver la duración») o pide el dato faltante.
5. Verificar que el plan de orden de deudas sí se muestra aunque no haya fecha.
   → Si no hay fecha y el estado es cualitativo: ✓ PASA.
CIERRE
· Registrar resultado en «Resultado obtenido» y marcar «Estado QA».
· Resetear cuenta solo si el siguiente caso requiere estado diferente al actual.
  (Perfil → Herramientas QA → «Reiniciar cuenta de prueba» (doble confirmación))</t>
        </is>
      </c>
      <c r="I67" s="33" t="inlineStr">
        <is>
          <t>Pantalla activa de Ruta Despeje.</t>
        </is>
      </c>
      <c r="J67" s="33" t="inlineStr">
        <is>
          <t>No mostrar fecha concluyente; pedir datos o mantener estado cualitativo.</t>
        </is>
      </c>
      <c r="K67" s="43" t="inlineStr">
        <is>
          <t>── CUENTA SEED (origin/qa) ──
Email   : qa-m04-rd02-sin-fecha-*@walvy.local
Password: Walvy2024!
Grupo   : D2
Estado  : RD-02 · 1 deuda principal sin cuota (current_balance=NULL, minimum_payment=NULL → preliminaryOrderIds) · plan cualitativo sin fecha · REASON.orderPreliminary
(El email exacto queda en la salida del script seed-qa-m04.mjs)</t>
        </is>
      </c>
      <c r="L67" s="33" t="inlineStr">
        <is>
          <t>Sí · con insumo dev</t>
        </is>
      </c>
      <c r="M67" s="34" t="inlineStr"/>
      <c r="N67" s="35" t="inlineStr"/>
      <c r="O67" s="34" t="inlineStr"/>
      <c r="P67" s="6" t="inlineStr">
        <is>
          <t>Walvy_M04_Matriz_Trazabilidad_Cliente_v1.3.xlsx · 01_Matriz_Trazabilidad · TR-M04-107</t>
        </is>
      </c>
      <c r="Q67" s="6" t="inlineStr">
        <is>
          <t>En: Pantalla activa de Ruta Despeje.
→ No mostrar fecha concluyente; pedir datos o mantener estado cualitativo.</t>
        </is>
      </c>
    </row>
    <row r="68" ht="90" customHeight="1">
      <c r="A68" s="30" t="inlineStr">
        <is>
          <t>M04</t>
        </is>
      </c>
      <c r="B68" s="31" t="inlineStr">
        <is>
          <t>TR-M04-108</t>
        </is>
      </c>
      <c r="C68" s="36" t="inlineStr">
        <is>
          <t>F1 · QA funcional local</t>
        </is>
      </c>
      <c r="D68" s="33" t="inlineStr">
        <is>
          <t>FLOW-M04-019 · Ruta 2 · Plan</t>
        </is>
      </c>
      <c r="E68" s="33" t="inlineStr">
        <is>
          <t>Vista agrupada opcional autorizada por fuente</t>
        </is>
      </c>
      <c r="F68" s="33" t="inlineStr">
        <is>
          <t>RD-02 Plan | Ver deudas agrupadas</t>
        </is>
      </c>
      <c r="G68" s="33" t="inlineStr">
        <is>
          <t>Cuenta de prueba reseteada con ≥2 deudas confirmadas de distintas fuentes (ej: 1 manual + 1 detectada por documento).
Ruta activa con plan RD-02 generado.</t>
        </is>
      </c>
      <c r="H68" s="33" t="inlineStr">
        <is>
          <t>NOTA: Esta variante es una capacidad opcional condicionada por PMO (vista agrupada por fuente).
Si el botón/toggle de agrupamiento NO está visible en la pantalla:
   → Marcar «NO APLICA HOY» en Estado QA. El caso está condicionado/no materializado.
Si el toggle SÍ está visible:
1. Iniciar sesión con cuenta que tenga ≥2 deudas de distinta fuente (manual + detectada).
2. Navegar a: Ruta Despeje → RD-02 Plan.
3. Activar la vista agrupada por fuente.
4. Verificar que las deudas se agrupan por origen sin que el saldo total del plan cambie.
5. Verificar que NO aparece ningún botón de «consolidar» ni «refinanciar».
CIERRE
· Registrar resultado en «Resultado obtenido» y marcar «Estado QA».
· Resetear cuenta solo si el siguiente caso requiere estado diferente al actual.
  (Perfil → Herramientas QA → «Reiniciar cuenta de prueba» (doble confirmación))</t>
        </is>
      </c>
      <c r="I68" s="33" t="inlineStr">
        <is>
          <t>Pantalla Plan de deudas / RD-02 (RoutePlanScreen) → lista de deudas del plan.</t>
        </is>
      </c>
      <c r="J68" s="33" t="inlineStr">
        <is>
          <t>Si se materializa, agrupa deudas para ordenar sin implicar refinanciamiento/consolidación.</t>
        </is>
      </c>
      <c r="K68" s="33" t="inlineStr">
        <is>
          <t>Fixture sintético con ≥2 deudas confirmadas:
  1 deuda manual (origin='manual').
  1 deuda detectada por documento (origin='document', confirmationStatus='confirmed').
Ambas deben estar en el plan activo (eligibleForRoute=true).</t>
        </is>
      </c>
      <c r="L68" s="33" t="inlineStr">
        <is>
          <t>No aplica · condicionado PMO</t>
        </is>
      </c>
      <c r="M68" s="34" t="inlineStr"/>
      <c r="N68" s="35" t="inlineStr">
        <is>
          <t>NO APLICA</t>
        </is>
      </c>
      <c r="O68" s="34" t="inlineStr">
        <is>
          <t>PMO ruling 2026-09-22 (KabeliDev/front-walvy#210): vista agrupada es capacidad opcional/condicionada — no se implementa en M04 vigente. Si el toggle no está visible: NO APLICA HOY. Si en el futuro se materializa, se cierra primero con Diseño el criterio de agrupación y el punto de acceso UX; el orden bola de nieve siempre se preserva.
---
Backend: route.service.ts → buildDebtTags(); no hay groupBy endpoint.
Comportamiento contractual: «Si se materializa, agrupa sin implicar refinanciamiento/consolidación».
Si no hay UI de agrupamiento: marcar NO APLICA HOY.</t>
        </is>
      </c>
      <c r="P68" s="6" t="inlineStr">
        <is>
          <t>Walvy_M04_Matriz_Trazabilidad_Cliente_v1.3.xlsx · 01_Matriz_Trazabilidad · TR-M04-108</t>
        </is>
      </c>
      <c r="Q68" s="6" t="inlineStr">
        <is>
          <t>En: Pantalla Plan de deudas / RD-02 (RoutePlanScreen) → lista de deudas del plan.
→ Si se materializa, agrupa deudas para ordenar sin implicar refinanciamiento/consolidación.</t>
        </is>
      </c>
    </row>
    <row r="69" ht="90" customHeight="1">
      <c r="A69" s="30" t="inlineStr">
        <is>
          <t>M04</t>
        </is>
      </c>
      <c r="B69" s="31" t="inlineStr">
        <is>
          <t>TR-M04-109</t>
        </is>
      </c>
      <c r="C69" s="36" t="inlineStr">
        <is>
          <t>F1 · QA funcional local</t>
        </is>
      </c>
      <c r="D69" s="33" t="inlineStr">
        <is>
          <t>FLOW-M04-019 · Ruta 2 · Plan</t>
        </is>
      </c>
      <c r="E69" s="33" t="inlineStr">
        <is>
          <t>Figma usa “capacidad de ahorro comprometida/que podrías liberar”</t>
        </is>
      </c>
      <c r="F69" s="33" t="inlineStr">
        <is>
          <t>RD-02 Plan | Copy capacidad</t>
        </is>
      </c>
      <c r="G69" s="33" t="inlineStr">
        <is>
          <t>Cuenta de prueba activa y reseteada (sin deudas ni datos previos del flujo).
Condición de entrada: RD-02 Plan | Copy capacidad</t>
        </is>
      </c>
      <c r="H69" s="33" t="inlineStr">
        <is>
          <t>1. Iniciar sesión con cualquier cuenta que tenga Ruta elegible/activa con plan RD-02.
2. Navegar a: Ruta Despeje → RD-02 Plan.
3. Localizar el texto que menciona la capacidad de pago liberada al cerrar la deuda prioritaria.
4. Verificar que el copy usa la semántica de «capacidad recuperable/liberable por deuda»
   y NO usa el término «capacidad de ahorro general» (que es competencia de M05).
5. Verificar que el texto es informativo y no implica movimiento de dinero ni ahorro automático.
   → Si el copy dice «liberar» o «recuperar» capacidad (no ahorro general M05): ✓ PASA.
CIERRE
· Registrar resultado en «Resultado obtenido» y marcar «Estado QA».
· Resetear cuenta solo si el siguiente caso requiere estado diferente al actual.
  (Perfil → Herramientas QA → «Reiniciar cuenta de prueba» (doble confirmación))</t>
        </is>
      </c>
      <c r="I69" s="33" t="inlineStr">
        <is>
          <t>Pantalla activa de Ruta Despeje.</t>
        </is>
      </c>
      <c r="J69" s="33" t="inlineStr">
        <is>
          <t>La obligación documental exige semántica de capacidad recuperable/liberable por deuda, separada de ahorro general M05.</t>
        </is>
      </c>
      <c r="K69" s="33" t="inlineStr"/>
      <c r="L69" s="33" t="inlineStr">
        <is>
          <t>Sí</t>
        </is>
      </c>
      <c r="M69" s="34" t="inlineStr"/>
      <c r="N69" s="35" t="inlineStr"/>
      <c r="O69" s="34" t="inlineStr"/>
      <c r="P69" s="6" t="inlineStr">
        <is>
          <t>Walvy_M04_Matriz_Trazabilidad_Cliente_v1.3.xlsx · 01_Matriz_Trazabilidad · TR-M04-109</t>
        </is>
      </c>
      <c r="Q69" s="6" t="inlineStr">
        <is>
          <t>En: Pantalla activa de Ruta Despeje.
→ La obligación documental exige semántica de capacidad recuperable/liberable por deuda, separada de ahorro general M05.</t>
        </is>
      </c>
    </row>
    <row r="70" ht="90" customHeight="1">
      <c r="A70" s="30" t="inlineStr">
        <is>
          <t>M04</t>
        </is>
      </c>
      <c r="B70" s="31" t="inlineStr">
        <is>
          <t>TR-M04-110</t>
        </is>
      </c>
      <c r="C70" s="37" t="inlineStr">
        <is>
          <t>F2 · Fixture cross-contract</t>
        </is>
      </c>
      <c r="D70" s="33" t="inlineStr">
        <is>
          <t>FLOW-M04-020 · Ruta 2 · Simulación</t>
        </is>
      </c>
      <c r="E70" s="33" t="inlineStr">
        <is>
          <t>Ingreso disponible para colchón</t>
        </is>
      </c>
      <c r="F70" s="33" t="inlineStr">
        <is>
          <t>RD-02 Simulación | Calcular</t>
        </is>
      </c>
      <c r="G70" s="33" t="inlineStr">
        <is>
          <t>Cuenta de prueba activa y reseteada (sin deudas ni datos previos del flujo).
Condición de entrada: RD-02 Simulación | Calcular</t>
        </is>
      </c>
      <c r="H70" s="33" t="inlineStr">
        <is>
          <t>Seguir flujo de FLOW-M04-020 · Ruta 2 · Simulación.
CIERRE
· Registrar resultado en columna «Resultado obtenido» y marcar «Estado QA».
· Resetear solo si el siguiente caso requiere estado inicial incompatible con el actual. Casos del mismo flujo pueden reutilizar el estado.
  (Ajustes → Borrar mis datos · o solicitar reset al admin de QA)</t>
        </is>
      </c>
      <c r="I70" s="33" t="inlineStr">
        <is>
          <t>Pantalla activa de Ruta Despeje.</t>
        </is>
      </c>
      <c r="J70" s="33" t="inlineStr">
        <is>
          <t>No usar max(piso, ingreso×5%) como política vigente. Preservar únicamente el principio de protección prudencial antes de afirmar sostenibilidad.</t>
        </is>
      </c>
      <c r="K70" s="33" t="inlineStr">
        <is>
          <t xml:space="preserve">Fixture sintético (no requiere documento real).
Formato: CSV o XLSX con los valores del contrato P4 upstream cerrado.
Inyectar al menos: POSITIVE · ZERO · NOT_EVALUABLE.
</t>
        </is>
      </c>
      <c r="L70" s="33" t="inlineStr">
        <is>
          <t>Sí · con insumo dev</t>
        </is>
      </c>
      <c r="M70" s="34" t="inlineStr"/>
      <c r="N70" s="35" t="inlineStr"/>
      <c r="O70" s="34" t="inlineStr"/>
      <c r="P70" s="6" t="inlineStr">
        <is>
          <t>Walvy_M04_Matriz_Trazabilidad_Cliente_v1.3.xlsx · 01_Matriz_Trazabilidad · TR-M04-110</t>
        </is>
      </c>
      <c r="Q70" s="6" t="inlineStr">
        <is>
          <t>En: Pantalla activa de Ruta Despeje.
→ No usar max(piso, ingreso×5%) como política vigente. Preservar únicamente el principio de protección prudencial antes de afirmar sostenibilidad.</t>
        </is>
      </c>
    </row>
    <row r="71" ht="90" customHeight="1">
      <c r="A71" s="30" t="inlineStr">
        <is>
          <t>M04</t>
        </is>
      </c>
      <c r="B71" s="31" t="inlineStr">
        <is>
          <t>TR-M04-111</t>
        </is>
      </c>
      <c r="C71" s="37" t="inlineStr">
        <is>
          <t>F2 · Fixture cross-contract</t>
        </is>
      </c>
      <c r="D71" s="33" t="inlineStr">
        <is>
          <t>FLOW-M04-020 · Ruta 2 · Simulación</t>
        </is>
      </c>
      <c r="E71" s="33" t="inlineStr">
        <is>
          <t>Ingreso/gastos/pagos obligatorios disponibles</t>
        </is>
      </c>
      <c r="F71" s="33" t="inlineStr">
        <is>
          <t>RD-02 Simulación | Calcular</t>
        </is>
      </c>
      <c r="G71" s="33" t="inlineStr">
        <is>
          <t>Cuenta de prueba activa y reseteada (sin deudas ni datos previos del flujo).
Condición de entrada: RD-02 Simulación | Calcular</t>
        </is>
      </c>
      <c r="H71" s="33" t="inlineStr">
        <is>
          <t>Seguir flujo de FLOW-M04-020 · Ruta 2 · Simulación.
CIERRE
· Registrar resultado en columna «Resultado obtenido» y marcar «Estado QA».
· Resetear solo si el siguiente caso requiere estado inicial incompatible con el actual. Casos del mismo flujo pueden reutilizar el estado.
  (Ajustes → Borrar mis datos · o solicitar reset al admin de QA)</t>
        </is>
      </c>
      <c r="I71" s="33" t="inlineStr">
        <is>
          <t>Pantalla activa de Ruta Despeje.</t>
        </is>
      </c>
      <c r="J71" s="33" t="inlineStr">
        <is>
          <t>Consumir headroom/capacidad residual canónica producida upstream; M04 no recalcula un presupuesto paralelo.</t>
        </is>
      </c>
      <c r="K71" s="33" t="inlineStr">
        <is>
          <t xml:space="preserve">Fixture sintético (no requiere documento real).
Formato: CSV o XLSX con los valores del contrato P4 upstream cerrado.
Inyectar al menos: POSITIVE · ZERO · NOT_EVALUABLE.
</t>
        </is>
      </c>
      <c r="L71" s="33" t="inlineStr">
        <is>
          <t>Sí · con insumo dev</t>
        </is>
      </c>
      <c r="M71" s="34" t="inlineStr"/>
      <c r="N71" s="35" t="inlineStr"/>
      <c r="O71" s="34" t="inlineStr"/>
      <c r="P71" s="6" t="inlineStr">
        <is>
          <t>Walvy_M04_Matriz_Trazabilidad_Cliente_v1.3.xlsx · 01_Matriz_Trazabilidad · TR-M04-111</t>
        </is>
      </c>
      <c r="Q71" s="6" t="inlineStr">
        <is>
          <t>En: Pantalla activa de Ruta Despeje.
→ Consumir headroom/capacidad residual canónica producida upstream; M04 no recalcula un presupuesto paralelo.</t>
        </is>
      </c>
    </row>
    <row r="72" ht="90" customHeight="1">
      <c r="A72" s="30" t="inlineStr">
        <is>
          <t>M04</t>
        </is>
      </c>
      <c r="B72" s="31" t="inlineStr">
        <is>
          <t>TR-M04-112</t>
        </is>
      </c>
      <c r="C72" s="37" t="inlineStr">
        <is>
          <t>F2 · Fixture cross-contract</t>
        </is>
      </c>
      <c r="D72" s="33" t="inlineStr">
        <is>
          <t>FLOW-M04-020 · Ruta 2 · Simulación</t>
        </is>
      </c>
      <c r="E72" s="33" t="inlineStr">
        <is>
          <t>Headroom válido y protección prudencial suficientemente evaluable</t>
        </is>
      </c>
      <c r="F72" s="33" t="inlineStr">
        <is>
          <t>RD-02 Simulación | Calcular</t>
        </is>
      </c>
      <c r="G72" s="33" t="inlineStr">
        <is>
          <t>Cuenta de prueba activa y reseteada (sin deudas ni datos previos del flujo).
Condición de entrada: RD-02 Simulación | Calcular</t>
        </is>
      </c>
      <c r="H72" s="33" t="inlineStr">
        <is>
          <t>Seguir flujo de FLOW-M04-020 · Ruta 2 · Simulación.
CIERRE
· Registrar resultado en columna «Resultado obtenido» y marcar «Estado QA».
· Resetear solo si el siguiente caso requiere estado inicial incompatible con el actual. Casos del mismo flujo pueden reutilizar el estado.
  (Ajustes → Borrar mis datos · o solicitar reset al admin de QA)</t>
        </is>
      </c>
      <c r="I72" s="33" t="inlineStr">
        <is>
          <t>Pantalla activa de Ruta Despeje.</t>
        </is>
      </c>
      <c r="J72" s="33" t="inlineStr">
        <is>
          <t>Calcular o afirmar capacidad adicional sostenible solo bajo una política prudencial aprobada y con inputs suficientes; no usar la resta anterior espacio-colchón.</t>
        </is>
      </c>
      <c r="K72" s="33" t="inlineStr">
        <is>
          <t xml:space="preserve">Fixture sintético (no requiere documento real).
Formato: CSV o XLSX con los valores del contrato P4 upstream cerrado.
Inyectar al menos: POSITIVE · ZERO · NOT_EVALUABLE.
</t>
        </is>
      </c>
      <c r="L72" s="33" t="inlineStr">
        <is>
          <t>Sí · con insumo dev</t>
        </is>
      </c>
      <c r="M72" s="34" t="inlineStr"/>
      <c r="N72" s="35" t="inlineStr"/>
      <c r="O72" s="34" t="inlineStr"/>
      <c r="P72" s="6" t="inlineStr">
        <is>
          <t>Walvy_M04_Matriz_Trazabilidad_Cliente_v1.3.xlsx · 01_Matriz_Trazabilidad · TR-M04-112</t>
        </is>
      </c>
      <c r="Q72" s="6" t="inlineStr">
        <is>
          <t>En: Pantalla activa de Ruta Despeje.
→ Calcular o afirmar capacidad adicional sostenible solo bajo una política prudencial aprobada y con inputs suficientes; no usar la resta anterior espacio-colchón.</t>
        </is>
      </c>
    </row>
    <row r="73" ht="90" customHeight="1">
      <c r="A73" s="30" t="inlineStr">
        <is>
          <t>M04</t>
        </is>
      </c>
      <c r="B73" s="31" t="inlineStr">
        <is>
          <t>TR-M04-113</t>
        </is>
      </c>
      <c r="C73" s="36" t="inlineStr">
        <is>
          <t>F1 · QA funcional local</t>
        </is>
      </c>
      <c r="D73" s="33" t="inlineStr">
        <is>
          <t>FLOW-M04-020 · Ruta 2 · Simulación</t>
        </is>
      </c>
      <c r="E73" s="33" t="inlineStr">
        <is>
          <t>Usuario ingresa aporte manual hipotético</t>
        </is>
      </c>
      <c r="F73" s="33" t="inlineStr">
        <is>
          <t>RD-02 Simulación | Ingresar monto</t>
        </is>
      </c>
      <c r="G73" s="33" t="inlineStr">
        <is>
          <t>Cuenta de prueba activa y reseteada (sin deudas ni datos previos del flujo).
Condición de entrada: RD-02 Simulación | Ingresar monto</t>
        </is>
      </c>
      <c r="H73" s="33" t="inlineStr">
        <is>
          <t>1. Iniciar sesión con cualquier cuenta que tenga Ruta elegible/activa y plan RD-02 activo.
2. Navegar a: Ruta Despeje → RD-02 Plan → sección de simulación de aporte.
3. Ingresar un monto de aporte manual hipotético (ej: $50.000 adicionales al mes).
4. Verificar que la app recalcula el cronograma / duración del plan con el aporte hipotético.
5. Verificar que la simulación es solo un escenario (sin pago real, sin confirmación).
6. Verificar que la Ruta NO se activa ni el estado cambia por simular un aporte.
   → Si el cronograma cambia hipotéticamente sin mover dinero ni activar Ruta: ✓ PASA.
CIERRE
· Registrar resultado en «Resultado obtenido» y marcar «Estado QA».
· Resetear cuenta solo si el siguiente caso requiere estado diferente al actual.
  (Perfil → Herramientas QA → «Reiniciar cuenta de prueba» (doble confirmación))</t>
        </is>
      </c>
      <c r="I73" s="33" t="inlineStr">
        <is>
          <t>Pantalla activa de Ruta Despeje.</t>
        </is>
      </c>
      <c r="J73" s="33" t="inlineStr">
        <is>
          <t>Permitir simulación de aporte manual como escenario hipotético aunque la sostenibilidad prudencial no esté demostrada.</t>
        </is>
      </c>
      <c r="K73" s="33" t="inlineStr"/>
      <c r="L73" s="33" t="inlineStr">
        <is>
          <t>Sí</t>
        </is>
      </c>
      <c r="M73" s="34" t="inlineStr"/>
      <c r="N73" s="35" t="inlineStr"/>
      <c r="O73" s="34" t="inlineStr"/>
      <c r="P73" s="6" t="inlineStr">
        <is>
          <t>Walvy_M04_Matriz_Trazabilidad_Cliente_v1.3.xlsx · 01_Matriz_Trazabilidad · TR-M04-113</t>
        </is>
      </c>
      <c r="Q73" s="6" t="inlineStr">
        <is>
          <t>En: Pantalla activa de Ruta Despeje.
→ Permitir simulación de aporte manual como escenario hipotético aunque la sostenibilidad prudencial no esté demostrada.</t>
        </is>
      </c>
    </row>
    <row r="74" ht="90" customHeight="1">
      <c r="A74" s="30" t="inlineStr">
        <is>
          <t>M04</t>
        </is>
      </c>
      <c r="B74" s="31" t="inlineStr">
        <is>
          <t>TR-M04-114</t>
        </is>
      </c>
      <c r="C74" s="37" t="inlineStr">
        <is>
          <t>F2 · Fixture cross-contract</t>
        </is>
      </c>
      <c r="D74" s="33" t="inlineStr">
        <is>
          <t>FLOW-M04-020 · Ruta 2 · Simulación</t>
        </is>
      </c>
      <c r="E74" s="33" t="inlineStr">
        <is>
          <t>Protección prudencial no evaluable o capacidad sostenible no demostrable</t>
        </is>
      </c>
      <c r="F74" s="33" t="inlineStr">
        <is>
          <t>RD-02 Simulación | Ver simulación</t>
        </is>
      </c>
      <c r="G74" s="33" t="inlineStr">
        <is>
          <t>Cuenta de prueba activa y reseteada (sin deudas ni datos previos del flujo).
Condición de entrada: RD-02 Simulación | Ver simulación</t>
        </is>
      </c>
      <c r="H74" s="33" t="inlineStr">
        <is>
          <t>Seguir flujo de FLOW-M04-020 · Ruta 2 · Simulación.
CIERRE
· Registrar resultado en columna «Resultado obtenido» y marcar «Estado QA».
· Resetear solo si el siguiente caso requiere estado inicial incompatible con el actual. Casos del mismo flujo pueden reutilizar el estado.
  (Ajustes → Borrar mis datos · o solicitar reset al admin de QA)</t>
        </is>
      </c>
      <c r="I74" s="33" t="inlineStr">
        <is>
          <t>Pantalla activa de Ruta Despeje.</t>
        </is>
      </c>
      <c r="J74" s="33" t="inlineStr">
        <is>
          <t>Mostrar simulación referencial o abstenerse de recomendar un máximo sostenible; no convertir desconocido en 0.</t>
        </is>
      </c>
      <c r="K74" s="33" t="inlineStr">
        <is>
          <t xml:space="preserve">Fixture sintético (no requiere documento real).
Formato: CSV o XLSX con los valores del contrato P4 upstream cerrado.
Inyectar al menos: POSITIVE · ZERO · NOT_EVALUABLE.
</t>
        </is>
      </c>
      <c r="L74" s="33" t="inlineStr">
        <is>
          <t>Sí · con insumo dev</t>
        </is>
      </c>
      <c r="M74" s="34" t="inlineStr"/>
      <c r="N74" s="35" t="inlineStr"/>
      <c r="O74" s="34" t="inlineStr"/>
      <c r="P74" s="6" t="inlineStr">
        <is>
          <t>Walvy_M04_Matriz_Trazabilidad_Cliente_v1.3.xlsx · 01_Matriz_Trazabilidad · TR-M04-114</t>
        </is>
      </c>
      <c r="Q74" s="6" t="inlineStr">
        <is>
          <t>En: Pantalla activa de Ruta Despeje.
→ Mostrar simulación referencial o abstenerse de recomendar un máximo sostenible; no convertir desconocido en 0.</t>
        </is>
      </c>
    </row>
    <row r="75" ht="90" customHeight="1">
      <c r="A75" s="30" t="inlineStr">
        <is>
          <t>M04</t>
        </is>
      </c>
      <c r="B75" s="31" t="inlineStr">
        <is>
          <t>TR-M04-115</t>
        </is>
      </c>
      <c r="C75" s="37" t="inlineStr">
        <is>
          <t>F2 · Fixture cross-contract</t>
        </is>
      </c>
      <c r="D75" s="33" t="inlineStr">
        <is>
          <t>FLOW-M04-020 · Ruta 2 · Simulación</t>
        </is>
      </c>
      <c r="E75" s="33" t="inlineStr">
        <is>
          <t>Cambian saldos, mínimos, compromisos, headroom, cierre, ingreso, gasto relevante o versión de regla</t>
        </is>
      </c>
      <c r="F75" s="33" t="inlineStr">
        <is>
          <t>RD-02 Simulación | Recalcular</t>
        </is>
      </c>
      <c r="G75" s="33" t="inlineStr">
        <is>
          <t>Cuenta de prueba activa y reseteada (sin deudas ni datos previos del flujo).
Condición de entrada: RD-02 Simulación | Recalcular</t>
        </is>
      </c>
      <c r="H75" s="33" t="inlineStr">
        <is>
          <t>Seguir flujo de FLOW-M04-020 · Ruta 2 · Simulación.
CIERRE
· Registrar resultado en columna «Resultado obtenido» y marcar «Estado QA».
· Resetear solo si el siguiente caso requiere estado inicial incompatible con el actual. Casos del mismo flujo pueden reutilizar el estado.
  (Ajustes → Borrar mis datos · o solicitar reset al admin de QA)</t>
        </is>
      </c>
      <c r="I75" s="33" t="inlineStr">
        <is>
          <t>Pantalla activa de Ruta Despeje.</t>
        </is>
      </c>
      <c r="J75" s="33" t="inlineStr">
        <is>
          <t>Invalidar/recalcular la proyección con snapshot, versión y supuestos; no reutilizar cálculo obsoleto.</t>
        </is>
      </c>
      <c r="K75" s="33" t="inlineStr">
        <is>
          <t xml:space="preserve">Fixture sintético (no requiere documento real).
Formato: CSV o XLSX con los valores del contrato P4 upstream cerrado.
Inyectar al menos: POSITIVE · ZERO · NOT_EVALUABLE.
</t>
        </is>
      </c>
      <c r="L75" s="33" t="inlineStr">
        <is>
          <t>Sí · con insumo dev</t>
        </is>
      </c>
      <c r="M75" s="34" t="inlineStr"/>
      <c r="N75" s="35" t="inlineStr"/>
      <c r="O75" s="34" t="inlineStr"/>
      <c r="P75" s="6" t="inlineStr">
        <is>
          <t>Walvy_M04_Matriz_Trazabilidad_Cliente_v1.3.xlsx · 01_Matriz_Trazabilidad · TR-M04-115</t>
        </is>
      </c>
      <c r="Q75" s="6" t="inlineStr">
        <is>
          <t>En: Pantalla activa de Ruta Despeje.
→ Invalidar/recalcular la proyección con snapshot, versión y supuestos; no reutilizar cálculo obsoleto.</t>
        </is>
      </c>
    </row>
    <row r="76" ht="90" customHeight="1">
      <c r="A76" s="30" t="inlineStr">
        <is>
          <t>M04</t>
        </is>
      </c>
      <c r="B76" s="31" t="inlineStr">
        <is>
          <t>TR-M04-116</t>
        </is>
      </c>
      <c r="C76" s="36" t="inlineStr">
        <is>
          <t>F1 · QA funcional local</t>
        </is>
      </c>
      <c r="D76" s="33" t="inlineStr">
        <is>
          <t>FLOW-M04-021 · Ruta 2 · Simulación aceptada</t>
        </is>
      </c>
      <c r="E76" s="33" t="inlineStr">
        <is>
          <t>Usuario acepta escenario</t>
        </is>
      </c>
      <c r="F76" s="33" t="inlineStr">
        <is>
          <t>Simulación | Aceptar simulación</t>
        </is>
      </c>
      <c r="G76" s="33" t="inlineStr">
        <is>
          <t>Cuenta de prueba activa y reseteada (sin deudas ni datos previos del flujo).
Condición de entrada: Simulación | Aceptar simulación</t>
        </is>
      </c>
      <c r="H76" s="33" t="inlineStr">
        <is>
          <t>📋 FIXTURE REQUERIDO: cuenta seed «rd02-plan-fecha».
   Email: qa-m04-rd02-plan-fecha-*@walvy.local · Password: Walvy2024!
1. Iniciar sesión con la cuenta seed rd02-plan-fecha.
2. Navegar a: Ruta Despeje → RD-02 Plan → simulación de aporte.
3. Ingresar un aporte hipotético y observar el cronograma recalculado.
4. Tocar «Aceptar escenario» o equivalente.
5. Verificar que el plan muestra el escenario aceptado (duración/orden actualizados).
6. Verificar que NO se ejecutó ningún pago ni transferencia.
7. Verificar que aceptar el escenario NO activa la Ruta.
   → Si el escenario queda como estimación sin activar Ruta ni ejecutar pago: ✓ PASA.
CIERRE
· Registrar resultado en «Resultado obtenido» y marcar «Estado QA».
· Resetear cuenta solo si el siguiente caso requiere estado diferente al actual.
  (Perfil → Herramientas QA → «Reiniciar cuenta de prueba» (doble confirmación))</t>
        </is>
      </c>
      <c r="I76" s="33" t="inlineStr">
        <is>
          <t>Pantalla activa de Ruta Despeje.</t>
        </is>
      </c>
      <c r="J76" s="33" t="inlineStr">
        <is>
          <t>Actualizar estimación/escenario seleccionado del plan; no ejecutar pago.</t>
        </is>
      </c>
      <c r="K76" s="43" t="inlineStr">
        <is>
          <t>── CUENTA SEED (origin/qa) ──
Email   : qa-m04-rd02-plan-fecha-*@walvy.local
Password: Walvy2024!
Grupo   : D1
Estado  : (misma cuenta que TR-M04-104) RD-02 · simular: POST /route/simulate con extraMonthlyPayment · aceptar escenario (revisionId)
(El email exacto queda en la salida del script seed-qa-m04.mjs)</t>
        </is>
      </c>
      <c r="L76" s="33" t="inlineStr">
        <is>
          <t>Sí · con insumo dev</t>
        </is>
      </c>
      <c r="M76" s="34" t="inlineStr"/>
      <c r="N76" s="35" t="inlineStr"/>
      <c r="O76" s="34" t="inlineStr"/>
      <c r="P76" s="6" t="inlineStr">
        <is>
          <t>Walvy_M04_Matriz_Trazabilidad_Cliente_v1.3.xlsx · 01_Matriz_Trazabilidad · TR-M04-116</t>
        </is>
      </c>
      <c r="Q76" s="6" t="inlineStr">
        <is>
          <t>En: Pantalla activa de Ruta Despeje.
→ Actualizar estimación/escenario seleccionado del plan; no ejecutar pago.</t>
        </is>
      </c>
    </row>
    <row r="77" ht="90" customHeight="1">
      <c r="A77" s="30" t="inlineStr">
        <is>
          <t>M04</t>
        </is>
      </c>
      <c r="B77" s="31" t="inlineStr">
        <is>
          <t>TR-M04-117</t>
        </is>
      </c>
      <c r="C77" s="36" t="inlineStr">
        <is>
          <t>F1 · QA funcional local</t>
        </is>
      </c>
      <c r="D77" s="33" t="inlineStr">
        <is>
          <t>FLOW-M04-021 · Ruta 2 · Simulación aceptada</t>
        </is>
      </c>
      <c r="E77" s="33" t="inlineStr">
        <is>
          <t>Escenario aceptado</t>
        </is>
      </c>
      <c r="F77" s="33" t="inlineStr">
        <is>
          <t>Simulación | Aceptar simulación</t>
        </is>
      </c>
      <c r="G77" s="33" t="inlineStr">
        <is>
          <t>Cuenta de prueba activa y reseteada (sin deudas ni datos previos del flujo).
Condición de entrada: Simulación | Aceptar simulación</t>
        </is>
      </c>
      <c r="H77" s="33" t="inlineStr">
        <is>
          <t>📋 FIXTURE REQUERIDO: cuenta seed «rd02-plan-fecha».
   Email: qa-m04-rd02-plan-fecha-*@walvy.local · Password: Walvy2024!
1. Continuar desde TR-M04-116 (escenario ya aceptado).
2. Verificar que el plan mantiene la naturaleza estimada (no promete una fecha exacta).
3. Verificar que el orden de deudas y la duración recalculados son coherentes con el aporte aceptado.
4. Navegar atrás y volver a RD-02; verificar que el escenario aceptado persiste.
5. Verificar que el estado de la Ruta sigue siendo «elegible» (no «activa») si no se tocó «Seguir plan».
   → Si el escenario persiste como estimación sin activar Ruta: ✓ PASA.
CIERRE
· Registrar resultado en «Resultado obtenido» y marcar «Estado QA».
· Resetear cuenta solo si el siguiente caso requiere estado diferente al actual.
  (Perfil → Herramientas QA → «Reiniciar cuenta de prueba» (doble confirmación))</t>
        </is>
      </c>
      <c r="I77" s="33" t="inlineStr">
        <is>
          <t>Pantalla activa de Ruta Despeje.</t>
        </is>
      </c>
      <c r="J77" s="33" t="inlineStr">
        <is>
          <t>Mantener naturaleza estimada; visualizar orden/duración recalculados. Aceptar la simulación no activa la Ruta.</t>
        </is>
      </c>
      <c r="K77" s="43" t="inlineStr">
        <is>
          <t>── CUENTA SEED (origin/qa) ──
Email   : qa-m04-rd02-plan-fecha-*@walvy.local
Password: Walvy2024!
Grupo   : D1
Estado  : (misma cuenta que TR-M04-104) RD-02 · escenario aceptado activo · selected-plan persiste
(El email exacto queda en la salida del script seed-qa-m04.mjs)</t>
        </is>
      </c>
      <c r="L77" s="33" t="inlineStr">
        <is>
          <t>Sí · con insumo dev</t>
        </is>
      </c>
      <c r="M77" s="34" t="inlineStr"/>
      <c r="N77" s="35" t="inlineStr"/>
      <c r="O77" s="34" t="inlineStr"/>
      <c r="P77" s="6" t="inlineStr">
        <is>
          <t>Walvy_M04_Matriz_Trazabilidad_Cliente_v1.3.xlsx · 01_Matriz_Trazabilidad · TR-M04-117</t>
        </is>
      </c>
      <c r="Q77" s="6" t="inlineStr">
        <is>
          <t>En: Pantalla activa de Ruta Despeje.
→ Mantener naturaleza estimada; visualizar orden/duración recalculados. Aceptar la simulación no activa la Ruta.</t>
        </is>
      </c>
    </row>
    <row r="78" ht="90" customHeight="1">
      <c r="A78" s="30" t="inlineStr">
        <is>
          <t>M04</t>
        </is>
      </c>
      <c r="B78" s="31" t="inlineStr">
        <is>
          <t>TR-M04-118</t>
        </is>
      </c>
      <c r="C78" s="36" t="inlineStr">
        <is>
          <t>F1 · QA funcional local</t>
        </is>
      </c>
      <c r="D78" s="33" t="inlineStr">
        <is>
          <t>FLOW-M04-022 · Ruta 2→3</t>
        </is>
      </c>
      <c r="E78" s="33" t="inlineStr">
        <is>
          <t>Ruta elegible/disponible y usuario ejecuta el primer “Seguir plan” válido desde RD-02</t>
        </is>
      </c>
      <c r="F78" s="33" t="inlineStr">
        <is>
          <t>RD-02 Plan | Seguir plan</t>
        </is>
      </c>
      <c r="G78" s="33" t="inlineStr">
        <is>
          <t>Cuenta de prueba activa y reseteada (sin deudas ni datos previos del flujo).
Condición de entrada: RD-02 Plan | Seguir plan</t>
        </is>
      </c>
      <c r="H78" s="33" t="inlineStr">
        <is>
          <t>📋 FIXTURE REQUERIDO: cuenta seed «rd02-plan-fecha».
   Email: qa-m04-rd02-plan-fecha-*@walvy.local · Password: Walvy2024!
1. Iniciar sesión con la cuenta seed rd02-plan-fecha (Ruta elegible, primer «Seguir plan» no ejecutado).
2. Navegar a: Ruta Despeje → RD-02 Plan.
3. Tocar «Seguir plan» (primer tap válido desde RD-02).
4. Verificar que route_eligibility_status cambia de «elegible» → «activa».
5. Verificar que el functional_debt_state cambia a «ruta_activa» para las deudas del plan.
6. Verificar que se persiste el momento de activación (timestamp).
7. Volver a RD-02 y verificar que el estado es ahora «activa» (no puede volver a «elegible»).
   → Si la activación persiste y el estado es «activa»: ✓ PASA.
CIERRE
· Registrar resultado en «Resultado obtenido» y marcar «Estado QA».
· Resetear cuenta solo si el siguiente caso requiere estado diferente al actual.
  (Perfil → Herramientas QA → «Reiniciar cuenta de prueba» (doble confirmación))</t>
        </is>
      </c>
      <c r="I78" s="33" t="inlineStr">
        <is>
          <t>Pantalla activa de Ruta Despeje.</t>
        </is>
      </c>
      <c r="J78" s="33" t="inlineStr">
        <is>
          <t>Persistir la transición route_eligibility_status=elegible→activa y functional_debt_state=ruta_activa, junto con el momento de inicio. El evento es idempotente: usos posteriores de “Seguir plan” representan continuidad, no nuevas activaciones.</t>
        </is>
      </c>
      <c r="K78" s="43" t="inlineStr">
        <is>
          <t>── CUENTA SEED (origin/qa) ──
Email   : qa-m04-rd02-plan-fecha-*@walvy.local
Password: Walvy2024!
Grupo   : D1
Estado  : (misma cuenta que TR-M04-104) RD-02 · QA hace clic "Seguir plan" → POST /route/apply → ACTIVATION_EVENT → routeState=activa · IMPORTANTE: ejecutar al final de la secuencia D1
(El email exacto queda en la salida del script seed-qa-m04.mjs)</t>
        </is>
      </c>
      <c r="L78" s="33" t="inlineStr">
        <is>
          <t>Sí · con insumo dev</t>
        </is>
      </c>
      <c r="M78" s="34" t="inlineStr"/>
      <c r="N78" s="35" t="inlineStr"/>
      <c r="O78" s="34" t="inlineStr"/>
      <c r="P78" s="6" t="inlineStr">
        <is>
          <t>Walvy_M04_Matriz_Trazabilidad_Cliente_v1.3.xlsx · 01_Matriz_Trazabilidad · TR-M04-118</t>
        </is>
      </c>
      <c r="Q78" s="6" t="inlineStr">
        <is>
          <t>En: Pantalla activa de Ruta Despeje.
→ Persistir la transición route_eligibility_status=elegible→activa y functional_debt_state=ruta_activa, junto con el momento de inicio. El evento es idempotente: usos posteriores de “Seguir plan” representan continuidad, no nuevas activaciones.</t>
        </is>
      </c>
    </row>
    <row r="79" ht="90" customHeight="1">
      <c r="A79" s="30" t="inlineStr">
        <is>
          <t>M04</t>
        </is>
      </c>
      <c r="B79" s="31" t="inlineStr">
        <is>
          <t>TR-M04-119</t>
        </is>
      </c>
      <c r="C79" s="37" t="inlineStr">
        <is>
          <t>F2 · Fixture cross-contract</t>
        </is>
      </c>
      <c r="D79" s="33" t="inlineStr">
        <is>
          <t>FLOW-M04-022 · Ruta 2→3</t>
        </is>
      </c>
      <c r="E79" s="33" t="inlineStr">
        <is>
          <t>Existe Ruta activa según estado canónico</t>
        </is>
      </c>
      <c r="F79" s="33" t="inlineStr">
        <is>
          <t>RD-03 Avance | Mostrar avance</t>
        </is>
      </c>
      <c r="G79" s="33" t="inlineStr">
        <is>
          <t>Cuenta de prueba activa y reseteada (sin deudas ni datos previos del flujo).
Condición de entrada: RD-03 Avance | Mostrar avance</t>
        </is>
      </c>
      <c r="H79" s="33" t="inlineStr">
        <is>
          <t>Seguir flujo de FLOW-M04-022 · Ruta 2→3.
CIERRE
· Registrar resultado en columna «Resultado obtenido» y marcar «Estado QA».
· Resetear solo si el siguiente caso requiere estado inicial incompatible con el actual. Casos del mismo flujo pueden reutilizar el estado.
  (Ajustes → Borrar mis datos · o solicitar reset al admin de QA)</t>
        </is>
      </c>
      <c r="I79" s="33" t="inlineStr">
        <is>
          <t>Pantalla activa de Ruta Despeje.</t>
        </is>
      </c>
      <c r="J79" s="33" t="inlineStr">
        <is>
          <t>Mostrar avance con saldo, compromiso/pagos consumidos, progreso estimado y próxima acción; conservar el estado activo y el momento inicial en continuidad/retoma sin emitir una nueva activación.</t>
        </is>
      </c>
      <c r="K79" s="33" t="inlineStr">
        <is>
          <t xml:space="preserve">Fixture sintético (no requiere documento real).
Formato: CSV o XLSX con los valores del contrato P4 upstream cerrado.
Inyectar al menos: POSITIVE · ZERO · NOT_EVALUABLE.
</t>
        </is>
      </c>
      <c r="L79" s="33" t="inlineStr">
        <is>
          <t>Sí · con insumo dev</t>
        </is>
      </c>
      <c r="M79" s="34" t="inlineStr"/>
      <c r="N79" s="35" t="inlineStr"/>
      <c r="O79" s="34" t="inlineStr"/>
      <c r="P79" s="6" t="inlineStr">
        <is>
          <t>Walvy_M04_Matriz_Trazabilidad_Cliente_v1.3.xlsx · 01_Matriz_Trazabilidad · TR-M04-119</t>
        </is>
      </c>
      <c r="Q79" s="6" t="inlineStr">
        <is>
          <t>En: Pantalla activa de Ruta Despeje.
→ Mostrar avance con saldo, compromiso/pagos consumidos, progreso estimado y próxima acción; conservar el estado activo y el momento inicial en continuidad/retoma sin emitir una nueva activación.</t>
        </is>
      </c>
    </row>
    <row r="80" ht="90" customHeight="1">
      <c r="A80" s="30" t="inlineStr">
        <is>
          <t>M04</t>
        </is>
      </c>
      <c r="B80" s="31" t="inlineStr">
        <is>
          <t>TR-M04-120</t>
        </is>
      </c>
      <c r="C80" s="36" t="inlineStr">
        <is>
          <t>F1 · QA funcional local</t>
        </is>
      </c>
      <c r="D80" s="33" t="inlineStr">
        <is>
          <t>FLOW-M04-022 · Ruta 2→3</t>
        </is>
      </c>
      <c r="E80" s="33" t="inlineStr">
        <is>
          <t>Usuario consulta pagos recientes/historial</t>
        </is>
      </c>
      <c r="F80" s="33" t="inlineStr">
        <is>
          <t>RD-03 Avance | Ver historial</t>
        </is>
      </c>
      <c r="G80" s="33" t="inlineStr">
        <is>
          <t>Cuenta de prueba activa y reseteada (sin deudas ni datos previos del flujo).
Condición de entrada: RD-03 Avance | Ver historial</t>
        </is>
      </c>
      <c r="H80" s="33" t="inlineStr">
        <is>
          <t>📋 FIXTURE REQUERIDO: cuenta seed «rd03-avance».
   Email: qa-m04-rd03-avance-*@walvy.local · Password: Walvy2024!
1. Iniciar sesión con la cuenta seed rd03-avance (Ruta activa, en avance/seguimiento).
2. Navegar a: Ruta Despeje → RD-03 Avance.
3. Localizar el CTA de historial de pagos / pagos recientes.
4. Tocar el CTA y verificar que deriva a M06/Pagos (no muestra un historial propio de M04).
5. Verificar que M04 NO crea un registro operativo de pagos paralelo al de M06.
   → Si el CTA va a M06 y M04 no tiene historial propio: ✓ PASA.
CIERRE
· Registrar resultado en «Resultado obtenido» y marcar «Estado QA».
· Resetear cuenta solo si el siguiente caso requiere estado diferente al actual.
  (Perfil → Herramientas QA → «Reiniciar cuenta de prueba» (doble confirmación))</t>
        </is>
      </c>
      <c r="I80" s="33" t="inlineStr">
        <is>
          <t>Pantalla activa de Ruta Despeje.</t>
        </is>
      </c>
      <c r="J80" s="33" t="inlineStr">
        <is>
          <t>Derivar a M06/Pagos; M04 no crea historial operativo paralelo.</t>
        </is>
      </c>
      <c r="K80" s="43" t="inlineStr">
        <is>
          <t>── CUENTA SEED (origin/qa) ──
Email   : qa-m04-rd03-avance-*@walvy.local
Password: Walvy2024!
Grupo   : E1
Estado  : RD-03 avance · ruta ACTIVA · 2 deudas: d1=$250k(próx-a-cerrar) d2=$1.8M · historial pagos → verificar CTA M06
(El email exacto queda en la salida del script seed-qa-m04.mjs)</t>
        </is>
      </c>
      <c r="L80" s="33" t="inlineStr">
        <is>
          <t>Sí · con insumo dev</t>
        </is>
      </c>
      <c r="M80" s="34" t="inlineStr"/>
      <c r="N80" s="35" t="inlineStr"/>
      <c r="O80" s="34" t="inlineStr"/>
      <c r="P80" s="6" t="inlineStr">
        <is>
          <t>Walvy_M04_Matriz_Trazabilidad_Cliente_v1.3.xlsx · 01_Matriz_Trazabilidad · TR-M04-120</t>
        </is>
      </c>
      <c r="Q80" s="6" t="inlineStr">
        <is>
          <t>En: Pantalla activa de Ruta Despeje.
→ Derivar a M06/Pagos; M04 no crea historial operativo paralelo.</t>
        </is>
      </c>
    </row>
    <row r="81" ht="90" customHeight="1">
      <c r="A81" s="30" t="inlineStr">
        <is>
          <t>M04</t>
        </is>
      </c>
      <c r="B81" s="31" t="inlineStr">
        <is>
          <t>TR-M04-121</t>
        </is>
      </c>
      <c r="C81" s="36" t="inlineStr">
        <is>
          <t>F1 · QA funcional local</t>
        </is>
      </c>
      <c r="D81" s="33" t="inlineStr">
        <is>
          <t>FLOW-M04-022 · Ruta 2→3</t>
        </is>
      </c>
      <c r="E81" s="33" t="inlineStr">
        <is>
          <t>Usuario continúa a lectura estructural</t>
        </is>
      </c>
      <c r="F81" s="33" t="inlineStr">
        <is>
          <t>RD-03 Avance | Ir a Perfil Financiero</t>
        </is>
      </c>
      <c r="G81" s="33" t="inlineStr">
        <is>
          <t>Cuenta de prueba activa y reseteada (sin deudas ni datos previos del flujo).
Condición de entrada: RD-03 Avance | Ir a Perfil Financiero</t>
        </is>
      </c>
      <c r="H81" s="33" t="inlineStr">
        <is>
          <t>📋 FIXTURE REQUERIDO: cuenta seed «rd03-avance».
   Email: qa-m04-rd03-avance-*@walvy.local · Password: Walvy2024!
1. Iniciar sesión con la cuenta seed rd03-avance (Ruta activa).
2. Navegar a: Ruta Despeje → RD-03 Avance.
3. Tocar «Ir a Perfil Financiero» o equivalente (lectura estructural).
4. Verificar que navega a Perfil Financiero conservando el estado canónico de la Ruta.
5. Verificar que Perfil Financiero muestra la Ruta como información de contexto pero NO embebe la pantalla completa de Ruta.
   → Si Perfil muestra contexto de Ruta sin embeberla y el estado se conserva: ✓ PASA.
CIERRE
· Registrar resultado en «Resultado obtenido» y marcar «Estado QA».
· Resetear cuenta solo si el siguiente caso requiere estado diferente al actual.
  (Perfil → Herramientas QA → «Reiniciar cuenta de prueba» (doble confirmación))</t>
        </is>
      </c>
      <c r="I81" s="33" t="inlineStr">
        <is>
          <t>Pantalla activa de Ruta Despeje.</t>
        </is>
      </c>
      <c r="J81" s="33" t="inlineStr">
        <is>
          <t>Navegar a Perfil conservando estado canónico; Perfil no embebe Ruta completa.</t>
        </is>
      </c>
      <c r="K81" s="43" t="inlineStr">
        <is>
          <t>── CUENTA SEED (origin/qa) ──
Email   : qa-m04-rd03-avance-*@walvy.local
Password: Walvy2024!
Grupo   : E1
Estado  : (misma cuenta que TR-M04-120) RD-03 avance · ruta activa · navegación a perfil financiero
(El email exacto queda en la salida del script seed-qa-m04.mjs)</t>
        </is>
      </c>
      <c r="L81" s="33" t="inlineStr">
        <is>
          <t>Sí · con insumo dev</t>
        </is>
      </c>
      <c r="M81" s="34" t="inlineStr"/>
      <c r="N81" s="35" t="inlineStr"/>
      <c r="O81" s="34" t="inlineStr"/>
      <c r="P81" s="6" t="inlineStr">
        <is>
          <t>Walvy_M04_Matriz_Trazabilidad_Cliente_v1.3.xlsx · 01_Matriz_Trazabilidad · TR-M04-121</t>
        </is>
      </c>
      <c r="Q81" s="6" t="inlineStr">
        <is>
          <t>En: Pantalla activa de Ruta Despeje.
→ Navegar a Perfil conservando estado canónico; Perfil no embebe Ruta completa.</t>
        </is>
      </c>
    </row>
    <row r="82" ht="90" customHeight="1">
      <c r="A82" s="30" t="inlineStr">
        <is>
          <t>M04</t>
        </is>
      </c>
      <c r="B82" s="31" t="inlineStr">
        <is>
          <t>TR-M04-122</t>
        </is>
      </c>
      <c r="C82" s="36" t="inlineStr">
        <is>
          <t>F1 · QA funcional local</t>
        </is>
      </c>
      <c r="D82" s="33" t="inlineStr">
        <is>
          <t>FLOW-M04-022 · Ruta 2→3</t>
        </is>
      </c>
      <c r="E82" s="33" t="inlineStr">
        <is>
          <t>Cierre/avance recalculado produce una next_suggested_debt nueva y vigente.</t>
        </is>
      </c>
      <c r="F82" s="33" t="inlineStr">
        <is>
          <t>RD-03 Avance | Mostrar siguiente deuda</t>
        </is>
      </c>
      <c r="G82" s="33" t="inlineStr">
        <is>
          <t>Cuenta de prueba activa y reseteada (sin deudas ni datos previos del flujo).
Condición de entrada: RD-03 Avance | Mostrar siguiente deuda</t>
        </is>
      </c>
      <c r="H82" s="33" t="inlineStr">
        <is>
          <t>📋 FIXTURE REQUERIDO: cuenta seed «rd03-avance».
   Email: qa-m04-rd03-avance-*@walvy.local · Password: Walvy2024!
1. Iniciar sesión con la cuenta seed rd03-avance (Ruta activa con avance que genera nueva deuda sugerida).
2. Navegar a: Ruta Despeje → RD-03 Avance.
3. Verificar que la app muestra la «siguiente deuda sugerida» (next_suggested_debt) correctamente.
4. Verificar que la sugerencia es coherente con el plan snowball (menor saldo pendiente).
5. Verificar que la capacidad liberada (si aplica) enriquece el payload sin cambiar el Foco del Mes (M02).
6. Verificar que el Foco del Mes (M02) NO cambió automáticamente por el avance en Ruta.
   → Si la siguiente deuda aparece correcta y el Foco M02 no cambió: ✓ PASA.
CIERRE
· Registrar resultado en «Resultado obtenido» y marcar «Estado QA».
· Resetear cuenta solo si el siguiente caso requiere estado diferente al actual.
  (Perfil → Herramientas QA → «Reiniciar cuenta de prueba» (doble confirmación))</t>
        </is>
      </c>
      <c r="I82" s="33" t="inlineStr">
        <is>
          <t>Pantalla activa de Ruta Despeje.</t>
        </is>
      </c>
      <c r="J82" s="33" t="inlineStr">
        <is>
          <t>F7 recomienda revisar la siguiente deuda; capacidad liberada puede enriquecer el payload si es válida; no cambiar Foco del Mes.</t>
        </is>
      </c>
      <c r="K82" s="43" t="inlineStr">
        <is>
          <t>── CUENTA SEED (origin/qa) ──
Email   : qa-m04-rd03-avance-*@walvy.local
Password: Walvy2024!
Grupo   : E1
Estado  : (misma cuenta que TR-M04-120) RD-03 avance · cerrar d1 → evaluateAndPublish → next_suggested_debt pasa a d2 · recálculo snowball
(El email exacto queda en la salida del script seed-qa-m04.mjs)</t>
        </is>
      </c>
      <c r="L82" s="33" t="inlineStr">
        <is>
          <t>Sí · con insumo dev</t>
        </is>
      </c>
      <c r="M82" s="34" t="inlineStr"/>
      <c r="N82" s="35" t="inlineStr"/>
      <c r="O82" s="34" t="inlineStr"/>
      <c r="P82" s="6" t="inlineStr">
        <is>
          <t>Walvy_M04_Matriz_Trazabilidad_Cliente_v1.3.xlsx · 01_Matriz_Trazabilidad · TR-M04-122</t>
        </is>
      </c>
      <c r="Q82" s="6" t="inlineStr">
        <is>
          <t>En: Pantalla activa de Ruta Despeje.
→ F7 recomienda revisar la siguiente deuda; capacidad liberada puede enriquecer el payload si es válida; no cambiar Foco del Mes.</t>
        </is>
      </c>
    </row>
    <row r="83" ht="90" customHeight="1">
      <c r="A83" s="30" t="inlineStr">
        <is>
          <t>M04</t>
        </is>
      </c>
      <c r="B83" s="31" t="inlineStr">
        <is>
          <t>TR-M04-123</t>
        </is>
      </c>
      <c r="C83" s="36" t="inlineStr">
        <is>
          <t>F1 · QA funcional local</t>
        </is>
      </c>
      <c r="D83" s="33" t="inlineStr">
        <is>
          <t>FLOW-M04-022 · Ruta 2→3</t>
        </is>
      </c>
      <c r="E83" s="33" t="inlineStr">
        <is>
          <t>Figma muestra “Capacidad de ahorro a recuperar (estimado)”</t>
        </is>
      </c>
      <c r="F83" s="33" t="inlineStr">
        <is>
          <t>RD-03 Avance | Copy capacidad</t>
        </is>
      </c>
      <c r="G83" s="33" t="inlineStr">
        <is>
          <t>Cuenta de prueba activa y reseteada (sin deudas ni datos previos del flujo).
Condición de entrada: RD-03 Avance | Copy capacidad</t>
        </is>
      </c>
      <c r="H83" s="33" t="inlineStr">
        <is>
          <t>1. Iniciar sesión con cualquier cuenta con Ruta activa en RD-03 Avance.
2. Navegar a: Ruta Despeje → RD-03 Avance.
3. Localizar el texto que menciona la capacidad relacionada con deudas.
4. Verificar que el copy usa la semántica «Capacidad de ahorro a recuperar (estimado)» o equivalente de capacidad liberable.
5. Verificar que NO dice «capacidad de ahorro disponible» (que es competencia de M05).
6. Verificar que está marcado como estimado (no como una cifra exacta garantizada).
   → Si el copy es «recuperar/liberar» (estimado) y no es ahorro general M05: ✓ PASA.
CIERRE
· Registrar resultado en «Resultado obtenido» y marcar «Estado QA».
· Resetear cuenta solo si el siguiente caso requiere estado diferente al actual.
  (Perfil → Herramientas QA → «Reiniciar cuenta de prueba» (doble confirmación))</t>
        </is>
      </c>
      <c r="I83" s="33" t="inlineStr">
        <is>
          <t>Pantalla activa de Ruta Despeje.</t>
        </is>
      </c>
      <c r="J83" s="33" t="inlineStr">
        <is>
          <t>La obligación documental exige capacidad recuperable/liberable por deuda, no capacidad de ahorro general M05.</t>
        </is>
      </c>
      <c r="K83" s="33" t="inlineStr"/>
      <c r="L83" s="33" t="inlineStr">
        <is>
          <t>Sí</t>
        </is>
      </c>
      <c r="M83" s="34" t="inlineStr"/>
      <c r="N83" s="35" t="inlineStr"/>
      <c r="O83" s="34" t="inlineStr"/>
      <c r="P83" s="6" t="inlineStr">
        <is>
          <t>Walvy_M04_Matriz_Trazabilidad_Cliente_v1.3.xlsx · 01_Matriz_Trazabilidad · TR-M04-123</t>
        </is>
      </c>
      <c r="Q83" s="6" t="inlineStr">
        <is>
          <t>En: Pantalla activa de Ruta Despeje.
→ La obligación documental exige capacidad recuperable/liberable por deuda, no capacidad de ahorro general M05.</t>
        </is>
      </c>
    </row>
    <row r="84" ht="90" customHeight="1">
      <c r="A84" s="30" t="inlineStr">
        <is>
          <t>M04</t>
        </is>
      </c>
      <c r="B84" s="31" t="inlineStr">
        <is>
          <t>TR-M04-124</t>
        </is>
      </c>
      <c r="C84" s="36" t="inlineStr">
        <is>
          <t>F1 · QA funcional local</t>
        </is>
      </c>
      <c r="D84" s="33" t="inlineStr">
        <is>
          <t>FLOW-M04-022 · Ruta 2→3</t>
        </is>
      </c>
      <c r="E84" s="33" t="inlineStr">
        <is>
          <t>Figma muestra “Siguiente foco sugerido”</t>
        </is>
      </c>
      <c r="F84" s="33" t="inlineStr">
        <is>
          <t>RD-03 Avance | Copy siguiente foco</t>
        </is>
      </c>
      <c r="G84" s="33" t="inlineStr">
        <is>
          <t>Cuenta de prueba activa y reseteada (sin deudas ni datos previos del flujo).
Condición de entrada: RD-03 Avance | Copy siguiente foco</t>
        </is>
      </c>
      <c r="H84" s="33" t="inlineStr">
        <is>
          <t>1. Iniciar sesión con cualquier cuenta con Ruta activa en RD-03 Avance y múltiples deudas.
2. Navegar a: Ruta Despeje → RD-03 Avance.
3. Localizar el bloque que muestra la «Siguiente deuda sugerida» o «Siguiente foco».
4. Verificar que el texto usa «siguiente deuda» o «próximo paso» (no «Foco del Mes» que es M02).
5. Verificar que la deuda mostrada corresponde a la siguiente en el plan snowball.
6. Verificar que este bloque NO sobrescribe ni reemplaza el Foco del Mes de M02.
   → Si muestra «siguiente deuda» correcta sin interferir con Foco M02: ✓ PASA.
CIERRE
· Registrar resultado en «Resultado obtenido» y marcar «Estado QA».
· Resetear cuenta solo si el siguiente caso requiere estado diferente al actual.
  (Perfil → Herramientas QA → «Reiniciar cuenta de prueba» (doble confirmación))</t>
        </is>
      </c>
      <c r="I84" s="33" t="inlineStr">
        <is>
          <t>Pantalla activa de Ruta Despeje.</t>
        </is>
      </c>
      <c r="J84" s="33" t="inlineStr">
        <is>
          <t>La obligación funcional debe mantenerse como próxima deuda/próximo paso salvo regla formal de Foco.</t>
        </is>
      </c>
      <c r="K84" s="33" t="inlineStr"/>
      <c r="L84" s="33" t="inlineStr">
        <is>
          <t>Sí</t>
        </is>
      </c>
      <c r="M84" s="34" t="inlineStr"/>
      <c r="N84" s="35" t="inlineStr"/>
      <c r="O84" s="34" t="inlineStr"/>
      <c r="P84" s="6" t="inlineStr">
        <is>
          <t>Walvy_M04_Matriz_Trazabilidad_Cliente_v1.3.xlsx · 01_Matriz_Trazabilidad · TR-M04-124</t>
        </is>
      </c>
      <c r="Q84" s="6" t="inlineStr">
        <is>
          <t>En: Pantalla activa de Ruta Despeje.
→ La obligación funcional debe mantenerse como próxima deuda/próximo paso salvo regla formal de Foco.</t>
        </is>
      </c>
    </row>
    <row r="85" ht="90" customHeight="1">
      <c r="A85" s="30" t="inlineStr">
        <is>
          <t>M04</t>
        </is>
      </c>
      <c r="B85" s="31" t="inlineStr">
        <is>
          <t>TR-M04-125</t>
        </is>
      </c>
      <c r="C85" s="37" t="inlineStr">
        <is>
          <t>F2 · Fixture cross-contract</t>
        </is>
      </c>
      <c r="D85" s="33" t="inlineStr">
        <is>
          <t>FLOW-M04-023 · Ruta 3 · Cierre</t>
        </is>
      </c>
      <c r="E85" s="33" t="inlineStr">
        <is>
          <t>possible_closure cambia false→true con closed=false.</t>
        </is>
      </c>
      <c r="F85" s="33" t="inlineStr">
        <is>
          <t>RD-03 Avance | Detectar posible cierre</t>
        </is>
      </c>
      <c r="G85" s="33" t="inlineStr">
        <is>
          <t>Cuenta de prueba activa y reseteada (sin deudas ni datos previos del flujo).
Condición de entrada: RD-03 Avance | Detectar posible cierre</t>
        </is>
      </c>
      <c r="H85" s="33" t="inlineStr">
        <is>
          <t>Seguir flujo de FLOW-M04-023 · Ruta 3 · Cierre.
CIERRE
· Registrar resultado en columna «Resultado obtenido» y marcar «Estado QA».
· Resetear solo si el siguiente caso requiere estado inicial incompatible con el actual. Casos del mismo flujo pueden reutilizar el estado.
  (Ajustes → Borrar mis datos · o solicitar reset al admin de QA)</t>
        </is>
      </c>
      <c r="I85" s="33" t="inlineStr">
        <is>
          <t>Pantalla activa de Ruta Despeje.</t>
        </is>
      </c>
      <c r="J85" s="33" t="inlineStr">
        <is>
          <t>Hacer nacer F6 una sola vez por instancia; solicitar confirmación funcional. Persistencia true→true actualiza la misma situación, no crea otra.</t>
        </is>
      </c>
      <c r="K85" s="33" t="inlineStr">
        <is>
          <t xml:space="preserve">Fixture sintético (no requiere documento real).
Formato: CSV o XLSX con los valores del contrato P4 upstream cerrado.
Inyectar al menos: POSITIVE · ZERO · NOT_EVALUABLE.
</t>
        </is>
      </c>
      <c r="L85" s="33" t="inlineStr">
        <is>
          <t>Sí · con insumo dev</t>
        </is>
      </c>
      <c r="M85" s="34" t="inlineStr"/>
      <c r="N85" s="35" t="inlineStr"/>
      <c r="O85" s="34" t="inlineStr"/>
      <c r="P85" s="6" t="inlineStr">
        <is>
          <t>Walvy_M04_Matriz_Trazabilidad_Cliente_v1.3.xlsx · 01_Matriz_Trazabilidad · TR-M04-125</t>
        </is>
      </c>
      <c r="Q85" s="6" t="inlineStr">
        <is>
          <t>En: Pantalla activa de Ruta Despeje.
→ Hacer nacer F6 una sola vez por instancia; solicitar confirmación funcional. Persistencia true→true actualiza la misma situación, no crea otra.</t>
        </is>
      </c>
    </row>
    <row r="86" ht="90" customHeight="1">
      <c r="A86" s="30" t="inlineStr">
        <is>
          <t>M04</t>
        </is>
      </c>
      <c r="B86" s="31" t="inlineStr">
        <is>
          <t>TR-M04-126</t>
        </is>
      </c>
      <c r="C86" s="36" t="inlineStr">
        <is>
          <t>F1 · QA funcional local</t>
        </is>
      </c>
      <c r="D86" s="33" t="inlineStr">
        <is>
          <t>FLOW-M04-023 · Ruta 3 · Cierre</t>
        </is>
      </c>
      <c r="E86" s="33" t="inlineStr">
        <is>
          <t>Usuario confirma cierre con evidencia funcional suficiente</t>
        </is>
      </c>
      <c r="F86" s="33" t="inlineStr">
        <is>
          <t>RD-03 / modal cierre | Confirmar cierre</t>
        </is>
      </c>
      <c r="G86" s="33" t="inlineStr">
        <is>
          <t>Cuenta de prueba activa y reseteada (sin deudas ni datos previos del flujo).
Condición de entrada: RD-03 / modal cierre | Confirmar cierre</t>
        </is>
      </c>
      <c r="H86" s="33" t="inlineStr">
        <is>
          <t>📋 FIXTURE REQUERIDO: cuenta seed «rd03-cierre».
   Email: qa-m04-rd03-cierre-*@walvy.local · Password: Walvy2024!
1. Iniciar sesión con la cuenta seed rd03-cierre (Ruta activa, deuda en condición de cierre).
2. Navegar a: Ruta Despeje → RD-03 Avance → deuda que puede cerrarse.
3. Tocar «Confirmar cierre» o equivalente (modal de cierre con evidencia funcional).
4. Completar los datos requeridos por el modal (confirmación de pago total / evidencia).
5. Verificar que la deuda cambia a estado «cerrada» en el estado canónico.
6. Verificar que la deuda cerrada se excluye de la lista de deudas activas del plan.
   → Si la deuda queda cerrada y excluida del plan activo: ✓ PASA.
CIERRE
· Registrar resultado en «Resultado obtenido» y marcar «Estado QA».
· Resetear cuenta solo si el siguiente caso requiere estado diferente al actual.
  (Perfil → Herramientas QA → «Reiniciar cuenta de prueba» (doble confirmación))</t>
        </is>
      </c>
      <c r="I86" s="33" t="inlineStr">
        <is>
          <t>Pantalla activa de Ruta Despeje.</t>
        </is>
      </c>
      <c r="J86" s="33" t="inlineStr">
        <is>
          <t>Cambiar deuda a cerrada en estado canónico y excluirla de deuda activa.</t>
        </is>
      </c>
      <c r="K86" s="43" t="inlineStr">
        <is>
          <t>── CUENTA SEED (origin/qa) ──
Email   : qa-m04-rd03-cierre-*@walvy.local
Password: Walvy2024!
Grupo   : F1
Estado  : RD-03 cierre · ruta ACTIVA · dCierre con possible_closure=true (current_balance=0) · dResto=$1.5M para recálculo · modal F6 listo
(El email exacto queda en la salida del script seed-qa-m04.mjs)</t>
        </is>
      </c>
      <c r="L86" s="33" t="inlineStr">
        <is>
          <t>Sí · con insumo dev</t>
        </is>
      </c>
      <c r="M86" s="34" t="inlineStr"/>
      <c r="N86" s="35" t="inlineStr"/>
      <c r="O86" s="34" t="inlineStr"/>
      <c r="P86" s="6" t="inlineStr">
        <is>
          <t>Walvy_M04_Matriz_Trazabilidad_Cliente_v1.3.xlsx · 01_Matriz_Trazabilidad · TR-M04-126</t>
        </is>
      </c>
      <c r="Q86" s="6" t="inlineStr">
        <is>
          <t>En: Pantalla activa de Ruta Despeje.
→ Cambiar deuda a cerrada en estado canónico y excluirla de deuda activa.</t>
        </is>
      </c>
    </row>
    <row r="87" ht="90" customHeight="1">
      <c r="A87" s="30" t="inlineStr">
        <is>
          <t>M04</t>
        </is>
      </c>
      <c r="B87" s="31" t="inlineStr">
        <is>
          <t>TR-M04-127</t>
        </is>
      </c>
      <c r="C87" s="36" t="inlineStr">
        <is>
          <t>F1 · QA funcional local</t>
        </is>
      </c>
      <c r="D87" s="33" t="inlineStr">
        <is>
          <t>FLOW-M04-023 · Ruta 3 · Cierre</t>
        </is>
      </c>
      <c r="E87" s="33" t="inlineStr">
        <is>
          <t>Deuda cerrada confirmada</t>
        </is>
      </c>
      <c r="F87" s="33" t="inlineStr">
        <is>
          <t>RD-03 | Recalcular</t>
        </is>
      </c>
      <c r="G87" s="33" t="inlineStr">
        <is>
          <t>Cuenta de prueba activa y reseteada (sin deudas ni datos previos del flujo).
Condición de entrada: RD-03 | Recalcular</t>
        </is>
      </c>
      <c r="H87" s="33" t="inlineStr">
        <is>
          <t>📋 FIXTURE REQUERIDO: cuenta seed «rd03-cierre».
   Email: qa-m04-rd03-cierre-*@walvy.local · Password: Walvy2024!
1. Continuar desde TR-M04-126 (deuda recién cerrada confirmada).
2. Verificar que la app recalcula la capacidad liberada (cuota mensual que queda disponible).
3. Verificar que el orden de las deudas restantes en el plan se actualiza (siguiente deuda prioritaria).
4. Verificar que el cronograma estimado de la Ruta se actualiza con el cierre.
5. Verificar que NO se generó ningún movimiento de dinero automático ni transferencia.
   → Si el plan se recalcula sin ejecutar pago automático: ✓ PASA.
CIERRE
· Registrar resultado en «Resultado obtenido» y marcar «Estado QA».
· Resetear cuenta solo si el siguiente caso requiere estado diferente al actual.
  (Perfil → Herramientas QA → «Reiniciar cuenta de prueba» (doble confirmación))</t>
        </is>
      </c>
      <c r="I87" s="33" t="inlineStr">
        <is>
          <t>Pantalla activa de Ruta Despeje.</t>
        </is>
      </c>
      <c r="J87" s="33" t="inlineStr">
        <is>
          <t>Recalcular capacidad liberada, orden, cronograma y siguiente deuda; no mover dinero automáticamente.</t>
        </is>
      </c>
      <c r="K87" s="43" t="inlineStr">
        <is>
          <t>── CUENTA SEED (origin/qa) ──
Email   : qa-m04-rd03-cierre-*@walvy.local
Password: Walvy2024!
Grupo   : F1
Estado  : (misma cuenta que TR-M04-126) RD-03 cierre · deuda cerrada → plan recalcula sin ella · requiresRecalculation=true
(El email exacto queda en la salida del script seed-qa-m04.mjs)</t>
        </is>
      </c>
      <c r="L87" s="33" t="inlineStr">
        <is>
          <t>Sí · con insumo dev</t>
        </is>
      </c>
      <c r="M87" s="34" t="inlineStr"/>
      <c r="N87" s="35" t="inlineStr"/>
      <c r="O87" s="34" t="inlineStr"/>
      <c r="P87" s="6" t="inlineStr">
        <is>
          <t>Walvy_M04_Matriz_Trazabilidad_Cliente_v1.3.xlsx · 01_Matriz_Trazabilidad · TR-M04-127</t>
        </is>
      </c>
      <c r="Q87" s="6" t="inlineStr">
        <is>
          <t>En: Pantalla activa de Ruta Despeje.
→ Recalcular capacidad liberada, orden, cronograma y siguiente deuda; no mover dinero automáticamente.</t>
        </is>
      </c>
    </row>
    <row r="88" ht="90" customHeight="1">
      <c r="A88" s="30" t="inlineStr">
        <is>
          <t>M04</t>
        </is>
      </c>
      <c r="B88" s="31" t="inlineStr">
        <is>
          <t>TR-M04-128</t>
        </is>
      </c>
      <c r="C88" s="37" t="inlineStr">
        <is>
          <t>F2 · Fixture cross-contract</t>
        </is>
      </c>
      <c r="D88" s="33" t="inlineStr">
        <is>
          <t>FLOW-M04-023 · Ruta 3 · Cierre</t>
        </is>
      </c>
      <c r="E88" s="33" t="inlineStr">
        <is>
          <t>Cierre confirmado cambia el snapshot financiero</t>
        </is>
      </c>
      <c r="F88" s="33" t="inlineStr">
        <is>
          <t>RD-03 | Reevaluar Presión/Salud</t>
        </is>
      </c>
      <c r="G88" s="33" t="inlineStr">
        <is>
          <t>Cuenta de prueba activa y reseteada (sin deudas ni datos previos del flujo).
Condición de entrada: RD-03 | Reevaluar Presión/Salud</t>
        </is>
      </c>
      <c r="H88" s="33" t="inlineStr">
        <is>
          <t>Seguir flujo de FLOW-M04-023 · Ruta 3 · Cierre.
CIERRE
· Registrar resultado en columna «Resultado obtenido» y marcar «Estado QA».
· Resetear solo si el siguiente caso requiere estado inicial incompatible con el actual. Casos del mismo flujo pueden reutilizar el estado.
  (Ajustes → Borrar mis datos · o solicitar reset al admin de QA)</t>
        </is>
      </c>
      <c r="I88" s="33" t="inlineStr">
        <is>
          <t>Pantalla activa de Ruta Despeje.</t>
        </is>
      </c>
      <c r="J88" s="33" t="inlineStr">
        <is>
          <t>Recalcular Presión y Salud con el nuevo snapshot; el resultado puede mejorar o empeorar según reglas vigentes. No conservar estado obsoleto.</t>
        </is>
      </c>
      <c r="K88" s="33" t="inlineStr">
        <is>
          <t xml:space="preserve">Fixture sintético (no requiere documento real).
Formato: CSV o XLSX con los valores del contrato P4 upstream cerrado.
Inyectar al menos: POSITIVE · ZERO · NOT_EVALUABLE.
</t>
        </is>
      </c>
      <c r="L88" s="33" t="inlineStr">
        <is>
          <t>Sí · con insumo dev</t>
        </is>
      </c>
      <c r="M88" s="34" t="inlineStr"/>
      <c r="N88" s="35" t="inlineStr"/>
      <c r="O88" s="34" t="inlineStr"/>
      <c r="P88" s="6" t="inlineStr">
        <is>
          <t>Walvy_M04_Matriz_Trazabilidad_Cliente_v1.3.xlsx · 01_Matriz_Trazabilidad · TR-M04-128</t>
        </is>
      </c>
      <c r="Q88" s="6" t="inlineStr">
        <is>
          <t>En: Pantalla activa de Ruta Despeje.
→ Recalcular Presión y Salud con el nuevo snapshot; el resultado puede mejorar o empeorar según reglas vigentes. No conservar estado obsoleto.</t>
        </is>
      </c>
    </row>
    <row r="89" ht="90" customHeight="1">
      <c r="A89" s="30" t="inlineStr">
        <is>
          <t>M04</t>
        </is>
      </c>
      <c r="B89" s="31" t="inlineStr">
        <is>
          <t>TR-M04-129</t>
        </is>
      </c>
      <c r="C89" s="36" t="inlineStr">
        <is>
          <t>F1 · QA funcional local</t>
        </is>
      </c>
      <c r="D89" s="33" t="inlineStr">
        <is>
          <t>FLOW-M04-023 · Ruta 3 · Cierre</t>
        </is>
      </c>
      <c r="E89" s="33" t="inlineStr">
        <is>
          <t>Cierre ya confirmado</t>
        </is>
      </c>
      <c r="F89" s="33" t="inlineStr">
        <is>
          <t>RD-03 | Post-confirmación</t>
        </is>
      </c>
      <c r="G89" s="33" t="inlineStr">
        <is>
          <t>Cuenta de prueba activa y reseteada (sin deudas ni datos previos del flujo).
Condición de entrada: RD-03 | Post-confirmación</t>
        </is>
      </c>
      <c r="H89" s="33" t="inlineStr">
        <is>
          <t>📋 FIXTURE REQUERIDO: cuenta seed «rd03-cierre».
   Email: qa-m04-rd03-cierre-*@walvy.local · Password: Walvy2024!
1. Continuar desde TR-M04-126/127 (cierre ya confirmado, plan recalculado).
2. Verificar que la app muestra el modal «¡Felicitaciones!» (o equivalente de celebración de cierre).
3. Tocar «Continuar con el plan».
4. Verificar que navega de vuelta a RD-03 Avance (con el plan actualizado).
5. Verificar que la deuda cerrada ya no aparece en la lista activa del plan.
6. Verificar que el estado general de la Ruta se mantiene como «activa».
   → Si aparece el modal, vuelve a RD-03 y el plan está actualizado: ✓ PASA.
CIERRE
· Registrar resultado en «Resultado obtenido» y marcar «Estado QA».
· Resetear cuenta solo si el siguiente caso requiere estado diferente al actual.
  (Perfil → Herramientas QA → «Reiniciar cuenta de prueba» (doble confirmación))</t>
        </is>
      </c>
      <c r="I89" s="33" t="inlineStr">
        <is>
          <t>Pantalla activa de Ruta Despeje.</t>
        </is>
      </c>
      <c r="J89" s="33" t="inlineStr">
        <is>
          <t>Tras confirmar cierre, mostrar modal ¡Felicitaciones!; al seleccionar Continuar con el plan, retornar a RD-03 · Avance actualizado.</t>
        </is>
      </c>
      <c r="K89" s="43" t="inlineStr">
        <is>
          <t>── CUENTA SEED (origin/qa) ──
Email   : qa-m04-rd03-cierre-*@walvy.local
Password: Walvy2024!
Grupo   : F1
Estado  : (misma cuenta que TR-M04-126) RD-03 cierre · modal felicitaciones + RD-03 actualizado tras cierre
(El email exacto queda en la salida del script seed-qa-m04.mjs)</t>
        </is>
      </c>
      <c r="L89" s="33" t="inlineStr">
        <is>
          <t>Sí · con insumo dev</t>
        </is>
      </c>
      <c r="M89" s="34" t="inlineStr"/>
      <c r="N89" s="35" t="inlineStr"/>
      <c r="O89" s="34" t="inlineStr"/>
      <c r="P89" s="6" t="inlineStr">
        <is>
          <t>Walvy_M04_Matriz_Trazabilidad_Cliente_v1.3.xlsx · 01_Matriz_Trazabilidad · TR-M04-129</t>
        </is>
      </c>
      <c r="Q89" s="6" t="inlineStr">
        <is>
          <t>En: Pantalla activa de Ruta Despeje.
→ Tras confirmar cierre, mostrar modal ¡Felicitaciones!; al seleccionar Continuar con el plan, retornar a RD-03 · Avance actualizado.</t>
        </is>
      </c>
    </row>
    <row r="90" ht="90" customHeight="1">
      <c r="A90" s="30" t="inlineStr">
        <is>
          <t>M04</t>
        </is>
      </c>
      <c r="B90" s="31" t="inlineStr">
        <is>
          <t>TR-M04-130</t>
        </is>
      </c>
      <c r="C90" s="36" t="inlineStr">
        <is>
          <t>F1 · QA funcional local</t>
        </is>
      </c>
      <c r="D90" s="33" t="inlineStr">
        <is>
          <t>FLOW-M04-024 · Entrada directa / reingreso</t>
        </is>
      </c>
      <c r="E90" s="33" t="inlineStr">
        <is>
          <t>Existe deuda confirmada + datos mínimos + Presión final Riesgo; o existe Ruta activa previa</t>
        </is>
      </c>
      <c r="F90" s="33" t="inlineStr">
        <is>
          <t>Home/Perfil/reingreso | Evaluar estado previo</t>
        </is>
      </c>
      <c r="G90" s="33" t="inlineStr">
        <is>
          <t>Cuenta de prueba activa y reseteada (sin deudas ni datos previos del flujo).
Condición de entrada: Home/Perfil/reingreso | Evaluar estado previo</t>
        </is>
      </c>
      <c r="H90" s="33" t="inlineStr">
        <is>
          <t>📋 FIXTURE REQUERIDO: cuenta seed «reingreso-gate» (sub-escenario A).
   Email: qa-m04-reingreso-gate-*@walvy.local · Password: Walvy2024!
1. Iniciar sesión con la cuenta seed reingreso-gate (deuda confirmada + datos mínimos + Presión=Riesgo).
2. Navegar a: Home o Perfil Financiero → buscar el CTA de Ruta Despeje / acceso directo.
3. Tocar el CTA de entrada directa.
4. Verificar que la app evalúa el gate y permite acceso directo a RD-01 como elegible/disponible.
5. Verificar que NO reinicia OD-01/OD-02 (no vuelve a pedir captura de deudas).
Sub-escenario B (si hay Ruta activa previa): usar cuenta seed «reingreso-activa-y-faltante».
   Email: qa-m04-reingreso-activa-y-faltante-*@walvy.local
6. Verificar que con Ruta ya activa, el acceso directo retoma el estado activo (RD-03 Avance) sin reiniciar.
   → Si la entrada directa lleva a RD-01 elegible o retoma el estado activo: ✓ PASA.
CIERRE
· Registrar resultado en «Resultado obtenido» y marcar «Estado QA».
· Resetear cuenta solo si el siguiente caso requiere estado diferente al actual.
  (Perfil → Herramientas QA → «Reiniciar cuenta de prueba» (doble confirmación))</t>
        </is>
      </c>
      <c r="I90" s="33" t="inlineStr">
        <is>
          <t>Pantalla activa de Ruta Despeje.</t>
        </is>
      </c>
      <c r="J90" s="33" t="inlineStr">
        <is>
          <t>Con gate completo y sin Ruta activa, permitir entrada directa a RD-01 como elegible/disponible. Si ya está activa, conservar estado y momento inicial; no reactivar.</t>
        </is>
      </c>
      <c r="K90" s="43" t="inlineStr">
        <is>
          <t>── CUENTA SEED (origin/qa) ──
Email   : qa-m04-reingreso-gate / reingreso-activa-y-faltante-*@walvy.local
Password: Walvy2024!
Grupo   : G1+G2
Estado  : G1(slug=reingreso-gate): ruta elegible sin activar → Home→RD-01 directo. G2(slug=reingreso-activa-y-faltante): ruta activa → reingreso conserva estado (130B)
(El email exacto queda en la salida del script seed-qa-m04.mjs)</t>
        </is>
      </c>
      <c r="L90" s="33" t="inlineStr">
        <is>
          <t>Sí · con insumo dev</t>
        </is>
      </c>
      <c r="M90" s="34" t="inlineStr"/>
      <c r="N90" s="35" t="inlineStr"/>
      <c r="O90" s="34" t="inlineStr"/>
      <c r="P90" s="6" t="inlineStr">
        <is>
          <t>Walvy_M04_Matriz_Trazabilidad_Cliente_v1.3.xlsx · 01_Matriz_Trazabilidad · TR-M04-130</t>
        </is>
      </c>
      <c r="Q90" s="6" t="inlineStr">
        <is>
          <t>En: Pantalla activa de Ruta Despeje.
→ Con gate completo y sin Ruta activa, permitir entrada directa a RD-01 como elegible/disponible. Si ya está activa, conservar estado y momento inicial; no reactivar.</t>
        </is>
      </c>
    </row>
    <row r="91" ht="90" customHeight="1">
      <c r="A91" s="30" t="inlineStr">
        <is>
          <t>M04</t>
        </is>
      </c>
      <c r="B91" s="31" t="inlineStr">
        <is>
          <t>TR-M04-131</t>
        </is>
      </c>
      <c r="C91" s="36" t="inlineStr">
        <is>
          <t>F1 · QA funcional local</t>
        </is>
      </c>
      <c r="D91" s="33" t="inlineStr">
        <is>
          <t>FLOW-M04-024 · Entrada directa / reingreso</t>
        </is>
      </c>
      <c r="E91" s="33" t="inlineStr">
        <is>
          <t>Falta dato crítico/confirmación</t>
        </is>
      </c>
      <c r="F91" s="33" t="inlineStr">
        <is>
          <t>Home/Perfil/reingreso | Evaluar estado previo</t>
        </is>
      </c>
      <c r="G91" s="33" t="inlineStr">
        <is>
          <t>Cuenta de prueba activa y reseteada (sin deudas ni datos previos del flujo).
Condición de entrada: Home/Perfil/reingreso | Evaluar estado previo</t>
        </is>
      </c>
      <c r="H91" s="33" t="inlineStr">
        <is>
          <t>📋 FIXTURE REQUERIDO: cuenta seed «reingreso-activa-y-faltante».
   Email: qa-m04-reingreso-activa-y-faltante-*@walvy.local · Password: Walvy2024!
1. Iniciar sesión con la cuenta seed reingreso-activa-y-faltante (falta dato crítico o confirmación).
2. Navegar a: Home o Perfil Financiero → CTA de Ruta Despeje / acceso directo.
3. Tocar el CTA de entrada directa.
4. Verificar que la app deriva a OD-02 para completar el dato faltante o confirmar la deuda pendiente.
5. Verificar que NO reinicia OD-01 (no vuelve a pedir carga de documento).
6. Verificar que las deudas ya existentes NO se duplican.
   → Si deriva a OD-02 sin reiniciar captura ni duplicar deudas: ✓ PASA.
CIERRE
· Registrar resultado en «Resultado obtenido» y marcar «Estado QA».
· Resetear cuenta solo si el siguiente caso requiere estado diferente al actual.
  (Perfil → Herramientas QA → «Reiniciar cuenta de prueba» (doble confirmación))</t>
        </is>
      </c>
      <c r="I91" s="33" t="inlineStr">
        <is>
          <t>Pantalla activa de Ruta Despeje.</t>
        </is>
      </c>
      <c r="J91" s="33" t="inlineStr">
        <is>
          <t>Derivar a OD-02 completitud/revisión sin reiniciar captura ni duplicar deuda.</t>
        </is>
      </c>
      <c r="K91" s="43" t="inlineStr">
        <is>
          <t>── CUENTA SEED (origin/qa) ──
Email   : qa-m04-reingreso-activa-y-faltante-*@walvy.local
Password: Walvy2024!
Grupo   : G2
Estado  : (misma cuenta G2 que TR-M04-130B) dFaltante=unconfirmed+sin-cuota → resolveDebtEntryPoint→surface=revision → deriva OD-02
(El email exacto queda en la salida del script seed-qa-m04.mjs)</t>
        </is>
      </c>
      <c r="L91" s="33" t="inlineStr">
        <is>
          <t>Sí · con insumo dev</t>
        </is>
      </c>
      <c r="M91" s="34" t="inlineStr"/>
      <c r="N91" s="35" t="inlineStr"/>
      <c r="O91" s="34" t="inlineStr"/>
      <c r="P91" s="6" t="inlineStr">
        <is>
          <t>Walvy_M04_Matriz_Trazabilidad_Cliente_v1.3.xlsx · 01_Matriz_Trazabilidad · TR-M04-131</t>
        </is>
      </c>
      <c r="Q91" s="6" t="inlineStr">
        <is>
          <t>En: Pantalla activa de Ruta Despeje.
→ Derivar a OD-02 completitud/revisión sin reiniciar captura ni duplicar deuda.</t>
        </is>
      </c>
    </row>
    <row r="92" ht="90" customHeight="1">
      <c r="A92" s="30" t="inlineStr">
        <is>
          <t>M04</t>
        </is>
      </c>
      <c r="B92" s="31" t="inlineStr">
        <is>
          <t>TR-M04-132</t>
        </is>
      </c>
      <c r="C92" s="36" t="inlineStr">
        <is>
          <t>F1 · QA funcional local</t>
        </is>
      </c>
      <c r="D92" s="33" t="inlineStr">
        <is>
          <t>FLOW-M04-007 · Onboarding 2 · Revisión</t>
        </is>
      </c>
      <c r="E92" s="33" t="inlineStr">
        <is>
          <t>Existe dato/regla fuente que respalda una etiqueta MVP</t>
        </is>
      </c>
      <c r="F92" s="33" t="inlineStr">
        <is>
          <t>OD-02 | Mostrar etiqueta funcional</t>
        </is>
      </c>
      <c r="G92" s="33" t="inlineStr">
        <is>
          <t>Cuenta de prueba reseteada.
Fixture con al menos 1 deuda detectada por importación de documento (origin='document')
que aún NO fue confirmada manualmente (confirmationStatus='unconfirmed').</t>
        </is>
      </c>
      <c r="H92" s="33" t="inlineStr">
        <is>
          <t>📋 FIXTURE REQUERIDO: deuda importada de documento, sin confirmar (origin=document, status=unconfirmed).
1. Iniciar sesión con cuenta de prueba reseteada.
2. Subir fixture CSV/XLSX con una deuda de origen documental (la app la marca como origin=document).
3. Navegar a: OD-02 Revisión de deudas (RouteConsideredScreen) sin confirmar la deuda.
4. En la card de la deuda aún no confirmada, verificar que aparece el chip amarillo «No planificado».
   → Si el chip está visible: ✓ PASA.
5. Confirmar la deuda manualmente y verificar que el chip «No planificado» DESAPARECE.
   → Si desaparece al confirmar: ✓ PASA.
6. Verificar que el chip NO reemplaza ni oculta el CTA dominante de la pantalla.
CIERRE
· Registrar resultado en «Resultado obtenido» y marcar «Estado QA».
· Resetear cuenta solo si el siguiente caso requiere estado diferente al actual.
  (Perfil → Herramientas QA → «Reiniciar cuenta de prueba» (doble confirmación))</t>
        </is>
      </c>
      <c r="I92" s="33" t="inlineStr">
        <is>
          <t>Pantalla Revisión de deudas (OD-02) / RouteConsideredScreen → chip «No planificado» (amarillo).</t>
        </is>
      </c>
      <c r="J92" s="33" t="inlineStr">
        <is>
          <t>Etiqueta sobre deuda detectada/recurrente/no planificada o que requiere revisión. La etiqueta no reemplaza severidad, validación ni CTA dominante.</t>
        </is>
      </c>
      <c r="K92" s="33" t="inlineStr">
        <is>
          <t>Fixture sintético CSV o XLSX con 1 deuda:
  nombre: «Tarjeta Ripley» (o cualquier acreedor)
  saldo: $200.000
  origen: importada desde documento (la app la marca como origin='document' automáticamente
    cuando proviene de kread/CSV de estado de cuenta).
  No confirmar manualmente: la deuda debe quedar en estado 'unconfirmed'.</t>
        </is>
      </c>
      <c r="L92" s="33" t="inlineStr">
        <is>
          <t>Sí</t>
        </is>
      </c>
      <c r="M92" s="34" t="inlineStr"/>
      <c r="N92" s="35" t="inlineStr"/>
      <c r="O92" s="34" t="inlineStr">
        <is>
          <t>Backend: functional-tags.rule.ts → computeBasicTags().
Condición: origin==='document' &amp;&amp; confirmationStatus==='unconfirmed' → ['no_planificado'].
Frontend: FunctionalTagChip.tsx, testID=functional-tag-no_planificado.
Chip NO persiste en DB: se calcula on-the-fly en cada respuesta.</t>
        </is>
      </c>
      <c r="P92" s="6" t="inlineStr">
        <is>
          <t>Walvy_M04_Matriz_Trazabilidad_Cliente_v1.3.xlsx · 01_Matriz_Trazabilidad · TR-M04-132</t>
        </is>
      </c>
      <c r="Q92" s="6" t="inlineStr">
        <is>
          <t>En: Pantalla Revisión de deudas (OD-02) / RouteConsideredScreen → chip «No planificado» (amarillo).
→ Etiqueta sobre deuda detectada/recurrente/no planificada o que requiere revisión. La etiqueta no reemplaza severidad, validación ni CTA dominante.</t>
        </is>
      </c>
    </row>
    <row r="93" ht="90" customHeight="1">
      <c r="A93" s="30" t="inlineStr">
        <is>
          <t>M04</t>
        </is>
      </c>
      <c r="B93" s="31" t="inlineStr">
        <is>
          <t>TR-M04-133</t>
        </is>
      </c>
      <c r="C93" s="36" t="inlineStr">
        <is>
          <t>F1 · QA funcional local</t>
        </is>
      </c>
      <c r="D93" s="33" t="inlineStr">
        <is>
          <t>FLOW-M04-016 · Ruta 1 · Resumen</t>
        </is>
      </c>
      <c r="E93" s="33" t="inlineStr">
        <is>
          <t>Existe dato/regla fuente que respalda una etiqueta MVP</t>
        </is>
      </c>
      <c r="F93" s="33" t="inlineStr">
        <is>
          <t>RD-01 | Mostrar etiqueta funcional</t>
        </is>
      </c>
      <c r="G93" s="33" t="inlineStr">
        <is>
          <t>Cuenta de prueba reseteada.
Deuda confirmada (confirmationStatus='confirmed') con nextDueDate = HOY + 3 días
(o cualquier fecha dentro de los próximos 7 días).
Ruta activa con vista RD-01 Resumen.</t>
        </is>
      </c>
      <c r="H93" s="33" t="inlineStr">
        <is>
          <t>📋 FIXTURE REQUERIDO: deuda confirmada con nextDueDate = HOY + 3 días (o cualquier fecha ≤7 días).
1. Iniciar sesión con cuenta seed rd01-elegible o cualquier cuenta con deuda confirmada con vencimiento próximo.
2. Navegar a: Ruta Despeje → RD-01 Resumen (RouteConsideredScreen).
3. En la card de la deuda con vencimiento próximo (≤7 días), verificar que aparece el chip rojo «Urgente».
   → Si el chip está visible: ✓ PASA.
4. Verificar que el chip NO reemplaza ni oculta la severidad principal de la pantalla ni el CTA dominante.
5. Editar la fecha de vencimiento a más de 7 días y volver a RD-01; verificar que el chip «Urgente» desaparece.
   → Si desaparece al cambiar la fecha: ✓ PASA (tag calculado on-the-fly).
CIERRE
· Registrar resultado en «Resultado obtenido» y marcar «Estado QA».
· Resetear cuenta solo si el siguiente caso requiere estado diferente al actual.
  (Perfil → Herramientas QA → «Reiniciar cuenta de prueba» (doble confirmación))</t>
        </is>
      </c>
      <c r="I93" s="33" t="inlineStr">
        <is>
          <t>Pantalla Resumen de Ruta (RD-01) / RouteConsideredScreen → chip «Urgente» (rojo).</t>
        </is>
      </c>
      <c r="J93" s="33" t="inlineStr">
        <is>
          <t>Etiqueta que explica señal principal o motivo de atención. La etiqueta no reemplaza severidad, validación ni CTA dominante.</t>
        </is>
      </c>
      <c r="K93" s="33" t="inlineStr">
        <is>
          <t>Deuda de prueba ya confirmada con campo nextDueDate = fecha de hoy + 3 días.
Formato de fecha en fixture: YYYY-MM-DD.
Umbral exacto: URGENTE_DAYS = 7 (días ≥0 y ≤7 desde hoy).</t>
        </is>
      </c>
      <c r="L93" s="33" t="inlineStr">
        <is>
          <t>Sí</t>
        </is>
      </c>
      <c r="M93" s="34" t="inlineStr"/>
      <c r="N93" s="35" t="inlineStr"/>
      <c r="O93" s="34" t="inlineStr">
        <is>
          <t>Backend: functional-tags.rule.ts → computeBasicTags().
Condición: confirmationStatus==='confirmed' &amp;&amp; nextDueDate dentro de [0, 7] días.
Constante: URGENTE_DAYS = 7.
Frontend: FunctionalTagChip.tsx, testID=functional-tag-urgente.</t>
        </is>
      </c>
      <c r="P93" s="6" t="inlineStr">
        <is>
          <t>Walvy_M04_Matriz_Trazabilidad_Cliente_v1.3.xlsx · 01_Matriz_Trazabilidad · TR-M04-133</t>
        </is>
      </c>
      <c r="Q93" s="6" t="inlineStr">
        <is>
          <t>En: Pantalla Resumen de Ruta (RD-01) / RouteConsideredScreen → chip «Urgente» (rojo).
→ Etiqueta que explica señal principal o motivo de atención. La etiqueta no reemplaza severidad, validación ni CTA dominante.</t>
        </is>
      </c>
    </row>
    <row r="94" ht="90" customHeight="1">
      <c r="A94" s="30" t="inlineStr">
        <is>
          <t>M04</t>
        </is>
      </c>
      <c r="B94" s="31" t="inlineStr">
        <is>
          <t>TR-M04-134</t>
        </is>
      </c>
      <c r="C94" s="36" t="inlineStr">
        <is>
          <t>F1 · QA funcional local</t>
        </is>
      </c>
      <c r="D94" s="33" t="inlineStr">
        <is>
          <t>FLOW-M04-019 · Ruta 2 · Plan</t>
        </is>
      </c>
      <c r="E94" s="33" t="inlineStr">
        <is>
          <t>Existe dato/regla fuente que respalda una etiqueta MVP</t>
        </is>
      </c>
      <c r="F94" s="33" t="inlineStr">
        <is>
          <t>RD-02 | Mostrar etiqueta funcional</t>
        </is>
      </c>
      <c r="G94" s="33" t="inlineStr">
        <is>
          <t>Cuenta de prueba reseteada.
Al menos 1 deuda confirmada cuya cancelación libera capacidad de pago
(el plan la identifica en recoverableCapacity.components).
Ruta activa con plan RD-02 generado.</t>
        </is>
      </c>
      <c r="H94" s="33" t="inlineStr">
        <is>
          <t>📋 FIXTURE REQUERIDO: cuenta seed «rd02-plan-fecha» con al menos 1 deuda que el plan identifica como liberadora de capacidad.
   Email: qa-m04-rd02-plan-fecha-*@walvy.local · Password: Walvy2024!
1. Iniciar sesión con la cuenta seed rd02-plan-fecha.
2. Navegar a: Ruta Despeje → RD-02 Plan (RoutePlanScreen) → lista de deudas (PlanOrderList).
3. Buscar la deuda que el plan identifica como prioritaria / liberadora de capacidad.
4. Verificar que esa card muestra el chip verde «Recuperable».
   → Si el chip aparece: ✓ PASA.
5. Verificar que el chip NO aparece en deudas que no están en recoverableCapacity.
6. Verificar que el chip NO reemplaza ni oculta la severidad ni el CTA del plan.
CIERRE
· Registrar resultado en «Resultado obtenido» y marcar «Estado QA».
· Resetear cuenta solo si el siguiente caso requiere estado diferente al actual.
  (Perfil → Herramientas QA → «Reiniciar cuenta de prueba» (doble confirmación))</t>
        </is>
      </c>
      <c r="I94" s="33" t="inlineStr">
        <is>
          <t>Pantalla Plan de deudas (RD-02) / RoutePlanScreen → PlanOrderList → chip «Recuperable» (verde).</t>
        </is>
      </c>
      <c r="J94" s="33" t="inlineStr">
        <is>
          <t>Etiqueta sobre deuda prioritaria, siguiente deuda o capacidad recuperable. La etiqueta no reemplaza severidad, validación ni CTA dominante.</t>
        </is>
      </c>
      <c r="K94" s="43" t="inlineStr">
        <is>
          <t>── CUENTA SEED (origin/qa) ──
Email   : qa-m04-rd02-plan-fecha-*@walvy.local
Password: Walvy2024!
Grupo   : D1
Estado  : (misma cuenta que TR-M04-104) RD-02 · tag recuperable en d1 (menor saldo, con cuota) · buildDebtTags→enrichWithPlanTags → verificar render en PlanOrderList
(El email exacto queda en la salida del script seed-qa-m04.mjs)
Deuda de prueba confirmada con saldo/cuota que el plan puede liberar.
El backend marca la deuda en route.service.ts → buildDebtTags() → enrichWithPlanTags().
No hay campo fixture especial: depende del resultado del cálculo del plan.</t>
        </is>
      </c>
      <c r="L94" s="33" t="inlineStr">
        <is>
          <t>Sí · con insumo dev</t>
        </is>
      </c>
      <c r="M94" s="34" t="inlineStr"/>
      <c r="N94" s="35" t="inlineStr"/>
      <c r="O94" s="34" t="inlineStr">
        <is>
          <t>Backend: functional-tags.rule.ts → enrichWithPlanTags(debtId, basicTags, recoverableDebtIds).
Origen: route.service.ts → buildDebtTags() → recoverableCapacity.components.
Frontend: PlanOrderList.tsx, FunctionalTagRow, testID=functional-tag-recuperable.</t>
        </is>
      </c>
      <c r="P94" s="6" t="inlineStr">
        <is>
          <t>Walvy_M04_Matriz_Trazabilidad_Cliente_v1.3.xlsx · 01_Matriz_Trazabilidad · TR-M04-134</t>
        </is>
      </c>
      <c r="Q94" s="6" t="inlineStr">
        <is>
          <t>En: Pantalla Plan de deudas (RD-02) / RoutePlanScreen → PlanOrderList → chip «Recuperable» (verde).
→ Etiqueta sobre deuda prioritaria, siguiente deuda o capacidad recuperable. La etiqueta no reemplaza severidad, validación ni CTA dominante.</t>
        </is>
      </c>
    </row>
    <row r="95" ht="90" customHeight="1">
      <c r="A95" s="30" t="inlineStr">
        <is>
          <t>M04</t>
        </is>
      </c>
      <c r="B95" s="31" t="inlineStr">
        <is>
          <t>TR-M04-135</t>
        </is>
      </c>
      <c r="C95" s="36" t="inlineStr">
        <is>
          <t>F1 · QA funcional local</t>
        </is>
      </c>
      <c r="D95" s="33" t="inlineStr">
        <is>
          <t>FLOW-M04-017 · Detalle deuda</t>
        </is>
      </c>
      <c r="E95" s="33" t="inlineStr">
        <is>
          <t>Existe dato/regla fuente que respalda una etiqueta MVP</t>
        </is>
      </c>
      <c r="F95" s="33" t="inlineStr">
        <is>
          <t>DD-01 | Mostrar etiqueta funcional</t>
        </is>
      </c>
      <c r="G95" s="33" t="inlineStr">
        <is>
          <t>Cuenta de prueba reseteada.
Deuda confirmada con nextDueDate = HOY + 3 días (o cualquier fecha ≤7 días).
Plan RD-02 activo con esa deuda incluida.</t>
        </is>
      </c>
      <c r="H95" s="33" t="inlineStr">
        <is>
          <t>📋 FIXTURE REQUERIDO: deuda confirmada con nextDueDate = HOY + 3 días (dentro del plan RD-02 activo).
1. Iniciar sesión con cuenta seed dd01-activa o cuenta con Ruta activa y deuda con vencimiento próximo.
2. Navegar a: Ruta Despeje → RD-02 Plan → tocar la deuda urgente → DD-01 Detalle (RoutePlanDetailScreen).
3. En la pantalla de detalle, verificar que aparece el chip rojo «Urgente» bajo los datos de la deuda.
   → Si el chip aparece: ✓ PASA.
4. Verificar que el chip NO reemplaza ni oculta la información de severidad ni el CTA dominante.
5. Verificar que una deuda cuyo nextDueDate es &gt;7 días NO muestra el chip «Urgente» en esta misma pantalla.
CIERRE
· Registrar resultado en «Resultado obtenido» y marcar «Estado QA».
· Resetear cuenta solo si el siguiente caso requiere estado diferente al actual.
  (Perfil → Herramientas QA → «Reiniciar cuenta de prueba» (doble confirmación))</t>
        </is>
      </c>
      <c r="I95" s="33" t="inlineStr">
        <is>
          <t>Pantalla Detalle de deuda (DD-01) / RoutePlanDetailScreen → chip «Urgente» (rojo) bajo datos de deuda.</t>
        </is>
      </c>
      <c r="J95" s="33" t="inlineStr">
        <is>
          <t>Etiqueta de patrón, urgencia o recurrencia de deuda específica. La etiqueta no reemplaza severidad, validación ni CTA dominante.</t>
        </is>
      </c>
      <c r="K95" s="33" t="inlineStr">
        <is>
          <t>Deuda de prueba confirmada con campo nextDueDate = fecha HOY + 3 días.
Misma condición que TR-M04-133 (urgente) pero verificada en pantalla de detalle.
Umbral: URGENTE_DAYS = 7 (functional-tags.rule.ts).</t>
        </is>
      </c>
      <c r="L95" s="33" t="inlineStr">
        <is>
          <t>Sí</t>
        </is>
      </c>
      <c r="M95" s="34" t="inlineStr"/>
      <c r="N95" s="35" t="inlineStr"/>
      <c r="O95" s="34" t="inlineStr">
        <is>
          <t>Backend: functional-tags.rule.ts → computeBasicTags().
Misma regla que TR-M04-133: confirmed + nextDueDate en [0,7] días.
Frontend: RoutePlanDetailScreen.tsx → FunctionalTagRow, testID=functional-tag-urgente.</t>
        </is>
      </c>
      <c r="P95" s="6" t="inlineStr">
        <is>
          <t>Walvy_M04_Matriz_Trazabilidad_Cliente_v1.3.xlsx · 01_Matriz_Trazabilidad · TR-M04-135</t>
        </is>
      </c>
      <c r="Q95" s="6" t="inlineStr">
        <is>
          <t>En: Pantalla Detalle de deuda (DD-01) / RoutePlanDetailScreen → chip «Urgente» (rojo) bajo datos de deuda.
→ Etiqueta de patrón, urgencia o recurrencia de deuda específica. La etiqueta no reemplaza severidad, validación ni CTA dominante.</t>
        </is>
      </c>
    </row>
    <row r="96" ht="90" customHeight="1">
      <c r="A96" s="30" t="inlineStr">
        <is>
          <t>M04</t>
        </is>
      </c>
      <c r="B96" s="31" t="inlineStr">
        <is>
          <t>TR-M04-136</t>
        </is>
      </c>
      <c r="C96" s="32" t="inlineStr">
        <is>
          <t>F3 · M02/M03 / superficie</t>
        </is>
      </c>
      <c r="D96" s="33" t="inlineStr">
        <is>
          <t>FLOW-M04-001 · Entrada contextual</t>
        </is>
      </c>
      <c r="E96" s="33" t="inlineStr">
        <is>
          <t>Existe dato/regla fuente que respalda una etiqueta MVP</t>
        </is>
      </c>
      <c r="F96" s="33" t="inlineStr">
        <is>
          <t>Perfil/Home | Mostrar etiqueta funcional</t>
        </is>
      </c>
      <c r="G96" s="33" t="inlineStr">
        <is>
          <t>Cuenta de prueba activa y reseteada (sin deudas ni datos previos del flujo).
Condición de entrada: Perfil/Home | Mostrar etiqueta funcional</t>
        </is>
      </c>
      <c r="H96" s="33" t="inlineStr">
        <is>
          <t>Seguir flujo de FLOW-M04-001 · Entrada contextual.
CIERRE
· Registrar resultado en columna «Resultado obtenido» y marcar «Estado QA».
· Resetear solo si el siguiente caso requiere estado inicial incompatible con el actual. Casos del mismo flujo pueden reutilizar el estado.
  (Ajustes → Borrar mis datos · o solicitar reset al admin de QA)</t>
        </is>
      </c>
      <c r="I96" s="33" t="inlineStr">
        <is>
          <t>Pantalla activa de Ruta Despeje.</t>
        </is>
      </c>
      <c r="J96" s="33" t="inlineStr">
        <is>
          <t>Etiqueta resumida solo cuando exista regla/dato y sea pertinente en superficie consumidora. La etiqueta no reemplaza severidad, validación ni CTA dominante.</t>
        </is>
      </c>
      <c r="K96" s="33" t="inlineStr">
        <is>
          <t xml:space="preserve">Ambiente con Home/Perfil (M03) disponible.
Producer payload válido de M04.
</t>
        </is>
      </c>
      <c r="L96" s="33" t="inlineStr">
        <is>
          <t>No · requiere env</t>
        </is>
      </c>
      <c r="M96" s="34" t="inlineStr"/>
      <c r="N96" s="35" t="inlineStr"/>
      <c r="O96" s="34" t="inlineStr"/>
      <c r="P96" s="6" t="inlineStr">
        <is>
          <t>Walvy_M04_Matriz_Trazabilidad_Cliente_v1.3.xlsx · 01_Matriz_Trazabilidad · TR-M04-136</t>
        </is>
      </c>
      <c r="Q96" s="6" t="inlineStr">
        <is>
          <t>En: Pantalla activa de Ruta Despeje.
→ Etiqueta resumida solo cuando exista regla/dato y sea pertinente en superficie consumidora. La etiqueta no reemplaza severidad, validación ni CTA dominante.</t>
        </is>
      </c>
    </row>
    <row r="97" ht="90" customHeight="1">
      <c r="A97" s="38" t="inlineStr">
        <is>
          <t>M05</t>
        </is>
      </c>
      <c r="B97" s="39" t="inlineStr">
        <is>
          <t>M5-V01</t>
        </is>
      </c>
      <c r="C97" s="36" t="inlineStr">
        <is>
          <t>F1 · QA funcional local</t>
        </is>
      </c>
      <c r="D97" s="33" t="inlineStr">
        <is>
          <t>Resumen Presupuesto Vivo</t>
        </is>
      </c>
      <c r="E97" s="33" t="inlineStr">
        <is>
          <t>PV-001 · Datos suficientes</t>
        </is>
      </c>
      <c r="F97" s="33" t="inlineStr">
        <is>
          <t>Movimientos categorizados, objetivos, gasto real</t>
        </is>
      </c>
      <c r="G97" s="33" t="inlineStr">
        <is>
          <t>Cuenta de prueba activa y reseteada (sin deudas ni datos previos del flujo).
Condición de entrada: Movimientos categorizados, objetivos, gasto real</t>
        </is>
      </c>
      <c r="H97" s="33" t="n"/>
      <c r="I97" s="33" t="inlineStr">
        <is>
          <t>Pestaña Presupuesto → pantalla principal / resumen PV</t>
        </is>
      </c>
      <c r="J97" s="33" t="inlineStr">
        <is>
          <t>Calcular estado general. Usuario: Consultar presupuesto. CTA dominante: Revisar presupuesto. Copy/guardrail: Tu Presupuesto Vivo — No planilla vacía.</t>
        </is>
      </c>
      <c r="K97" s="33" t="inlineStr"/>
      <c r="L97" s="33" t="inlineStr">
        <is>
          <t>Sí</t>
        </is>
      </c>
      <c r="M97" s="34" t="inlineStr"/>
      <c r="N97" s="35" t="inlineStr"/>
      <c r="O97" s="34" t="inlineStr"/>
    </row>
    <row r="98" ht="90" customHeight="1">
      <c r="A98" s="38" t="inlineStr">
        <is>
          <t>M05</t>
        </is>
      </c>
      <c r="B98" s="39" t="inlineStr">
        <is>
          <t>M5-V02</t>
        </is>
      </c>
      <c r="C98" s="36" t="inlineStr">
        <is>
          <t>F1 · QA funcional local</t>
        </is>
      </c>
      <c r="D98" s="33" t="inlineStr">
        <is>
          <t>Resumen Presupuesto Vivo</t>
        </is>
      </c>
      <c r="E98" s="33" t="inlineStr">
        <is>
          <t>PV-002 · Sin datos suficientes</t>
        </is>
      </c>
      <c r="F98" s="33" t="inlineStr">
        <is>
          <t>Carga de movimientos/documentos</t>
        </is>
      </c>
      <c r="G98" s="33" t="inlineStr">
        <is>
          <t>Cuenta de prueba activa y reseteada (sin deudas ni datos previos del flujo).
Condición de entrada: Carga de movimientos/documentos</t>
        </is>
      </c>
      <c r="H98" s="33" t="n"/>
      <c r="I98" s="33" t="inlineStr">
        <is>
          <t>Pestaña Presupuesto → pantalla principal / resumen PV</t>
        </is>
      </c>
      <c r="J98" s="33" t="inlineStr">
        <is>
          <t>Detectar falta de datos. Usuario: Cargar movimientos. CTA dominante: Cargar movimientos. Copy/guardrail: Necesitamos tus movimientos — No presupuesto manual en frío.</t>
        </is>
      </c>
      <c r="K98" s="33" t="inlineStr"/>
      <c r="L98" s="33" t="inlineStr">
        <is>
          <t>Sí</t>
        </is>
      </c>
      <c r="M98" s="34" t="inlineStr"/>
      <c r="N98" s="35" t="inlineStr"/>
      <c r="O98" s="34" t="inlineStr"/>
    </row>
    <row r="99" ht="90" customHeight="1">
      <c r="A99" s="38" t="inlineStr">
        <is>
          <t>M05</t>
        </is>
      </c>
      <c r="B99" s="39" t="inlineStr">
        <is>
          <t>M5-V03</t>
        </is>
      </c>
      <c r="C99" s="36" t="inlineStr">
        <is>
          <t>F1 · QA funcional local</t>
        </is>
      </c>
      <c r="D99" s="33" t="inlineStr">
        <is>
          <t>Resumen Presupuesto Vivo</t>
        </is>
      </c>
      <c r="E99" s="33" t="inlineStr">
        <is>
          <t>PV-003 · Datos parciales</t>
        </is>
      </c>
      <c r="F99" s="33" t="inlineStr">
        <is>
          <t>Movimientos parciales, confianza</t>
        </is>
      </c>
      <c r="G99" s="33" t="inlineStr">
        <is>
          <t>Cuenta de prueba activa y reseteada (sin deudas ni datos previos del flujo).
Condición de entrada: Movimientos parciales, confianza</t>
        </is>
      </c>
      <c r="H99" s="33" t="n"/>
      <c r="I99" s="33" t="inlineStr">
        <is>
          <t>Pestaña Presupuesto → pantalla principal / resumen PV</t>
        </is>
      </c>
      <c r="J99" s="33" t="inlineStr">
        <is>
          <t>Mostrar lectura parcial. Usuario: Revisar pendientes. CTA dominante: Completar datos. Copy/guardrail: Lectura parcial — No conclusión fuerte.</t>
        </is>
      </c>
      <c r="K99" s="33" t="inlineStr"/>
      <c r="L99" s="33" t="inlineStr">
        <is>
          <t>Sí</t>
        </is>
      </c>
      <c r="M99" s="34" t="inlineStr"/>
      <c r="N99" s="35" t="inlineStr"/>
      <c r="O99" s="34" t="inlineStr"/>
    </row>
    <row r="100" ht="90" customHeight="1">
      <c r="A100" s="38" t="inlineStr">
        <is>
          <t>M05</t>
        </is>
      </c>
      <c r="B100" s="39" t="inlineStr">
        <is>
          <t>M5-V04</t>
        </is>
      </c>
      <c r="C100" s="36" t="inlineStr">
        <is>
          <t>F1 · QA funcional local</t>
        </is>
      </c>
      <c r="D100" s="33" t="inlineStr">
        <is>
          <t>Presupuesto por categoría</t>
        </is>
      </c>
      <c r="E100" s="33" t="inlineStr">
        <is>
          <t>PV-004 · Objetivo definido</t>
        </is>
      </c>
      <c r="F100" s="33" t="inlineStr">
        <is>
          <t>Categoría, objetivo, gasto real</t>
        </is>
      </c>
      <c r="G100" s="33" t="inlineStr">
        <is>
          <t>Cuenta de prueba activa y reseteada (sin deudas ni datos previos del flujo).
Condición de entrada: Categoría, objetivo, gasto real</t>
        </is>
      </c>
      <c r="H100" s="33" t="n"/>
      <c r="I100" s="33" t="inlineStr">
        <is>
          <t>Presupuesto → sección por categoría (card de cada categoría)</t>
        </is>
      </c>
      <c r="J100" s="33" t="inlineStr">
        <is>
          <t>Comparar gasto vs objetivo. Usuario: Ajustar objetivo. CTA dominante: Ajustar objetivo. Copy/guardrail: Presupuesto por categoría — Sin copy final emocional.</t>
        </is>
      </c>
      <c r="K100" s="33" t="inlineStr"/>
      <c r="L100" s="33" t="inlineStr">
        <is>
          <t>Sí</t>
        </is>
      </c>
      <c r="M100" s="34" t="inlineStr"/>
      <c r="N100" s="35" t="inlineStr"/>
      <c r="O100" s="34" t="inlineStr"/>
    </row>
    <row r="101" ht="90" customHeight="1">
      <c r="A101" s="38" t="inlineStr">
        <is>
          <t>M05</t>
        </is>
      </c>
      <c r="B101" s="39" t="inlineStr">
        <is>
          <t>M5-V05</t>
        </is>
      </c>
      <c r="C101" s="36" t="inlineStr">
        <is>
          <t>F1 · QA funcional local</t>
        </is>
      </c>
      <c r="D101" s="33" t="inlineStr">
        <is>
          <t>Presupuesto por categoría</t>
        </is>
      </c>
      <c r="E101" s="33" t="inlineStr">
        <is>
          <t>PV-005 · Meta operacional activa</t>
        </is>
      </c>
      <c r="F101" s="33" t="inlineStr">
        <is>
          <t>Consumo detectado, objetivo menor</t>
        </is>
      </c>
      <c r="G101" s="33" t="inlineStr">
        <is>
          <t>Cuenta de prueba activa y reseteada (sin deudas ni datos previos del flujo).
Condición de entrada: Consumo detectado, objetivo menor</t>
        </is>
      </c>
      <c r="H101" s="33" t="n"/>
      <c r="I101" s="33" t="inlineStr">
        <is>
          <t>Presupuesto → sección por categoría (card de cada categoría)</t>
        </is>
      </c>
      <c r="J101" s="33" t="inlineStr">
        <is>
          <t>Activar seguimiento. Usuario: Confirmar objetivo. CTA dominante: Confirmar objetivo. Copy/guardrail: Meta activa — Usuario decide.</t>
        </is>
      </c>
      <c r="K101" s="33" t="inlineStr"/>
      <c r="L101" s="33" t="inlineStr">
        <is>
          <t>Sí</t>
        </is>
      </c>
      <c r="M101" s="34" t="inlineStr"/>
      <c r="N101" s="35" t="inlineStr"/>
      <c r="O101" s="34" t="inlineStr"/>
    </row>
    <row r="102" ht="90" customHeight="1">
      <c r="A102" s="38" t="inlineStr">
        <is>
          <t>M05</t>
        </is>
      </c>
      <c r="B102" s="39" t="inlineStr">
        <is>
          <t>M5-V06</t>
        </is>
      </c>
      <c r="C102" s="36" t="inlineStr">
        <is>
          <t>F1 · QA funcional local</t>
        </is>
      </c>
      <c r="D102" s="33" t="inlineStr">
        <is>
          <t>Detalle de categoría</t>
        </is>
      </c>
      <c r="E102" s="33" t="inlineStr">
        <is>
          <t>PV-006 · Sobreconsumo</t>
        </is>
      </c>
      <c r="F102" s="33" t="inlineStr">
        <is>
          <t>Gasto real, umbral, movimientos</t>
        </is>
      </c>
      <c r="G102" s="33" t="inlineStr">
        <is>
          <t>Cuenta de prueba activa y reseteada (sin deudas ni datos previos del flujo).
Condición de entrada: Gasto real, umbral, movimientos</t>
        </is>
      </c>
      <c r="H102" s="33" t="n"/>
      <c r="I102" s="33" t="inlineStr">
        <is>
          <t>Presupuesto → card categoría → Ver detalle</t>
        </is>
      </c>
      <c r="J102" s="33" t="inlineStr">
        <is>
          <t>Detectar desviación. Usuario: Revisar movimientos. CTA dominante: Revisar movimientos. Copy/guardrail: Categoría sobre el objetivo — No reasignación automática.</t>
        </is>
      </c>
      <c r="K102" s="33" t="inlineStr"/>
      <c r="L102" s="33" t="inlineStr">
        <is>
          <t>Sí</t>
        </is>
      </c>
      <c r="M102" s="34" t="inlineStr"/>
      <c r="N102" s="35" t="inlineStr"/>
      <c r="O102" s="34" t="inlineStr"/>
    </row>
    <row r="103" ht="90" customHeight="1">
      <c r="A103" s="38" t="inlineStr">
        <is>
          <t>M05</t>
        </is>
      </c>
      <c r="B103" s="39" t="inlineStr">
        <is>
          <t>M5-V07</t>
        </is>
      </c>
      <c r="C103" s="36" t="inlineStr">
        <is>
          <t>F1 · QA funcional local</t>
        </is>
      </c>
      <c r="D103" s="33" t="inlineStr">
        <is>
          <t>Detalle de categoría</t>
        </is>
      </c>
      <c r="E103" s="33" t="inlineStr">
        <is>
          <t>PV-007 · Subejecución</t>
        </is>
      </c>
      <c r="F103" s="33" t="inlineStr">
        <is>
          <t>Objetivo, gasto real, otras categorías, ahorro</t>
        </is>
      </c>
      <c r="G103" s="33" t="inlineStr">
        <is>
          <t>Cuenta de prueba activa y reseteada (sin deudas ni datos previos del flujo).
Condición de entrada: Objetivo, gasto real, otras categorías, ahorro</t>
        </is>
      </c>
      <c r="H103" s="33" t="n"/>
      <c r="I103" s="33" t="inlineStr">
        <is>
          <t>Presupuesto → card categoría → Ver detalle</t>
        </is>
      </c>
      <c r="J103" s="33" t="inlineStr">
        <is>
          <t>Estimar destino del margen. Usuario: Ver recomendación. CTA dominante: Ver recomendación. Copy/guardrail: Menor uso del esperado — No causalidad absoluta.</t>
        </is>
      </c>
      <c r="K103" s="33" t="inlineStr"/>
      <c r="L103" s="33" t="inlineStr">
        <is>
          <t>Sí</t>
        </is>
      </c>
      <c r="M103" s="34" t="inlineStr"/>
      <c r="N103" s="35" t="inlineStr"/>
      <c r="O103" s="34" t="inlineStr"/>
    </row>
    <row r="104" ht="90" customHeight="1">
      <c r="A104" s="38" t="inlineStr">
        <is>
          <t>M05</t>
        </is>
      </c>
      <c r="B104" s="39" t="inlineStr">
        <is>
          <t>M5-V08</t>
        </is>
      </c>
      <c r="C104" s="36" t="inlineStr">
        <is>
          <t>F1 · QA funcional local</t>
        </is>
      </c>
      <c r="D104" s="33" t="inlineStr">
        <is>
          <t>Movimientos sin categorizar</t>
        </is>
      </c>
      <c r="E104" s="33" t="inlineStr">
        <is>
          <t>PV-008 · Sin categorizar</t>
        </is>
      </c>
      <c r="F104" s="33" t="inlineStr">
        <is>
          <t>Movimiento, glosa, fecha, monto</t>
        </is>
      </c>
      <c r="G104" s="33" t="inlineStr">
        <is>
          <t>Cuenta de prueba activa y reseteada (sin deudas ni datos previos del flujo).
Condición de entrada: Movimiento, glosa, fecha, monto</t>
        </is>
      </c>
      <c r="H104" s="33" t="n"/>
      <c r="I104" s="33" t="inlineStr">
        <is>
          <t>Presupuesto → sección Movimientos sin categorizar</t>
        </is>
      </c>
      <c r="J104" s="33" t="inlineStr">
        <is>
          <t>Agrupar pendientes. Usuario: Categorizar movimiento. CTA dominante: Categorizar movimiento. Copy/guardrail: Movimientos por clasificar — No clasificar sin confianza.</t>
        </is>
      </c>
      <c r="K104" s="33" t="inlineStr"/>
      <c r="L104" s="33" t="inlineStr">
        <is>
          <t>Sí</t>
        </is>
      </c>
      <c r="M104" s="34" t="inlineStr"/>
      <c r="N104" s="35" t="inlineStr"/>
      <c r="O104" s="34" t="inlineStr"/>
    </row>
    <row r="105" ht="90" customHeight="1">
      <c r="A105" s="38" t="inlineStr">
        <is>
          <t>M05</t>
        </is>
      </c>
      <c r="B105" s="39" t="inlineStr">
        <is>
          <t>M5-V09</t>
        </is>
      </c>
      <c r="C105" s="36" t="inlineStr">
        <is>
          <t>F1 · QA funcional local</t>
        </is>
      </c>
      <c r="D105" s="33" t="inlineStr">
        <is>
          <t>Validación de categoría</t>
        </is>
      </c>
      <c r="E105" s="33" t="inlineStr">
        <is>
          <t>PV-009 · Requiere validación</t>
        </is>
      </c>
      <c r="F105" s="33" t="inlineStr">
        <is>
          <t>Categoría sugerida, confianza</t>
        </is>
      </c>
      <c r="G105" s="33" t="inlineStr">
        <is>
          <t>Cuenta de prueba activa y reseteada (sin deudas ni datos previos del flujo).
Condición de entrada: Categoría sugerida, confianza</t>
        </is>
      </c>
      <c r="H105" s="33" t="n"/>
      <c r="I105" s="33" t="inlineStr">
        <is>
          <t>Presupuesto → modal validación / edición de categoría</t>
        </is>
      </c>
      <c r="J105" s="33" t="inlineStr">
        <is>
          <t>Solicitar confirmación. Usuario: Confirmar/corregir. CTA dominante: Confirmar categoría. Copy/guardrail: Confirma esta categoría — No IA opaca.</t>
        </is>
      </c>
      <c r="K105" s="33" t="inlineStr"/>
      <c r="L105" s="33" t="inlineStr">
        <is>
          <t>Sí</t>
        </is>
      </c>
      <c r="M105" s="34" t="inlineStr"/>
      <c r="N105" s="35" t="inlineStr"/>
      <c r="O105" s="34" t="inlineStr"/>
    </row>
    <row r="106" ht="90" customHeight="1">
      <c r="A106" s="38" t="inlineStr">
        <is>
          <t>M05</t>
        </is>
      </c>
      <c r="B106" s="39" t="inlineStr">
        <is>
          <t>M5-V10</t>
        </is>
      </c>
      <c r="C106" s="36" t="inlineStr">
        <is>
          <t>F1 · QA funcional local</t>
        </is>
      </c>
      <c r="D106" s="33" t="inlineStr">
        <is>
          <t>Histórico y progreso</t>
        </is>
      </c>
      <c r="E106" s="33" t="inlineStr">
        <is>
          <t>PV-010 · Histórico real disponible</t>
        </is>
      </c>
      <c r="F106" s="33" t="inlineStr">
        <is>
          <t>Periodos cerrados, gasto, objetivos, calidad del dato</t>
        </is>
      </c>
      <c r="G106" s="33" t="inlineStr">
        <is>
          <t>Cuenta de prueba activa y reseteada (sin deudas ni datos previos del flujo).
Condición de entrada: Periodos cerrados, gasto, objetivos, calidad del dato</t>
        </is>
      </c>
      <c r="H106" s="33" t="n"/>
      <c r="I106" s="33" t="inlineStr">
        <is>
          <t>Presupuesto → sección Histórico / progreso mensual</t>
        </is>
      </c>
      <c r="J106" s="33" t="inlineStr">
        <is>
          <t>Comparar sin forecast. Usuario: Cambiar periodo cerrado. CTA dominante: Ver periodo. Copy/guardrail: Tu progreso en el tiempo — No forecast.</t>
        </is>
      </c>
      <c r="K106" s="33" t="inlineStr"/>
      <c r="L106" s="33" t="inlineStr">
        <is>
          <t>Sí</t>
        </is>
      </c>
      <c r="M106" s="34" t="inlineStr"/>
      <c r="N106" s="35" t="inlineStr"/>
      <c r="O106" s="34" t="inlineStr"/>
    </row>
    <row r="107" ht="90" customHeight="1">
      <c r="A107" s="38" t="inlineStr">
        <is>
          <t>M05</t>
        </is>
      </c>
      <c r="B107" s="39" t="inlineStr">
        <is>
          <t>M5-V11</t>
        </is>
      </c>
      <c r="C107" s="32" t="inlineStr">
        <is>
          <t>F3 · M02/M03 / superficie</t>
        </is>
      </c>
      <c r="D107" s="33" t="inlineStr">
        <is>
          <t>Home</t>
        </is>
      </c>
      <c r="E107" s="33" t="inlineStr">
        <is>
          <t>PV-011 · Alerta presupuestaria</t>
        </is>
      </c>
      <c r="F107" s="33" t="inlineStr">
        <is>
          <t>Estado presupuesto, umbral</t>
        </is>
      </c>
      <c r="G107" s="33" t="inlineStr">
        <is>
          <t>Cuenta de prueba activa y reseteada (sin deudas ni datos previos del flujo).
⚠ F3: M02/M03 debe estar disponible en el ambiente QA.
Condición de entrada: Estado presupuesto, umbral</t>
        </is>
      </c>
      <c r="H107" s="33" t="n"/>
      <c r="I107" s="33" t="inlineStr">
        <is>
          <t>Pestaña Inicio → bloque / card Presupuesto</t>
        </is>
      </c>
      <c r="J107" s="33" t="inlineStr">
        <is>
          <t>Exponer señal principal. Usuario: Entrar a presupuesto. CTA dominante: Ver presupuesto. Copy/guardrail: Presupuesto por revisar — Home consume señal.</t>
        </is>
      </c>
      <c r="K107" s="33" t="inlineStr">
        <is>
          <t>Ambiente con M02/M03 operativo. Producer payload válido de M05.</t>
        </is>
      </c>
      <c r="L107" s="33" t="inlineStr">
        <is>
          <t>No · requiere env</t>
        </is>
      </c>
      <c r="M107" s="34" t="inlineStr"/>
      <c r="N107" s="35" t="inlineStr"/>
      <c r="O107" s="34" t="inlineStr"/>
    </row>
    <row r="108" ht="90" customHeight="1">
      <c r="A108" s="38" t="inlineStr">
        <is>
          <t>M05</t>
        </is>
      </c>
      <c r="B108" s="39" t="inlineStr">
        <is>
          <t>M5-V12</t>
        </is>
      </c>
      <c r="C108" s="36" t="inlineStr">
        <is>
          <t>F1 · QA funcional local</t>
        </is>
      </c>
      <c r="D108" s="33" t="inlineStr">
        <is>
          <t>Recomendaciones</t>
        </is>
      </c>
      <c r="E108" s="33" t="inlineStr">
        <is>
          <t>PV-012 · Recomendación activa</t>
        </is>
      </c>
      <c r="F108" s="33" t="inlineStr">
        <is>
          <t>Regla, evidencia, vigencia</t>
        </is>
      </c>
      <c r="G108" s="33" t="inlineStr">
        <is>
          <t>Cuenta de prueba activa y reseteada (sin deudas ni datos previos del flujo).
Condición de entrada: Regla, evidencia, vigencia</t>
        </is>
      </c>
      <c r="H108" s="33" t="n"/>
      <c r="I108" s="33" t="inlineStr">
        <is>
          <t>Presupuesto → sección Recomendaciones (canal M02)</t>
        </is>
      </c>
      <c r="J108" s="33" t="inlineStr">
        <is>
          <t>Mostrar recomendación. Usuario: Revisar recomendación. CTA dominante: Ver recomendación. Copy/guardrail: Recomendación basada en tus datos — Usuario decide.</t>
        </is>
      </c>
      <c r="K108" s="33" t="inlineStr"/>
      <c r="L108" s="33" t="inlineStr">
        <is>
          <t>Sí</t>
        </is>
      </c>
      <c r="M108" s="34" t="inlineStr"/>
      <c r="N108" s="35" t="inlineStr"/>
      <c r="O108" s="34" t="inlineStr"/>
    </row>
    <row r="109" ht="90" customHeight="1">
      <c r="A109" s="38" t="inlineStr">
        <is>
          <t>M05</t>
        </is>
      </c>
      <c r="B109" s="39" t="inlineStr">
        <is>
          <t>M5-V13</t>
        </is>
      </c>
      <c r="C109" s="36" t="inlineStr">
        <is>
          <t>F1 · QA funcional local</t>
        </is>
      </c>
      <c r="D109" s="33" t="inlineStr">
        <is>
          <t>Ingesta asistida estructurada</t>
        </is>
      </c>
      <c r="E109" s="33" t="inlineStr">
        <is>
          <t>PV-013 · Input válido</t>
        </is>
      </c>
      <c r="F109" s="33" t="inlineStr">
        <is>
          <t>Texto, voz corta, imagen o archivo con estructura mínima</t>
        </is>
      </c>
      <c r="G109" s="33" t="inlineStr">
        <is>
          <t>Cuenta de prueba activa y reseteada (sin deudas ni datos previos del flujo).
Condición de entrada: Texto, voz corta, imagen o archivo con estructura mínima</t>
        </is>
      </c>
      <c r="H109" s="33" t="n"/>
      <c r="I109" s="33" t="inlineStr">
        <is>
          <t>Presupuesto → flujo Ingresar movimiento / asistente de voz</t>
        </is>
      </c>
      <c r="J109" s="33" t="inlineStr">
        <is>
          <t>Extraer candidato estructurado y calcular confianza. Usuario: Revisar datos extraídos. CTA dominante: Confirmar datos</t>
        </is>
      </c>
      <c r="K109" s="33" t="inlineStr"/>
      <c r="L109" s="33" t="inlineStr">
        <is>
          <t>Sí</t>
        </is>
      </c>
      <c r="M109" s="34" t="inlineStr"/>
      <c r="N109" s="35" t="inlineStr"/>
      <c r="O109" s="34" t="inlineStr"/>
    </row>
    <row r="110" ht="90" customHeight="1">
      <c r="A110" s="38" t="inlineStr">
        <is>
          <t>M05</t>
        </is>
      </c>
      <c r="B110" s="39" t="inlineStr">
        <is>
          <t>M5-V14</t>
        </is>
      </c>
      <c r="C110" s="36" t="inlineStr">
        <is>
          <t>F1 · QA funcional local</t>
        </is>
      </c>
      <c r="D110" s="33" t="inlineStr">
        <is>
          <t>Formato no válido</t>
        </is>
      </c>
      <c r="E110" s="33" t="inlineStr">
        <is>
          <t>PV-014 · Input inválido</t>
        </is>
      </c>
      <c r="F110" s="33" t="inlineStr">
        <is>
          <t>Input sin monto, concepto, estructura financiera o contexto mínimo</t>
        </is>
      </c>
      <c r="G110" s="33" t="inlineStr">
        <is>
          <t>Cuenta de prueba activa y reseteada (sin deudas ni datos previos del flujo).
Condición de entrada: Input sin monto, concepto, estructura financiera o contexto mínimo</t>
        </is>
      </c>
      <c r="H110" s="33" t="n"/>
      <c r="I110" s="33" t="inlineStr">
        <is>
          <t>Presupuesto → carga de archivo → error de formato</t>
        </is>
      </c>
      <c r="J110" s="33" t="inlineStr">
        <is>
          <t>Rechazar interpretación libre y guiar formato. Usuario: Reingresar información. CTA dominante: Reingresar con formato válido. Copy/guardrail: Necesitamos un formato más claro — No interpretar libremente.</t>
        </is>
      </c>
      <c r="K110" s="33" t="inlineStr"/>
      <c r="L110" s="33" t="inlineStr">
        <is>
          <t>Sí</t>
        </is>
      </c>
      <c r="M110" s="34" t="inlineStr"/>
      <c r="N110" s="35" t="inlineStr"/>
      <c r="O110" s="34" t="inlineStr"/>
    </row>
    <row r="111" ht="90" customHeight="1">
      <c r="A111" s="38" t="inlineStr">
        <is>
          <t>M05</t>
        </is>
      </c>
      <c r="B111" s="39" t="inlineStr">
        <is>
          <t>M5-V15</t>
        </is>
      </c>
      <c r="C111" s="36" t="inlineStr">
        <is>
          <t>F1 · QA funcional local</t>
        </is>
      </c>
      <c r="D111" s="33" t="inlineStr">
        <is>
          <t>Extracción pendiente de confirmación</t>
        </is>
      </c>
      <c r="E111" s="33" t="inlineStr">
        <is>
          <t>PV-015 · Datos extraídos con impacto financiero</t>
        </is>
      </c>
      <c r="F111" s="33" t="inlineStr">
        <is>
          <t>Monto, fecha, categoría, glosa o tipo de movimiento extraído</t>
        </is>
      </c>
      <c r="G111" s="33" t="inlineStr">
        <is>
          <t>Cuenta de prueba activa y reseteada (sin deudas ni datos previos del flujo).
Condición de entrada: Monto, fecha, categoría, glosa o tipo de movimiento extraído</t>
        </is>
      </c>
      <c r="H111" s="33" t="n"/>
      <c r="I111" s="33" t="inlineStr">
        <is>
          <t>Presupuesto → movimiento pendiente de confirmación</t>
        </is>
      </c>
      <c r="J111" s="33" t="inlineStr">
        <is>
          <t>Bloquear consolidación hasta confirmación o confianza suficiente. Usuario: Confirmar o corregir extracción. CTA dominante: Confirmar extracción. Copy/guardrail: Confirma estos datos — Usuario decide.</t>
        </is>
      </c>
      <c r="K111" s="33" t="inlineStr"/>
      <c r="L111" s="33" t="inlineStr">
        <is>
          <t>Sí</t>
        </is>
      </c>
      <c r="M111" s="34" t="inlineStr"/>
      <c r="N111" s="35" t="inlineStr"/>
      <c r="O111" s="34" t="inlineStr"/>
    </row>
    <row r="112" ht="90" customHeight="1">
      <c r="A112" s="38" t="inlineStr">
        <is>
          <t>M05</t>
        </is>
      </c>
      <c r="B112" s="39" t="inlineStr">
        <is>
          <t>M5-V16</t>
        </is>
      </c>
      <c r="C112" s="36" t="inlineStr">
        <is>
          <t>F1 · QA funcional local</t>
        </is>
      </c>
      <c r="D112" s="33" t="inlineStr">
        <is>
          <t>Voz demasiado larga o relato libre</t>
        </is>
      </c>
      <c r="E112" s="33" t="inlineStr">
        <is>
          <t>PV-016 · Audio fuera de estándar</t>
        </is>
      </c>
      <c r="F112" s="33" t="inlineStr">
        <is>
          <t>Audio extenso, narrativo o con múltiples ideas no estructuradas</t>
        </is>
      </c>
      <c r="G112" s="33" t="inlineStr">
        <is>
          <t>Cuenta de prueba activa y reseteada (sin deudas ni datos previos del flujo).
Condición de entrada: Audio extenso, narrativo o con múltiples ideas no estructuradas</t>
        </is>
      </c>
      <c r="H112" s="33" t="n"/>
      <c r="I112" s="33" t="inlineStr">
        <is>
          <t>Presupuesto → asistente de voz → error de formato</t>
        </is>
      </c>
      <c r="J112" s="33" t="inlineStr">
        <is>
          <t>Pedir reingreso breve y estructurado. Usuario: Reingresar audio o texto corto. CTA dominante: Reingresar con formato válido. Copy/guardrail: Hazlo más breve — Voz MVP 10 a 15 segundos.</t>
        </is>
      </c>
      <c r="K112" s="33" t="inlineStr"/>
      <c r="L112" s="33" t="inlineStr">
        <is>
          <t>Sí</t>
        </is>
      </c>
      <c r="M112" s="34" t="inlineStr"/>
      <c r="N112" s="35" t="inlineStr"/>
      <c r="O112" s="34" t="inlineStr"/>
    </row>
    <row r="113" ht="90" customHeight="1">
      <c r="A113" s="38" t="inlineStr">
        <is>
          <t>M05</t>
        </is>
      </c>
      <c r="B113" s="39" t="inlineStr">
        <is>
          <t>M5-V17</t>
        </is>
      </c>
      <c r="C113" s="36" t="inlineStr">
        <is>
          <t>F1 · QA funcional local</t>
        </is>
      </c>
      <c r="D113" s="33" t="inlineStr">
        <is>
          <t>Archivo sin estructura financiera</t>
        </is>
      </c>
      <c r="E113" s="33" t="inlineStr">
        <is>
          <t>PV-017 · Archivo ambiguo o no financiero</t>
        </is>
      </c>
      <c r="F113" s="33" t="inlineStr">
        <is>
          <t>Archivo sin tabla, montos, movimientos, ingresos, gastos o compromisos reconocibles</t>
        </is>
      </c>
      <c r="G113" s="33" t="inlineStr">
        <is>
          <t>Cuenta de prueba activa y reseteada (sin deudas ni datos previos del flujo).
Condición de entrada: Archivo sin tabla, montos, movimientos, ingresos, gastos o compromisos reconocibles</t>
        </is>
      </c>
      <c r="H113" s="33" t="n"/>
      <c r="I113" s="33" t="inlineStr">
        <is>
          <t>Presupuesto → carga de archivo → error de contenido</t>
        </is>
      </c>
      <c r="J113" s="33" t="inlineStr">
        <is>
          <t>Rechazar interpretación libre. Usuario: Subir archivo válido. CTA dominante: Subir archivo válido. Copy/guardrail: No encontramos datos claros — No usar LLM libre.</t>
        </is>
      </c>
      <c r="K113" s="33" t="inlineStr"/>
      <c r="L113" s="33" t="inlineStr">
        <is>
          <t>Sí</t>
        </is>
      </c>
      <c r="M113" s="34" t="inlineStr"/>
      <c r="N113" s="35" t="inlineStr"/>
      <c r="O113" s="34" t="inlineStr"/>
    </row>
    <row r="114" ht="90" customHeight="1">
      <c r="A114" s="38" t="inlineStr">
        <is>
          <t>M05</t>
        </is>
      </c>
      <c r="B114" s="39" t="inlineStr">
        <is>
          <t>M5-V18</t>
        </is>
      </c>
      <c r="C114" s="36" t="inlineStr">
        <is>
          <t>F1 · QA funcional local</t>
        </is>
      </c>
      <c r="D114" s="33" t="inlineStr">
        <is>
          <t>Plan de recuperación</t>
        </is>
      </c>
      <c r="E114" s="33" t="inlineStr">
        <is>
          <t>PV-018 · Brecha, sobreconsumo, compra puntual o fuga con impacto</t>
        </is>
      </c>
      <c r="F114" s="33" t="inlineStr">
        <is>
          <t>Brecha, objetivo, gasto real, evidencia y confianza</t>
        </is>
      </c>
      <c r="G114" s="33" t="inlineStr">
        <is>
          <t>Cuenta de prueba activa y reseteada (sin deudas ni datos previos del flujo).
Condición de entrada: Brecha, objetivo, gasto real, evidencia y confianza</t>
        </is>
      </c>
      <c r="H114" s="33" t="n"/>
      <c r="I114" s="33" t="inlineStr">
        <is>
          <t>Presupuesto → sección Plan de recuperación / historial negativo</t>
        </is>
      </c>
      <c r="J114" s="33" t="inlineStr">
        <is>
          <t>Seleccionar estrategia predefinida de recuperación. Usuario: Revisar o aceptar ruta sugerida. CTA dominante: Crear plan de recuperación. Copy/guardrail: Recuperar equilibrio — No asesoría financiera.</t>
        </is>
      </c>
      <c r="K114" s="33" t="inlineStr"/>
      <c r="L114" s="33" t="inlineStr">
        <is>
          <t>Sí</t>
        </is>
      </c>
      <c r="M114" s="34" t="inlineStr"/>
      <c r="N114" s="35" t="inlineStr"/>
      <c r="O114" s="34" t="inlineStr"/>
    </row>
    <row r="115" ht="90" customHeight="1">
      <c r="A115" s="38" t="inlineStr">
        <is>
          <t>M05</t>
        </is>
      </c>
      <c r="B115" s="39" t="inlineStr">
        <is>
          <t>M5-V19</t>
        </is>
      </c>
      <c r="C115" s="37" t="inlineStr">
        <is>
          <t>F2 · Fixture cross-contract</t>
        </is>
      </c>
      <c r="D115" s="33" t="inlineStr">
        <is>
          <t>Derivación Ruta Despeje</t>
        </is>
      </c>
      <c r="E115" s="33" t="inlineStr">
        <is>
          <t>PV-019 · Riesgo deuda, mora, liquidez crítica o capacidad de pago</t>
        </is>
      </c>
      <c r="F115" s="33" t="inlineStr">
        <is>
          <t>Brecha, compromisos, deuda/mora o presión de pago</t>
        </is>
      </c>
      <c r="G115" s="33" t="inlineStr">
        <is>
          <t>Cuenta de prueba activa y reseteada (sin deudas ni datos previos del flujo).
⚠ F2: preparar fixture sintético del contrato upstream antes de iniciar (ver Datos de prueba).
Condición de entrada: Brecha, compromisos, deuda/mora o presión de pago</t>
        </is>
      </c>
      <c r="H115" s="33" t="n"/>
      <c r="I115" s="33" t="inlineStr">
        <is>
          <t>Presupuesto → CTA Ruta Despeje / derivación M04</t>
        </is>
      </c>
      <c r="J115" s="33" t="inlineStr">
        <is>
          <t>Prellenar Ruta Despeje sin aplicar automáticamente. Usuario: Aprobar o descartar derivación. CTA dominante: Ir a Ruta Despeje. Copy/guardrail: Revisar con Ruta Despeje — Prellenado + aprobación.</t>
        </is>
      </c>
      <c r="K115" s="33" t="inlineStr">
        <is>
          <t>Fixture sintético (no requiere documento real).
Formato: CSV o XLSX con los valores del contrato upstream cerrado.
Inyectar al menos: valor positivo · valor cero · NOT_EVALUABLE.</t>
        </is>
      </c>
      <c r="L115" s="33" t="inlineStr">
        <is>
          <t>Sí · con insumo dev</t>
        </is>
      </c>
      <c r="M115" s="34" t="inlineStr"/>
      <c r="N115" s="35" t="inlineStr"/>
      <c r="O115" s="34" t="inlineStr"/>
    </row>
    <row r="116" ht="90" customHeight="1">
      <c r="A116" s="38" t="inlineStr">
        <is>
          <t>M05</t>
        </is>
      </c>
      <c r="B116" s="39" t="inlineStr">
        <is>
          <t>M5-V20</t>
        </is>
      </c>
      <c r="C116" s="32" t="inlineStr">
        <is>
          <t>F3 · M02/M03 / superficie</t>
        </is>
      </c>
      <c r="D116" s="33" t="inlineStr">
        <is>
          <t>Sugerencia foco del mes</t>
        </is>
      </c>
      <c r="E116" s="33" t="inlineStr">
        <is>
          <t>PV-020 · Plan activo con estrategia dominante</t>
        </is>
      </c>
      <c r="F116" s="33" t="inlineStr">
        <is>
          <t>Plan de recuperación activo y foco equivalente aprobado en M2</t>
        </is>
      </c>
      <c r="G116" s="33" t="inlineStr">
        <is>
          <t>Cuenta de prueba activa y reseteada (sin deudas ni datos previos del flujo).
⚠ F3: M02/M03 debe estar disponible en el ambiente QA.
Condición de entrada: Plan de recuperación activo y foco equivalente aprobado en M2</t>
        </is>
      </c>
      <c r="H116" s="33" t="n"/>
      <c r="I116" s="33" t="inlineStr">
        <is>
          <t>Presupuesto → sección Sugerencia / Foco del mes (M02)</t>
        </is>
      </c>
      <c r="J116" s="33" t="inlineStr">
        <is>
          <t>Buscar foco aprobado equivalente en M2. Usuario: Aprobar actualización o mantener foco. CTA dominante: Actualizar foco del mes. Copy/guardrail: Alinear con tu foco — Solo catálogo M2.</t>
        </is>
      </c>
      <c r="K116" s="33" t="inlineStr">
        <is>
          <t>Ambiente con M02/M03 operativo. Producer payload válido de M05.</t>
        </is>
      </c>
      <c r="L116" s="33" t="inlineStr">
        <is>
          <t>No · requiere env</t>
        </is>
      </c>
      <c r="M116" s="34" t="inlineStr"/>
      <c r="N116" s="35" t="inlineStr"/>
      <c r="O116" s="34" t="inlineStr"/>
    </row>
    <row r="117" ht="90" customHeight="1">
      <c r="A117" s="38" t="inlineStr">
        <is>
          <t>M05</t>
        </is>
      </c>
      <c r="B117" s="39" t="inlineStr">
        <is>
          <t>M5-V21</t>
        </is>
      </c>
      <c r="C117" s="36" t="inlineStr">
        <is>
          <t>F1 · QA funcional local</t>
        </is>
      </c>
      <c r="D117" s="33" t="inlineStr">
        <is>
          <t>Umbrales</t>
        </is>
      </c>
      <c r="E117" s="33" t="inlineStr">
        <is>
          <t>Seguimiento informativo 50%-79%</t>
        </is>
      </c>
      <c r="F117" s="33" t="inlineStr">
        <is>
          <t>Avance entre 50% y 79% del objetivo</t>
        </is>
      </c>
      <c r="G117" s="33" t="inlineStr">
        <is>
          <t>Cuenta de prueba activa y reseteada (sin deudas ni datos previos del flujo).
Condición de entrada: Avance entre 50% y 79% del objetivo</t>
        </is>
      </c>
      <c r="H117" s="33" t="n"/>
      <c r="I117" s="33" t="inlineStr">
        <is>
          <t>Presupuesto → indicadores de umbral por categoría (semáforo %)</t>
        </is>
      </c>
      <c r="J117" s="33" t="inlineStr">
        <is>
          <t>Mostrar seguimiento informativo sin dramatizar; no competir con señales de mayor severidad.</t>
        </is>
      </c>
      <c r="K117" s="33" t="inlineStr"/>
      <c r="L117" s="33" t="inlineStr">
        <is>
          <t>Sí</t>
        </is>
      </c>
      <c r="M117" s="34" t="inlineStr"/>
      <c r="N117" s="35" t="inlineStr"/>
      <c r="O117" s="34" t="inlineStr"/>
    </row>
    <row r="118" ht="90" customHeight="1">
      <c r="A118" s="38" t="inlineStr">
        <is>
          <t>M05</t>
        </is>
      </c>
      <c r="B118" s="39" t="inlineStr">
        <is>
          <t>M5-V22</t>
        </is>
      </c>
      <c r="C118" s="36" t="inlineStr">
        <is>
          <t>F1 · QA funcional local</t>
        </is>
      </c>
      <c r="D118" s="33" t="inlineStr">
        <is>
          <t>Umbrales</t>
        </is>
      </c>
      <c r="E118" s="33" t="inlineStr">
        <is>
          <t>Umbral preventivo 80%-89%</t>
        </is>
      </c>
      <c r="F118" s="33" t="inlineStr">
        <is>
          <t>Avance entre 80% y 89% del objetivo</t>
        </is>
      </c>
      <c r="G118" s="33" t="inlineStr">
        <is>
          <t>Cuenta de prueba activa y reseteada (sin deudas ni datos previos del flujo).
Condición de entrada: Avance entre 80% y 89% del objetivo</t>
        </is>
      </c>
      <c r="H118" s="33" t="n"/>
      <c r="I118" s="33" t="inlineStr">
        <is>
          <t>Presupuesto → indicadores de umbral por categoría (semáforo %)</t>
        </is>
      </c>
      <c r="J118" s="33" t="inlineStr">
        <is>
          <t>Mostrar señal preventiva y CTA Revisar categoría.</t>
        </is>
      </c>
      <c r="K118" s="33" t="inlineStr"/>
      <c r="L118" s="33" t="inlineStr">
        <is>
          <t>Sí</t>
        </is>
      </c>
      <c r="M118" s="34" t="inlineStr"/>
      <c r="N118" s="35" t="inlineStr"/>
      <c r="O118" s="34" t="inlineStr"/>
    </row>
    <row r="119" ht="90" customHeight="1">
      <c r="A119" s="38" t="inlineStr">
        <is>
          <t>M05</t>
        </is>
      </c>
      <c r="B119" s="39" t="inlineStr">
        <is>
          <t>M5-V23</t>
        </is>
      </c>
      <c r="C119" s="36" t="inlineStr">
        <is>
          <t>F1 · QA funcional local</t>
        </is>
      </c>
      <c r="D119" s="33" t="inlineStr">
        <is>
          <t>Umbrales</t>
        </is>
      </c>
      <c r="E119" s="33" t="inlineStr">
        <is>
          <t>Umbral advertencia 90%-99%</t>
        </is>
      </c>
      <c r="F119" s="33" t="inlineStr">
        <is>
          <t>Avance entre 90% y 99% del objetivo</t>
        </is>
      </c>
      <c r="G119" s="33" t="inlineStr">
        <is>
          <t>Cuenta de prueba activa y reseteada (sin deudas ni datos previos del flujo).
Condición de entrada: Avance entre 90% y 99% del objetivo</t>
        </is>
      </c>
      <c r="H119" s="33" t="n"/>
      <c r="I119" s="33" t="inlineStr">
        <is>
          <t>Presupuesto → indicadores de umbral por categoría (semáforo %)</t>
        </is>
      </c>
      <c r="J119" s="33" t="inlineStr">
        <is>
          <t>Mostrar advertencia y CTA Revisar presupuesto; no duplicar recomendación si no aporta.</t>
        </is>
      </c>
      <c r="K119" s="33" t="inlineStr"/>
      <c r="L119" s="33" t="inlineStr">
        <is>
          <t>Sí</t>
        </is>
      </c>
      <c r="M119" s="34" t="inlineStr"/>
      <c r="N119" s="35" t="inlineStr"/>
      <c r="O119" s="34" t="inlineStr"/>
    </row>
    <row r="120" ht="90" customHeight="1">
      <c r="A120" s="38" t="inlineStr">
        <is>
          <t>M05</t>
        </is>
      </c>
      <c r="B120" s="39" t="inlineStr">
        <is>
          <t>M5-V24</t>
        </is>
      </c>
      <c r="C120" s="36" t="inlineStr">
        <is>
          <t>F1 · QA funcional local</t>
        </is>
      </c>
      <c r="D120" s="33" t="inlineStr">
        <is>
          <t>Umbrales</t>
        </is>
      </c>
      <c r="E120" s="33" t="inlineStr">
        <is>
          <t>Límite alcanzado 100%</t>
        </is>
      </c>
      <c r="F120" s="33" t="inlineStr">
        <is>
          <t>Gasto real igual al objetivo</t>
        </is>
      </c>
      <c r="G120" s="33" t="inlineStr">
        <is>
          <t>Cuenta de prueba activa y reseteada (sin deudas ni datos previos del flujo).
Condición de entrada: Gasto real igual al objetivo</t>
        </is>
      </c>
      <c r="H120" s="33" t="n"/>
      <c r="I120" s="33" t="inlineStr">
        <is>
          <t>Presupuesto → indicadores de umbral por categoría (semáforo %)</t>
        </is>
      </c>
      <c r="J120" s="33" t="inlineStr">
        <is>
          <t>Mostrar límite alcanzado; CTA Revisar categoría / Ajustar objetivo; no reasignar automáticamente.</t>
        </is>
      </c>
      <c r="K120" s="33" t="inlineStr"/>
      <c r="L120" s="33" t="inlineStr">
        <is>
          <t>Sí</t>
        </is>
      </c>
      <c r="M120" s="34" t="inlineStr"/>
      <c r="N120" s="35" t="inlineStr"/>
      <c r="O120" s="34" t="inlineStr"/>
    </row>
    <row r="121" ht="90" customHeight="1">
      <c r="A121" s="38" t="inlineStr">
        <is>
          <t>M05</t>
        </is>
      </c>
      <c r="B121" s="39" t="inlineStr">
        <is>
          <t>M5-V25</t>
        </is>
      </c>
      <c r="C121" s="36" t="inlineStr">
        <is>
          <t>F1 · QA funcional local</t>
        </is>
      </c>
      <c r="D121" s="33" t="inlineStr">
        <is>
          <t>Umbrales</t>
        </is>
      </c>
      <c r="E121" s="33" t="inlineStr">
        <is>
          <t>Sobreconsumo &gt;100%</t>
        </is>
      </c>
      <c r="F121" s="33" t="inlineStr">
        <is>
          <t>Gasto real supera el objetivo</t>
        </is>
      </c>
      <c r="G121" s="33" t="inlineStr">
        <is>
          <t>Cuenta de prueba activa y reseteada (sin deudas ni datos previos del flujo).
Condición de entrada: Gasto real supera el objetivo</t>
        </is>
      </c>
      <c r="H121" s="33" t="n"/>
      <c r="I121" s="33" t="inlineStr">
        <is>
          <t>Presupuesto → indicadores de umbral por categoría (semáforo %)</t>
        </is>
      </c>
      <c r="J121" s="33" t="inlineStr">
        <is>
          <t>Mostrar sobreconsumo con evidencia y CTA Revisar movimientos.</t>
        </is>
      </c>
      <c r="K121" s="33" t="inlineStr"/>
      <c r="L121" s="33" t="inlineStr">
        <is>
          <t>Sí</t>
        </is>
      </c>
      <c r="M121" s="34" t="inlineStr"/>
      <c r="N121" s="35" t="inlineStr"/>
      <c r="O121" s="34" t="inlineStr"/>
    </row>
    <row r="122" ht="90" customHeight="1">
      <c r="A122" s="38" t="inlineStr">
        <is>
          <t>M05</t>
        </is>
      </c>
      <c r="B122" s="39" t="inlineStr">
        <is>
          <t>M5-V26</t>
        </is>
      </c>
      <c r="C122" s="36" t="inlineStr">
        <is>
          <t>F1 · QA funcional local</t>
        </is>
      </c>
      <c r="D122" s="33" t="inlineStr">
        <is>
          <t>Umbrales</t>
        </is>
      </c>
      <c r="E122" s="33" t="inlineStr">
        <is>
          <t>Sobreconsumo alto &gt;=110%</t>
        </is>
      </c>
      <c r="F122" s="33" t="inlineStr">
        <is>
          <t>Gasto real alcanza o supera 110% del objetivo</t>
        </is>
      </c>
      <c r="G122" s="33" t="inlineStr">
        <is>
          <t>Cuenta de prueba activa y reseteada (sin deudas ni datos previos del flujo).
Condición de entrada: Gasto real alcanza o supera 110% del objetivo</t>
        </is>
      </c>
      <c r="H122" s="33" t="n"/>
      <c r="I122" s="33" t="inlineStr">
        <is>
          <t>Presupuesto → indicadores de umbral por categoría (semáforo %)</t>
        </is>
      </c>
      <c r="J122" s="33" t="inlineStr">
        <is>
          <t>Elevar prioridad conforme regla producto; mantener baja confianza dominante y acción revisable.</t>
        </is>
      </c>
      <c r="K122" s="33" t="inlineStr"/>
      <c r="L122" s="33" t="inlineStr">
        <is>
          <t>Sí</t>
        </is>
      </c>
      <c r="M122" s="34" t="inlineStr"/>
      <c r="N122" s="35" t="inlineStr"/>
      <c r="O122" s="34" t="inlineStr"/>
    </row>
    <row r="123" ht="90" customHeight="1">
      <c r="A123" s="38" t="inlineStr">
        <is>
          <t>M05</t>
        </is>
      </c>
      <c r="B123" s="39" t="inlineStr">
        <is>
          <t>M5-V27</t>
        </is>
      </c>
      <c r="C123" s="36" t="inlineStr">
        <is>
          <t>F1 · QA funcional local</t>
        </is>
      </c>
      <c r="D123" s="33" t="inlineStr">
        <is>
          <t>Patrones de gasto</t>
        </is>
      </c>
      <c r="E123" s="33" t="inlineStr">
        <is>
          <t>Gasto hormiga / fuga</t>
        </is>
      </c>
      <c r="F123" s="33" t="inlineStr">
        <is>
          <t>Patrón recurrente o drenante con exclusiones aplicadas</t>
        </is>
      </c>
      <c r="G123" s="33" t="inlineStr">
        <is>
          <t>Cuenta de prueba activa y reseteada (sin deudas ni datos previos del flujo).
Condición de entrada: Patrón recurrente o drenante con exclusiones aplicadas</t>
        </is>
      </c>
      <c r="H123" s="33" t="n"/>
      <c r="I123" s="33" t="inlineStr">
        <is>
          <t>Presupuesto → sección Patrones de gasto</t>
        </is>
      </c>
      <c r="J123" s="33" t="inlineStr">
        <is>
          <t>Mostrar card/insight con evidencia; no definir fuga solo por monto bajo.</t>
        </is>
      </c>
      <c r="K123" s="33" t="inlineStr"/>
      <c r="L123" s="33" t="inlineStr">
        <is>
          <t>Sí</t>
        </is>
      </c>
      <c r="M123" s="34" t="inlineStr"/>
      <c r="N123" s="35" t="inlineStr"/>
      <c r="O123" s="34" t="inlineStr"/>
    </row>
    <row r="124" ht="90" customHeight="1">
      <c r="A124" s="38" t="inlineStr">
        <is>
          <t>M05</t>
        </is>
      </c>
      <c r="B124" s="39" t="inlineStr">
        <is>
          <t>M5-V28</t>
        </is>
      </c>
      <c r="C124" s="36" t="inlineStr">
        <is>
          <t>F1 · QA funcional local</t>
        </is>
      </c>
      <c r="D124" s="33" t="inlineStr">
        <is>
          <t>Margen estimado</t>
        </is>
      </c>
      <c r="E124" s="33" t="inlineStr">
        <is>
          <t>Margen estimado como ahorro</t>
        </is>
      </c>
      <c r="F124" s="33" t="inlineStr">
        <is>
          <t>Subejecución coincide con mejora de capacidad de ahorro</t>
        </is>
      </c>
      <c r="G124" s="33" t="inlineStr">
        <is>
          <t>Cuenta de prueba activa y reseteada (sin deudas ni datos previos del flujo).
Condición de entrada: Subejecución coincide con mejora de capacidad de ahorro</t>
        </is>
      </c>
      <c r="H124" s="33" t="n"/>
      <c r="I124" s="33" t="inlineStr">
        <is>
          <t>Presupuesto → bloque Disponible / Margen estimado</t>
        </is>
      </c>
      <c r="J124" s="33" t="inlineStr">
        <is>
          <t>Mostrar hipótesis prudente de contribución a ahorro; no afirmar causalidad absoluta.</t>
        </is>
      </c>
      <c r="K124" s="33" t="inlineStr"/>
      <c r="L124" s="33" t="inlineStr">
        <is>
          <t>Sí</t>
        </is>
      </c>
      <c r="M124" s="34" t="inlineStr"/>
      <c r="N124" s="35" t="inlineStr"/>
      <c r="O124" s="34" t="inlineStr"/>
    </row>
    <row r="125" ht="90" customHeight="1">
      <c r="A125" s="38" t="inlineStr">
        <is>
          <t>M05</t>
        </is>
      </c>
      <c r="B125" s="39" t="inlineStr">
        <is>
          <t>M5-V29</t>
        </is>
      </c>
      <c r="C125" s="36" t="inlineStr">
        <is>
          <t>F1 · QA funcional local</t>
        </is>
      </c>
      <c r="D125" s="33" t="inlineStr">
        <is>
          <t>Margen estimado</t>
        </is>
      </c>
      <c r="E125" s="33" t="inlineStr">
        <is>
          <t>Margen absorbido por otra categoría</t>
        </is>
      </c>
      <c r="F125" s="33" t="inlineStr">
        <is>
          <t>Otra categoría aumenta de forma comparable a la subejecución</t>
        </is>
      </c>
      <c r="G125" s="33" t="inlineStr">
        <is>
          <t>Cuenta de prueba activa y reseteada (sin deudas ni datos previos del flujo).
Condición de entrada: Otra categoría aumenta de forma comparable a la subejecución</t>
        </is>
      </c>
      <c r="H125" s="33" t="n"/>
      <c r="I125" s="33" t="inlineStr">
        <is>
          <t>Presupuesto → bloque Disponible / Margen estimado</t>
        </is>
      </c>
      <c r="J125" s="33" t="inlineStr">
        <is>
          <t>Mostrar como hipótesis de desplazamiento y permitir revisar categoría crítica.</t>
        </is>
      </c>
      <c r="K125" s="33" t="inlineStr"/>
      <c r="L125" s="33" t="inlineStr">
        <is>
          <t>Sí</t>
        </is>
      </c>
      <c r="M125" s="34" t="inlineStr"/>
      <c r="N125" s="35" t="inlineStr"/>
      <c r="O125" s="34" t="inlineStr"/>
    </row>
    <row r="126" ht="90" customHeight="1">
      <c r="A126" s="38" t="inlineStr">
        <is>
          <t>M05</t>
        </is>
      </c>
      <c r="B126" s="39" t="inlineStr">
        <is>
          <t>M5-V30</t>
        </is>
      </c>
      <c r="C126" s="37" t="inlineStr">
        <is>
          <t>F2 · Fixture cross-contract</t>
        </is>
      </c>
      <c r="D126" s="33" t="inlineStr">
        <is>
          <t>Margen estimado</t>
        </is>
      </c>
      <c r="E126" s="33" t="inlineStr">
        <is>
          <t>Margen destinado a pagos</t>
        </is>
      </c>
      <c r="F126" s="33" t="inlineStr">
        <is>
          <t>Existe compromiso, fecha o recurrencia asociada</t>
        </is>
      </c>
      <c r="G126" s="33" t="inlineStr">
        <is>
          <t>Cuenta de prueba activa y reseteada (sin deudas ni datos previos del flujo).
⚠ F2: preparar fixture sintético del contrato upstream antes de iniciar (ver Datos de prueba).
Condición de entrada: Existe compromiso, fecha o recurrencia asociada</t>
        </is>
      </c>
      <c r="H126" s="33" t="n"/>
      <c r="I126" s="33" t="inlineStr">
        <is>
          <t>Presupuesto → bloque Disponible / Margen estimado</t>
        </is>
      </c>
      <c r="J126" s="33" t="inlineStr">
        <is>
          <t>Derivar señal a Pagos únicamente con condición explícita; M5 conserva lectura presupuestaria.</t>
        </is>
      </c>
      <c r="K126" s="33" t="inlineStr">
        <is>
          <t>Fixture sintético (no requiere documento real).
Formato: CSV o XLSX con los valores del contrato upstream cerrado.
Inyectar al menos: valor positivo · valor cero · NOT_EVALUABLE.</t>
        </is>
      </c>
      <c r="L126" s="33" t="inlineStr">
        <is>
          <t>Sí · con insumo dev</t>
        </is>
      </c>
      <c r="M126" s="34" t="inlineStr"/>
      <c r="N126" s="35" t="inlineStr"/>
      <c r="O126" s="34" t="inlineStr"/>
    </row>
    <row r="127" ht="90" customHeight="1">
      <c r="A127" s="38" t="inlineStr">
        <is>
          <t>M05</t>
        </is>
      </c>
      <c r="B127" s="39" t="inlineStr">
        <is>
          <t>M5-V31</t>
        </is>
      </c>
      <c r="C127" s="37" t="inlineStr">
        <is>
          <t>F2 · Fixture cross-contract</t>
        </is>
      </c>
      <c r="D127" s="33" t="inlineStr">
        <is>
          <t>Margen estimado</t>
        </is>
      </c>
      <c r="E127" s="33" t="inlineStr">
        <is>
          <t>Margen asociado a deuda/mora</t>
        </is>
      </c>
      <c r="F127" s="33" t="inlineStr">
        <is>
          <t>Existe mora, atraso problemático o deuda mala</t>
        </is>
      </c>
      <c r="G127" s="33" t="inlineStr">
        <is>
          <t>Cuenta de prueba activa y reseteada (sin deudas ni datos previos del flujo).
⚠ F2: preparar fixture sintético del contrato upstream antes de iniciar (ver Datos de prueba).
Condición de entrada: Existe mora, atraso problemático o deuda mala</t>
        </is>
      </c>
      <c r="H127" s="33" t="n"/>
      <c r="I127" s="33" t="inlineStr">
        <is>
          <t>Presupuesto → bloque Disponible / Margen estimado</t>
        </is>
      </c>
      <c r="J127" s="33" t="inlineStr">
        <is>
          <t>Derivar a Módulo 4 solo con condición explícita; no activar plan automáticamente.</t>
        </is>
      </c>
      <c r="K127" s="33" t="inlineStr">
        <is>
          <t>Fixture sintético (no requiere documento real).
Formato: CSV o XLSX con los valores del contrato upstream cerrado.
Inyectar al menos: valor positivo · valor cero · NOT_EVALUABLE.</t>
        </is>
      </c>
      <c r="L127" s="33" t="inlineStr">
        <is>
          <t>Sí · con insumo dev</t>
        </is>
      </c>
      <c r="M127" s="34" t="inlineStr"/>
      <c r="N127" s="35" t="inlineStr"/>
      <c r="O127" s="34" t="inlineStr"/>
    </row>
    <row r="128" ht="90" customHeight="1">
      <c r="A128" s="38" t="inlineStr">
        <is>
          <t>M05</t>
        </is>
      </c>
      <c r="B128" s="39" t="inlineStr">
        <is>
          <t>M5-V32</t>
        </is>
      </c>
      <c r="C128" s="36" t="inlineStr">
        <is>
          <t>F1 · QA funcional local</t>
        </is>
      </c>
      <c r="D128" s="33" t="inlineStr">
        <is>
          <t>Margen estimado</t>
        </is>
      </c>
      <c r="E128" s="33" t="inlineStr">
        <is>
          <t>Sin explicación suficiente</t>
        </is>
      </c>
      <c r="F128" s="33" t="inlineStr">
        <is>
          <t>No hay evidencia suficiente para estimar destino del margen</t>
        </is>
      </c>
      <c r="G128" s="33" t="inlineStr">
        <is>
          <t>Cuenta de prueba activa y reseteada (sin deudas ni datos previos del flujo).
Condición de entrada: No hay evidencia suficiente para estimar destino del margen</t>
        </is>
      </c>
      <c r="H128" s="33" t="n"/>
      <c r="I128" s="33" t="inlineStr">
        <is>
          <t>Presupuesto → bloque Disponible / Margen estimado</t>
        </is>
      </c>
      <c r="J128" s="33" t="inlineStr">
        <is>
          <t>No concluir; mostrar baja confianza y CTA Completar datos.</t>
        </is>
      </c>
      <c r="K128" s="33" t="inlineStr"/>
      <c r="L128" s="33" t="inlineStr">
        <is>
          <t>Sí</t>
        </is>
      </c>
      <c r="M128" s="34" t="inlineStr"/>
      <c r="N128" s="35" t="inlineStr"/>
      <c r="O128" s="34" t="inlineStr"/>
    </row>
    <row r="129" ht="90" customHeight="1">
      <c r="A129" s="38" t="inlineStr">
        <is>
          <t>M05</t>
        </is>
      </c>
      <c r="B129" s="39" t="inlineStr">
        <is>
          <t>M5-V33</t>
        </is>
      </c>
      <c r="C129" s="32" t="inlineStr">
        <is>
          <t>F3 · M02/M03 / superficie</t>
        </is>
      </c>
      <c r="D129" s="33" t="inlineStr">
        <is>
          <t>Perfil Financiero</t>
        </is>
      </c>
      <c r="E129" s="33" t="inlineStr">
        <is>
          <t>Perfil consume calidad/completitud</t>
        </is>
      </c>
      <c r="F129" s="33" t="inlineStr">
        <is>
          <t>Existe dato incompleto o baja confianza persistente</t>
        </is>
      </c>
      <c r="G129" s="33" t="inlineStr">
        <is>
          <t>Cuenta de prueba activa y reseteada (sin deudas ni datos previos del flujo).
⚠ F3: M02/M03 debe estar disponible en el ambiente QA.
Condición de entrada: Existe dato incompleto o baja confianza persistente</t>
        </is>
      </c>
      <c r="H129" s="33" t="n"/>
      <c r="I129" s="33" t="inlineStr">
        <is>
          <t>Perfil → Perfil Financiero → sección Presupuesto</t>
        </is>
      </c>
      <c r="J129" s="33" t="inlineStr">
        <is>
          <t>Perfil puede mostrar completitud/calidad y CTA Completar datos, pero no editar el presupuesto.</t>
        </is>
      </c>
      <c r="K129" s="33" t="inlineStr">
        <is>
          <t>Ambiente con M02/M03 operativo. Producer payload válido de M05.</t>
        </is>
      </c>
      <c r="L129" s="33" t="inlineStr">
        <is>
          <t>No · requiere env</t>
        </is>
      </c>
      <c r="M129" s="34" t="inlineStr"/>
      <c r="N129" s="35" t="inlineStr"/>
      <c r="O129" s="34" t="inlineStr"/>
    </row>
    <row r="130" ht="90" customHeight="1">
      <c r="A130" s="38" t="inlineStr">
        <is>
          <t>M05</t>
        </is>
      </c>
      <c r="B130" s="39" t="inlineStr">
        <is>
          <t>M5-V34</t>
        </is>
      </c>
      <c r="C130" s="32" t="inlineStr">
        <is>
          <t>F3 · M02/M03 / superficie</t>
        </is>
      </c>
      <c r="D130" s="33" t="inlineStr">
        <is>
          <t>Alertas</t>
        </is>
      </c>
      <c r="E130" s="33" t="inlineStr">
        <is>
          <t>Alertas consume umbral</t>
        </is>
      </c>
      <c r="F130" s="33" t="inlineStr">
        <is>
          <t>Umbral o sobreconsumo activo y severidad cumple regla de alerta</t>
        </is>
      </c>
      <c r="G130" s="33" t="inlineStr">
        <is>
          <t>Cuenta de prueba activa y reseteada (sin deudas ni datos previos del flujo).
⚠ F3: M02/M03 debe estar disponible en el ambiente QA.
Condición de entrada: Umbral o sobreconsumo activo y severidad cumple regla de alerta</t>
        </is>
      </c>
      <c r="H130" s="33" t="n"/>
      <c r="I130" s="33" t="inlineStr">
        <is>
          <t>Notificaciones / canal M02 → alertas M05</t>
        </is>
      </c>
      <c r="J130" s="33" t="inlineStr">
        <is>
          <t>Mostrar alerta priorizada con CTA Revisar presupuesto; evitar duplicidad con recomendación.</t>
        </is>
      </c>
      <c r="K130" s="33" t="inlineStr">
        <is>
          <t>Ambiente con M02/M03 operativo. Producer payload válido de M05.</t>
        </is>
      </c>
      <c r="L130" s="33" t="inlineStr">
        <is>
          <t>No · requiere env</t>
        </is>
      </c>
      <c r="M130" s="34" t="inlineStr"/>
      <c r="N130" s="35" t="inlineStr"/>
      <c r="O130" s="34" t="inlineStr"/>
    </row>
    <row r="131" ht="90" customHeight="1">
      <c r="A131" s="40" t="inlineStr">
        <is>
          <t>M06</t>
        </is>
      </c>
      <c r="B131" s="41" t="inlineStr">
        <is>
          <t>M6-V01</t>
        </is>
      </c>
      <c r="C131" s="36" t="inlineStr">
        <is>
          <t>F1 · QA funcional local</t>
        </is>
      </c>
      <c r="D131" s="33" t="inlineStr">
        <is>
          <t>Pagos / Hub</t>
        </is>
      </c>
      <c r="E131" s="33" t="inlineStr">
        <is>
          <t>Sin pagos registrados</t>
        </is>
      </c>
      <c r="F131" s="33" t="inlineStr">
        <is>
          <t>Usuario no tiene cuentas por pagar registradas</t>
        </is>
      </c>
      <c r="G131" s="33" t="inlineStr">
        <is>
          <t>Cuenta de prueba activa y reseteada (sin deudas ni datos previos del flujo).
Condición de entrada: Usuario no tiene cuentas por pagar registradas</t>
        </is>
      </c>
      <c r="H131" s="33" t="n"/>
      <c r="I131" s="33" t="inlineStr">
        <is>
          <t>Pestaña Pagos → listado principal de pagos (Hub)</t>
        </is>
      </c>
      <c r="J131" s="33" t="inlineStr">
        <is>
          <t>Mostrar empty state orientativo y CTA Registrar cuenta por pagar, sin presión artificial.</t>
        </is>
      </c>
      <c r="K131" s="33" t="inlineStr"/>
      <c r="L131" s="33" t="inlineStr">
        <is>
          <t>Sí</t>
        </is>
      </c>
      <c r="M131" s="34" t="inlineStr"/>
      <c r="N131" s="35" t="inlineStr"/>
      <c r="O131" s="34" t="inlineStr"/>
    </row>
    <row r="132" ht="90" customHeight="1">
      <c r="A132" s="40" t="inlineStr">
        <is>
          <t>M06</t>
        </is>
      </c>
      <c r="B132" s="41" t="inlineStr">
        <is>
          <t>M6-V02</t>
        </is>
      </c>
      <c r="C132" s="36" t="inlineStr">
        <is>
          <t>F1 · QA funcional local</t>
        </is>
      </c>
      <c r="D132" s="33" t="inlineStr">
        <is>
          <t>Pagos / Hub</t>
        </is>
      </c>
      <c r="E132" s="33" t="inlineStr">
        <is>
          <t>Consolidado con pagos en distintos estados</t>
        </is>
      </c>
      <c r="F132" s="33" t="inlineStr">
        <is>
          <t>Existen compromisos registrados o detectados</t>
        </is>
      </c>
      <c r="G132" s="33" t="inlineStr">
        <is>
          <t>Cuenta de prueba activa y reseteada (sin deudas ni datos previos del flujo).
Condición de entrada: Existen compromisos registrados o detectados</t>
        </is>
      </c>
      <c r="H132" s="33" t="n"/>
      <c r="I132" s="33" t="inlineStr">
        <is>
          <t>Pestaña Pagos → listado principal de pagos (Hub)</t>
        </is>
      </c>
      <c r="J132" s="33" t="inlineStr">
        <is>
          <t>Mostrar una superficie Pagos o equivalente que permita distinguir Pendiente, Próximo, Vencido, Pagado, Detectado, Revisión, recurrencia y duplicidad con acciones seguras.</t>
        </is>
      </c>
      <c r="K132" s="33" t="inlineStr"/>
      <c r="L132" s="33" t="inlineStr">
        <is>
          <t>Sí</t>
        </is>
      </c>
      <c r="M132" s="34" t="inlineStr"/>
      <c r="N132" s="35" t="inlineStr"/>
      <c r="O132" s="34" t="inlineStr"/>
    </row>
    <row r="133" ht="90" customHeight="1">
      <c r="A133" s="40" t="inlineStr">
        <is>
          <t>M06</t>
        </is>
      </c>
      <c r="B133" s="41" t="inlineStr">
        <is>
          <t>M6-V03</t>
        </is>
      </c>
      <c r="C133" s="36" t="inlineStr">
        <is>
          <t>F1 · QA funcional local</t>
        </is>
      </c>
      <c r="D133" s="33" t="inlineStr">
        <is>
          <t>Pagos / Detalle</t>
        </is>
      </c>
      <c r="E133" s="33" t="inlineStr">
        <is>
          <t>Revisar detalle de pago</t>
        </is>
      </c>
      <c r="F133" s="33" t="inlineStr">
        <is>
          <t>Usuario abre Ver detalle / Revisar pago</t>
        </is>
      </c>
      <c r="G133" s="33" t="inlineStr">
        <is>
          <t>Cuenta de prueba activa y reseteada (sin deudas ni datos previos del flujo).
Condición de entrada: Usuario abre Ver detalle / Revisar pago</t>
        </is>
      </c>
      <c r="H133" s="33" t="n"/>
      <c r="I133" s="33" t="inlineStr">
        <is>
          <t>Pagos → card pago → Ver detalle</t>
        </is>
      </c>
      <c r="J133" s="33" t="inlineStr">
        <is>
          <t>Mostrar estado, fecha, monto, origen, relación y acciones seguras; no representar checkout ni confirmación bancaria.</t>
        </is>
      </c>
      <c r="K133" s="33" t="inlineStr"/>
      <c r="L133" s="33" t="inlineStr">
        <is>
          <t>Sí</t>
        </is>
      </c>
      <c r="M133" s="34" t="inlineStr"/>
      <c r="N133" s="35" t="inlineStr"/>
      <c r="O133" s="34" t="inlineStr"/>
    </row>
    <row r="134" ht="90" customHeight="1">
      <c r="A134" s="40" t="inlineStr">
        <is>
          <t>M06</t>
        </is>
      </c>
      <c r="B134" s="41" t="inlineStr">
        <is>
          <t>M6-V04</t>
        </is>
      </c>
      <c r="C134" s="36" t="inlineStr">
        <is>
          <t>F1 · QA funcional local</t>
        </is>
      </c>
      <c r="D134" s="33" t="inlineStr">
        <is>
          <t>Alta manual</t>
        </is>
      </c>
      <c r="E134" s="33" t="inlineStr">
        <is>
          <t>Registro completo</t>
        </is>
      </c>
      <c r="F134" s="33" t="inlineStr">
        <is>
          <t>Usuario ingresa descripción y fecha de vencimiento</t>
        </is>
      </c>
      <c r="G134" s="33" t="inlineStr">
        <is>
          <t>Cuenta de prueba activa y reseteada (sin deudas ni datos previos del flujo).
Condición de entrada: Usuario ingresa descripción y fecha de vencimiento</t>
        </is>
      </c>
      <c r="H134" s="33" t="n"/>
      <c r="I134" s="33" t="inlineStr">
        <is>
          <t>Pagos → botón + Registrar pago → formulario alta manual</t>
        </is>
      </c>
      <c r="J134" s="33" t="inlineStr">
        <is>
          <t>Crear cuenta activa en estado Pendiente, conservar origen manual y no ejecutar pago.</t>
        </is>
      </c>
      <c r="K134" s="33" t="inlineStr"/>
      <c r="L134" s="33" t="inlineStr">
        <is>
          <t>Sí</t>
        </is>
      </c>
      <c r="M134" s="34" t="inlineStr"/>
      <c r="N134" s="35" t="inlineStr"/>
      <c r="O134" s="34" t="inlineStr"/>
    </row>
    <row r="135" ht="90" customHeight="1">
      <c r="A135" s="40" t="inlineStr">
        <is>
          <t>M06</t>
        </is>
      </c>
      <c r="B135" s="41" t="inlineStr">
        <is>
          <t>M6-V05</t>
        </is>
      </c>
      <c r="C135" s="36" t="inlineStr">
        <is>
          <t>F1 · QA funcional local</t>
        </is>
      </c>
      <c r="D135" s="33" t="inlineStr">
        <is>
          <t>Alta manual</t>
        </is>
      </c>
      <c r="E135" s="33" t="inlineStr">
        <is>
          <t>Registro incompleto</t>
        </is>
      </c>
      <c r="F135" s="33" t="inlineStr">
        <is>
          <t>Falta descripción o fecha de vencimiento</t>
        </is>
      </c>
      <c r="G135" s="33" t="inlineStr">
        <is>
          <t>Cuenta de prueba activa y reseteada (sin deudas ni datos previos del flujo).
Condición de entrada: Falta descripción o fecha de vencimiento</t>
        </is>
      </c>
      <c r="H135" s="33" t="n"/>
      <c r="I135" s="33" t="inlineStr">
        <is>
          <t>Pagos → botón + Registrar pago → formulario alta manual</t>
        </is>
      </c>
      <c r="J135" s="33" t="inlineStr">
        <is>
          <t>Mantener Borrador / Sin datos suficientes; CTA Completar datos; no gatillar alerta fuerte.</t>
        </is>
      </c>
      <c r="K135" s="33" t="inlineStr"/>
      <c r="L135" s="33" t="inlineStr">
        <is>
          <t>Sí</t>
        </is>
      </c>
      <c r="M135" s="34" t="inlineStr"/>
      <c r="N135" s="35" t="inlineStr"/>
      <c r="O135" s="34" t="inlineStr"/>
    </row>
    <row r="136" ht="90" customHeight="1">
      <c r="A136" s="40" t="inlineStr">
        <is>
          <t>M06</t>
        </is>
      </c>
      <c r="B136" s="41" t="inlineStr">
        <is>
          <t>M6-V06</t>
        </is>
      </c>
      <c r="C136" s="36" t="inlineStr">
        <is>
          <t>F1 · QA funcional local</t>
        </is>
      </c>
      <c r="D136" s="33" t="inlineStr">
        <is>
          <t>Alta manual</t>
        </is>
      </c>
      <c r="E136" s="33" t="inlineStr">
        <is>
          <t>Monto ausente</t>
        </is>
      </c>
      <c r="F136" s="33" t="inlineStr">
        <is>
          <t>Descripción y fecha existen, pero falta monto</t>
        </is>
      </c>
      <c r="G136" s="33" t="inlineStr">
        <is>
          <t>Cuenta de prueba activa y reseteada (sin deudas ni datos previos del flujo).
Condición de entrada: Descripción y fecha existen, pero falta monto</t>
        </is>
      </c>
      <c r="H136" s="33" t="n"/>
      <c r="I136" s="33" t="inlineStr">
        <is>
          <t>Pagos → botón + Registrar pago → formulario alta manual</t>
        </is>
      </c>
      <c r="J136" s="33" t="inlineStr">
        <is>
          <t>La cuenta puede existir, pero el impacto económico no debe elevarse a severidad crítica solo por monto ausente.</t>
        </is>
      </c>
      <c r="K136" s="33" t="inlineStr"/>
      <c r="L136" s="33" t="inlineStr">
        <is>
          <t>Sí</t>
        </is>
      </c>
      <c r="M136" s="34" t="inlineStr"/>
      <c r="N136" s="35" t="inlineStr"/>
      <c r="O136" s="34" t="inlineStr"/>
    </row>
    <row r="137" ht="90" customHeight="1">
      <c r="A137" s="40" t="inlineStr">
        <is>
          <t>M06</t>
        </is>
      </c>
      <c r="B137" s="41" t="inlineStr">
        <is>
          <t>M6-V07</t>
        </is>
      </c>
      <c r="C137" s="36" t="inlineStr">
        <is>
          <t>F1 · QA funcional local</t>
        </is>
      </c>
      <c r="D137" s="33" t="inlineStr">
        <is>
          <t>Candidato detectado</t>
        </is>
      </c>
      <c r="E137" s="33" t="inlineStr">
        <is>
          <t>Crear candidato, no cuenta confirmada</t>
        </is>
      </c>
      <c r="F137" s="33" t="inlineStr">
        <is>
          <t>Captura, ingesta, glosa, documento, cartola o patrón sugiere un pago</t>
        </is>
      </c>
      <c r="G137" s="33" t="inlineStr">
        <is>
          <t>Cuenta de prueba activa y reseteada (sin deudas ni datos previos del flujo).
Condición de entrada: Captura, ingesta, glosa, documento, cartola o patrón sugiere un pago</t>
        </is>
      </c>
      <c r="H137" s="33" t="n"/>
      <c r="I137" s="33" t="inlineStr">
        <is>
          <t>Pagos → card pago probable / candidato detectado</t>
        </is>
      </c>
      <c r="J137" s="33" t="inlineStr">
        <is>
          <t>Crear estado Detectado con origen/confianza; no consolidar automáticamente.</t>
        </is>
      </c>
      <c r="K137" s="33" t="inlineStr"/>
      <c r="L137" s="33" t="inlineStr">
        <is>
          <t>Sí</t>
        </is>
      </c>
      <c r="M137" s="34" t="inlineStr"/>
      <c r="N137" s="35" t="inlineStr"/>
      <c r="O137" s="34" t="inlineStr"/>
    </row>
    <row r="138" ht="90" customHeight="1">
      <c r="A138" s="40" t="inlineStr">
        <is>
          <t>M06</t>
        </is>
      </c>
      <c r="B138" s="41" t="inlineStr">
        <is>
          <t>M6-V08</t>
        </is>
      </c>
      <c r="C138" s="36" t="inlineStr">
        <is>
          <t>F1 · QA funcional local</t>
        </is>
      </c>
      <c r="D138" s="33" t="inlineStr">
        <is>
          <t>Candidato detectado</t>
        </is>
      </c>
      <c r="E138" s="33" t="inlineStr">
        <is>
          <t>Confirmar cuenta detectada</t>
        </is>
      </c>
      <c r="F138" s="33" t="inlineStr">
        <is>
          <t>Candidato con datos mínimos y usuario confirma</t>
        </is>
      </c>
      <c r="G138" s="33" t="inlineStr">
        <is>
          <t>Cuenta de prueba activa y reseteada (sin deudas ni datos previos del flujo).
Condición de entrada: Candidato con datos mínimos y usuario confirma</t>
        </is>
      </c>
      <c r="H138" s="33" t="n"/>
      <c r="I138" s="33" t="inlineStr">
        <is>
          <t>Pagos → card pago probable / candidato detectado</t>
        </is>
      </c>
      <c r="J138" s="33" t="inlineStr">
        <is>
          <t>Transformar a Pendiente, Próximo o Pagado según contexto; usar CTA oficial Confirmar cuenta / Confirmar como pago pendiente.</t>
        </is>
      </c>
      <c r="K138" s="33" t="inlineStr"/>
      <c r="L138" s="33" t="inlineStr">
        <is>
          <t>Sí</t>
        </is>
      </c>
      <c r="M138" s="34" t="inlineStr"/>
      <c r="N138" s="35" t="inlineStr"/>
      <c r="O138" s="34" t="inlineStr"/>
    </row>
    <row r="139" ht="90" customHeight="1">
      <c r="A139" s="40" t="inlineStr">
        <is>
          <t>M06</t>
        </is>
      </c>
      <c r="B139" s="41" t="inlineStr">
        <is>
          <t>M6-V09</t>
        </is>
      </c>
      <c r="C139" s="36" t="inlineStr">
        <is>
          <t>F1 · QA funcional local</t>
        </is>
      </c>
      <c r="D139" s="33" t="inlineStr">
        <is>
          <t>Candidato detectado</t>
        </is>
      </c>
      <c r="E139" s="33" t="inlineStr">
        <is>
          <t>Corregir candidato</t>
        </is>
      </c>
      <c r="F139" s="33" t="inlineStr">
        <is>
          <t>Usuario corrige datos antes de consolidar</t>
        </is>
      </c>
      <c r="G139" s="33" t="inlineStr">
        <is>
          <t>Cuenta de prueba activa y reseteada (sin deudas ni datos previos del flujo).
Condición de entrada: Usuario corrige datos antes de consolidar</t>
        </is>
      </c>
      <c r="H139" s="33" t="n"/>
      <c r="I139" s="33" t="inlineStr">
        <is>
          <t>Pagos → card pago probable / candidato detectado</t>
        </is>
      </c>
      <c r="J139" s="33" t="inlineStr">
        <is>
          <t>Guardar dato corregido como fuente funcional prioritaria, conservar origen original y recalcular estado.</t>
        </is>
      </c>
      <c r="K139" s="33" t="inlineStr"/>
      <c r="L139" s="33" t="inlineStr">
        <is>
          <t>Sí</t>
        </is>
      </c>
      <c r="M139" s="34" t="inlineStr"/>
      <c r="N139" s="35" t="inlineStr"/>
      <c r="O139" s="34" t="inlineStr"/>
    </row>
    <row r="140" ht="90" customHeight="1">
      <c r="A140" s="40" t="inlineStr">
        <is>
          <t>M06</t>
        </is>
      </c>
      <c r="B140" s="41" t="inlineStr">
        <is>
          <t>M6-V10</t>
        </is>
      </c>
      <c r="C140" s="36" t="inlineStr">
        <is>
          <t>F1 · QA funcional local</t>
        </is>
      </c>
      <c r="D140" s="33" t="inlineStr">
        <is>
          <t>Candidato detectado</t>
        </is>
      </c>
      <c r="E140" s="33" t="inlineStr">
        <is>
          <t>Descartar candidato</t>
        </is>
      </c>
      <c r="F140" s="33" t="inlineStr">
        <is>
          <t>Usuario indica que el candidato no corresponde</t>
        </is>
      </c>
      <c r="G140" s="33" t="inlineStr">
        <is>
          <t>Cuenta de prueba activa y reseteada (sin deudas ni datos previos del flujo).
Condición de entrada: Usuario indica que el candidato no corresponde</t>
        </is>
      </c>
      <c r="H140" s="33" t="n"/>
      <c r="I140" s="33" t="inlineStr">
        <is>
          <t>Pagos → card pago probable / candidato detectado</t>
        </is>
      </c>
      <c r="J140" s="33" t="inlineStr">
        <is>
          <t>Estado Descartado; evitar reproponer de forma insistente salvo nueva señal/dato/regla.</t>
        </is>
      </c>
      <c r="K140" s="33" t="inlineStr"/>
      <c r="L140" s="33" t="inlineStr">
        <is>
          <t>Sí</t>
        </is>
      </c>
      <c r="M140" s="34" t="inlineStr"/>
      <c r="N140" s="35" t="inlineStr"/>
      <c r="O140" s="34" t="inlineStr"/>
    </row>
    <row r="141" ht="90" customHeight="1">
      <c r="A141" s="40" t="inlineStr">
        <is>
          <t>M06</t>
        </is>
      </c>
      <c r="B141" s="41" t="inlineStr">
        <is>
          <t>M6-V11</t>
        </is>
      </c>
      <c r="C141" s="36" t="inlineStr">
        <is>
          <t>F1 · QA funcional local</t>
        </is>
      </c>
      <c r="D141" s="33" t="inlineStr">
        <is>
          <t>Candidato detectado</t>
        </is>
      </c>
      <c r="E141" s="33" t="inlineStr">
        <is>
          <t>Baja confianza</t>
        </is>
      </c>
      <c r="F141" s="33" t="inlineStr">
        <is>
          <t>Candidato con dato ambiguo o de baja confianza</t>
        </is>
      </c>
      <c r="G141" s="33" t="inlineStr">
        <is>
          <t>Cuenta de prueba activa y reseteada (sin deudas ni datos previos del flujo).
Condición de entrada: Candidato con dato ambiguo o de baja confianza</t>
        </is>
      </c>
      <c r="H141" s="33" t="n"/>
      <c r="I141" s="33" t="inlineStr">
        <is>
          <t>Pagos → card pago probable / candidato detectado</t>
        </is>
      </c>
      <c r="J141" s="33" t="inlineStr">
        <is>
          <t>Mantener Requiere revisión; CTA Revisar dato; no consolidar ni escalar a alerta crítica.</t>
        </is>
      </c>
      <c r="K141" s="33" t="inlineStr"/>
      <c r="L141" s="33" t="inlineStr">
        <is>
          <t>Sí</t>
        </is>
      </c>
      <c r="M141" s="34" t="inlineStr"/>
      <c r="N141" s="35" t="inlineStr"/>
      <c r="O141" s="34" t="inlineStr"/>
    </row>
    <row r="142" ht="90" customHeight="1">
      <c r="A142" s="40" t="inlineStr">
        <is>
          <t>M06</t>
        </is>
      </c>
      <c r="B142" s="41" t="inlineStr">
        <is>
          <t>M6-V12</t>
        </is>
      </c>
      <c r="C142" s="36" t="inlineStr">
        <is>
          <t>F1 · QA funcional local</t>
        </is>
      </c>
      <c r="D142" s="33" t="inlineStr">
        <is>
          <t>Vencimiento</t>
        </is>
      </c>
      <c r="E142" s="33" t="inlineStr">
        <is>
          <t>Paso a Próximo</t>
        </is>
      </c>
      <c r="F142" s="33" t="inlineStr">
        <is>
          <t>Cuenta Pendiente entra en umbral funcional</t>
        </is>
      </c>
      <c r="G142" s="33" t="inlineStr">
        <is>
          <t>Cuenta de prueba activa y reseteada (sin deudas ni datos previos del flujo).
Condición de entrada: Cuenta Pendiente entra en umbral funcional</t>
        </is>
      </c>
      <c r="H142" s="33" t="n"/>
      <c r="I142" s="33" t="inlineStr">
        <is>
          <t>Pagos → card vencimiento / próximo pago / alerta vencido</t>
        </is>
      </c>
      <c r="J142" s="33" t="inlineStr">
        <is>
          <t>Cambiar a Próximo con severidad Atención; umbral parametrizable.</t>
        </is>
      </c>
      <c r="K142" s="33" t="inlineStr"/>
      <c r="L142" s="33" t="inlineStr">
        <is>
          <t>Sí</t>
        </is>
      </c>
      <c r="M142" s="34" t="inlineStr"/>
      <c r="N142" s="35" t="inlineStr"/>
      <c r="O142" s="34" t="inlineStr"/>
    </row>
    <row r="143" ht="90" customHeight="1">
      <c r="A143" s="40" t="inlineStr">
        <is>
          <t>M06</t>
        </is>
      </c>
      <c r="B143" s="41" t="inlineStr">
        <is>
          <t>M6-V13</t>
        </is>
      </c>
      <c r="C143" s="37" t="inlineStr">
        <is>
          <t>F2 · Fixture cross-contract</t>
        </is>
      </c>
      <c r="D143" s="33" t="inlineStr">
        <is>
          <t>Vencimiento</t>
        </is>
      </c>
      <c r="E143" s="33" t="inlineStr">
        <is>
          <t>Próximo con impacto relevante</t>
        </is>
      </c>
      <c r="F143" s="33" t="inlineStr">
        <is>
          <t>Pago Próximo tiene fecha/origen confiables y alto impacto o deuda asociada</t>
        </is>
      </c>
      <c r="G143" s="33" t="inlineStr">
        <is>
          <t>Cuenta de prueba activa y reseteada (sin deudas ni datos previos del flujo).
⚠ F2: preparar fixture sintético del contrato upstream antes de iniciar (ver Datos de prueba).
Condición de entrada: Pago Próximo tiene fecha/origen confiables y alto impacto o deuda asociada</t>
        </is>
      </c>
      <c r="H143" s="33" t="n"/>
      <c r="I143" s="33" t="inlineStr">
        <is>
          <t>Pagos → card vencimiento / próximo pago / alerta vencido</t>
        </is>
      </c>
      <c r="J143" s="33" t="inlineStr">
        <is>
          <t>Puede elevarse a Urgente y gatillar señal/recordatorio seguro; no implica pago directo.</t>
        </is>
      </c>
      <c r="K143" s="33" t="inlineStr">
        <is>
          <t>Fixture sintético (no requiere documento real).
Formato: CSV o XLSX con ratio mensual M05 canónico + contexto M04 si aplica.
Probar umbrales: 50% · 80% · 100%.</t>
        </is>
      </c>
      <c r="L143" s="33" t="inlineStr">
        <is>
          <t>Sí · con insumo dev</t>
        </is>
      </c>
      <c r="M143" s="34" t="inlineStr"/>
      <c r="N143" s="35" t="inlineStr"/>
      <c r="O143" s="34" t="inlineStr"/>
    </row>
    <row r="144" ht="90" customHeight="1">
      <c r="A144" s="40" t="inlineStr">
        <is>
          <t>M06</t>
        </is>
      </c>
      <c r="B144" s="41" t="inlineStr">
        <is>
          <t>M6-V14</t>
        </is>
      </c>
      <c r="C144" s="36" t="inlineStr">
        <is>
          <t>F1 · QA funcional local</t>
        </is>
      </c>
      <c r="D144" s="33" t="inlineStr">
        <is>
          <t>Vencimiento</t>
        </is>
      </c>
      <c r="E144" s="33" t="inlineStr">
        <is>
          <t>Próximo sin fecha confiable</t>
        </is>
      </c>
      <c r="F144" s="33" t="inlineStr">
        <is>
          <t>Falta fecha confiable, origen claro o dato suficiente</t>
        </is>
      </c>
      <c r="G144" s="33" t="inlineStr">
        <is>
          <t>Cuenta de prueba activa y reseteada (sin deudas ni datos previos del flujo).
Condición de entrada: Falta fecha confiable, origen claro o dato suficiente</t>
        </is>
      </c>
      <c r="H144" s="33" t="n"/>
      <c r="I144" s="33" t="inlineStr">
        <is>
          <t>Pagos → card vencimiento / próximo pago / alerta vencido</t>
        </is>
      </c>
      <c r="J144" s="33" t="inlineStr">
        <is>
          <t>Mantener Requiere revisión / Atención; no gatillar urgencia ni criticidad.</t>
        </is>
      </c>
      <c r="K144" s="33" t="inlineStr"/>
      <c r="L144" s="33" t="inlineStr">
        <is>
          <t>Sí</t>
        </is>
      </c>
      <c r="M144" s="34" t="inlineStr"/>
      <c r="N144" s="35" t="inlineStr"/>
      <c r="O144" s="34" t="inlineStr"/>
    </row>
    <row r="145" ht="90" customHeight="1">
      <c r="A145" s="40" t="inlineStr">
        <is>
          <t>M06</t>
        </is>
      </c>
      <c r="B145" s="41" t="inlineStr">
        <is>
          <t>M6-V15</t>
        </is>
      </c>
      <c r="C145" s="36" t="inlineStr">
        <is>
          <t>F1 · QA funcional local</t>
        </is>
      </c>
      <c r="D145" s="33" t="inlineStr">
        <is>
          <t>Vencimiento</t>
        </is>
      </c>
      <c r="E145" s="33" t="inlineStr">
        <is>
          <t>Pago vencido</t>
        </is>
      </c>
      <c r="F145" s="33" t="inlineStr">
        <is>
          <t>Fecha confiable superada sin pago registrado ni vínculo suficiente</t>
        </is>
      </c>
      <c r="G145" s="33" t="inlineStr">
        <is>
          <t>Cuenta de prueba activa y reseteada (sin deudas ni datos previos del flujo).
Condición de entrada: Fecha confiable superada sin pago registrado ni vínculo suficiente</t>
        </is>
      </c>
      <c r="H145" s="33" t="n"/>
      <c r="I145" s="33" t="inlineStr">
        <is>
          <t>Pagos → card vencimiento / próximo pago / alerta vencido</t>
        </is>
      </c>
      <c r="J145" s="33" t="inlineStr">
        <is>
          <t>Estado Vencido, severidad Urgente; puede gatillar alerta operativa; CTA Registrar pago realizado / Revisar pago.</t>
        </is>
      </c>
      <c r="K145" s="33" t="inlineStr"/>
      <c r="L145" s="33" t="inlineStr">
        <is>
          <t>Sí</t>
        </is>
      </c>
      <c r="M145" s="34" t="inlineStr"/>
      <c r="N145" s="35" t="inlineStr"/>
      <c r="O145" s="34" t="inlineStr"/>
    </row>
    <row r="146" ht="90" customHeight="1">
      <c r="A146" s="40" t="inlineStr">
        <is>
          <t>M06</t>
        </is>
      </c>
      <c r="B146" s="41" t="inlineStr">
        <is>
          <t>M6-V16</t>
        </is>
      </c>
      <c r="C146" s="37" t="inlineStr">
        <is>
          <t>F2 · Fixture cross-contract</t>
        </is>
      </c>
      <c r="D146" s="33" t="inlineStr">
        <is>
          <t>Vencimiento</t>
        </is>
      </c>
      <c r="E146" s="33" t="inlineStr">
        <is>
          <t>Pago vencido con severidad crítica</t>
        </is>
      </c>
      <c r="F146" s="33" t="inlineStr">
        <is>
          <t>Vencido con datos confiables y monto relevante, deuda bajo presión, mora, pago parcial/mínimo recurrente o fuerte impacto</t>
        </is>
      </c>
      <c r="G146" s="33" t="inlineStr">
        <is>
          <t>Cuenta de prueba activa y reseteada (sin deudas ni datos previos del flujo).
⚠ F2: preparar fixture sintético del contrato upstream antes de iniciar (ver Datos de prueba).
Condición de entrada: Vencido con datos confiables y monto relevante, deuda bajo presión, mora, pago parcial/mínimo recurrente o fuerte impacto</t>
        </is>
      </c>
      <c r="H146" s="33" t="n"/>
      <c r="I146" s="33" t="inlineStr">
        <is>
          <t>Pagos → card vencimiento / próximo pago / alerta vencido</t>
        </is>
      </c>
      <c r="J146" s="33" t="inlineStr">
        <is>
          <t>Elevar a Crítica internamente y mostrar revisión prioritaria sin usar 'crítico' como etiqueta visible por defecto.</t>
        </is>
      </c>
      <c r="K146" s="33" t="inlineStr">
        <is>
          <t>Fixture sintético (no requiere documento real).
Formato: CSV o XLSX con ratio mensual M05 canónico + contexto M04 si aplica.
Probar umbrales: 50% · 80% · 100%.</t>
        </is>
      </c>
      <c r="L146" s="33" t="inlineStr">
        <is>
          <t>Sí · con insumo dev</t>
        </is>
      </c>
      <c r="M146" s="34" t="inlineStr"/>
      <c r="N146" s="35" t="inlineStr"/>
      <c r="O146" s="34" t="inlineStr"/>
    </row>
    <row r="147" ht="90" customHeight="1">
      <c r="A147" s="40" t="inlineStr">
        <is>
          <t>M06</t>
        </is>
      </c>
      <c r="B147" s="41" t="inlineStr">
        <is>
          <t>M6-V17</t>
        </is>
      </c>
      <c r="C147" s="36" t="inlineStr">
        <is>
          <t>F1 · QA funcional local</t>
        </is>
      </c>
      <c r="D147" s="33" t="inlineStr">
        <is>
          <t>Vencimiento</t>
        </is>
      </c>
      <c r="E147" s="33" t="inlineStr">
        <is>
          <t>Vencido con datos insuficientes</t>
        </is>
      </c>
      <c r="F147" s="33" t="inlineStr">
        <is>
          <t>Monto/origen/fecha ambiguos o baja confianza</t>
        </is>
      </c>
      <c r="G147" s="33" t="inlineStr">
        <is>
          <t>Cuenta de prueba activa y reseteada (sin deudas ni datos previos del flujo).
Condición de entrada: Monto/origen/fecha ambiguos o baja confianza</t>
        </is>
      </c>
      <c r="H147" s="33" t="n"/>
      <c r="I147" s="33" t="inlineStr">
        <is>
          <t>Pagos → card vencimiento / próximo pago / alerta vencido</t>
        </is>
      </c>
      <c r="J147" s="33" t="inlineStr">
        <is>
          <t>No escalar a Crítica; mantener Requiere revisión / Atención.</t>
        </is>
      </c>
      <c r="K147" s="33" t="inlineStr"/>
      <c r="L147" s="33" t="inlineStr">
        <is>
          <t>Sí</t>
        </is>
      </c>
      <c r="M147" s="34" t="inlineStr"/>
      <c r="N147" s="35" t="inlineStr"/>
      <c r="O147" s="34" t="inlineStr"/>
    </row>
    <row r="148" ht="90" customHeight="1">
      <c r="A148" s="40" t="inlineStr">
        <is>
          <t>M06</t>
        </is>
      </c>
      <c r="B148" s="41" t="inlineStr">
        <is>
          <t>M6-V18</t>
        </is>
      </c>
      <c r="C148" s="36" t="inlineStr">
        <is>
          <t>F1 · QA funcional local</t>
        </is>
      </c>
      <c r="D148" s="33" t="inlineStr">
        <is>
          <t>Pago realizado</t>
        </is>
      </c>
      <c r="E148" s="33" t="inlineStr">
        <is>
          <t>Registrar desde Pendiente/Próximo/Vencido</t>
        </is>
      </c>
      <c r="F148" s="33" t="inlineStr">
        <is>
          <t>Usuario declara que ya pagó fuera de Walvy</t>
        </is>
      </c>
      <c r="G148" s="33" t="inlineStr">
        <is>
          <t>Cuenta de prueba activa y reseteada (sin deudas ni datos previos del flujo).
Condición de entrada: Usuario declara que ya pagó fuera de Walvy</t>
        </is>
      </c>
      <c r="H148" s="33" t="n"/>
      <c r="I148" s="33" t="inlineStr">
        <is>
          <t>Pagos → Registrar pago realizado → confirmación</t>
        </is>
      </c>
      <c r="J148" s="33" t="inlineStr">
        <is>
          <t>Estado Pagado; conservar fecha/origen/actor; limpiar o reducir señal pendiente sin borrar historial.</t>
        </is>
      </c>
      <c r="K148" s="33" t="inlineStr"/>
      <c r="L148" s="33" t="inlineStr">
        <is>
          <t>Sí</t>
        </is>
      </c>
      <c r="M148" s="34" t="inlineStr"/>
      <c r="N148" s="35" t="inlineStr"/>
      <c r="O148" s="34" t="inlineStr"/>
    </row>
    <row r="149" ht="90" customHeight="1">
      <c r="A149" s="40" t="inlineStr">
        <is>
          <t>M06</t>
        </is>
      </c>
      <c r="B149" s="41" t="inlineStr">
        <is>
          <t>M6-V19</t>
        </is>
      </c>
      <c r="C149" s="36" t="inlineStr">
        <is>
          <t>F1 · QA funcional local</t>
        </is>
      </c>
      <c r="D149" s="33" t="inlineStr">
        <is>
          <t>Pago realizado</t>
        </is>
      </c>
      <c r="E149" s="33" t="inlineStr">
        <is>
          <t>Pago realizado probable por ingesta</t>
        </is>
      </c>
      <c r="F149" s="33" t="inlineStr">
        <is>
          <t>Documento/cartola/movimiento sugiere que el pago ocurrió fuera de Walvy</t>
        </is>
      </c>
      <c r="G149" s="33" t="inlineStr">
        <is>
          <t>Cuenta de prueba activa y reseteada (sin deudas ni datos previos del flujo).
Condición de entrada: Documento/cartola/movimiento sugiere que el pago ocurrió fuera de Walvy</t>
        </is>
      </c>
      <c r="H149" s="33" t="n"/>
      <c r="I149" s="33" t="inlineStr">
        <is>
          <t>Pagos → Registrar pago realizado → confirmación</t>
        </is>
      </c>
      <c r="J149" s="33" t="inlineStr">
        <is>
          <t>Representar Pago realizado probable; si coincidencia/validación suficiente puede registrarse Pagado; si no, mantener sugerencia/revisión.</t>
        </is>
      </c>
      <c r="K149" s="33" t="inlineStr"/>
      <c r="L149" s="33" t="inlineStr">
        <is>
          <t>Sí</t>
        </is>
      </c>
      <c r="M149" s="34" t="inlineStr"/>
      <c r="N149" s="35" t="inlineStr"/>
      <c r="O149" s="34" t="inlineStr"/>
    </row>
    <row r="150" ht="90" customHeight="1">
      <c r="A150" s="40" t="inlineStr">
        <is>
          <t>M06</t>
        </is>
      </c>
      <c r="B150" s="41" t="inlineStr">
        <is>
          <t>M6-V20</t>
        </is>
      </c>
      <c r="C150" s="36" t="inlineStr">
        <is>
          <t>F1 · QA funcional local</t>
        </is>
      </c>
      <c r="D150" s="33" t="inlineStr">
        <is>
          <t>Pago realizado</t>
        </is>
      </c>
      <c r="E150" s="33" t="inlineStr">
        <is>
          <t>Corregir pago marcado</t>
        </is>
      </c>
      <c r="F150" s="33" t="inlineStr">
        <is>
          <t>Usuario detecta un dato incorrecto en un registro Pagado</t>
        </is>
      </c>
      <c r="G150" s="33" t="inlineStr">
        <is>
          <t>Cuenta de prueba activa y reseteada (sin deudas ni datos previos del flujo).
Condición de entrada: Usuario detecta un dato incorrecto en un registro Pagado</t>
        </is>
      </c>
      <c r="H150" s="33" t="n"/>
      <c r="I150" s="33" t="inlineStr">
        <is>
          <t>Pagos → Registrar pago realizado → confirmación</t>
        </is>
      </c>
      <c r="J150" s="33" t="inlineStr">
        <is>
          <t>Permitir corregir fecha, monto, origen o vínculo; conservar historial funcional.</t>
        </is>
      </c>
      <c r="K150" s="33" t="inlineStr"/>
      <c r="L150" s="33" t="inlineStr">
        <is>
          <t>Sí</t>
        </is>
      </c>
      <c r="M150" s="34" t="inlineStr"/>
      <c r="N150" s="35" t="inlineStr"/>
      <c r="O150" s="34" t="inlineStr"/>
    </row>
    <row r="151" ht="90" customHeight="1">
      <c r="A151" s="40" t="inlineStr">
        <is>
          <t>M06</t>
        </is>
      </c>
      <c r="B151" s="41" t="inlineStr">
        <is>
          <t>M6-V21</t>
        </is>
      </c>
      <c r="C151" s="36" t="inlineStr">
        <is>
          <t>F1 · QA funcional local</t>
        </is>
      </c>
      <c r="D151" s="33" t="inlineStr">
        <is>
          <t>Pago realizado</t>
        </is>
      </c>
      <c r="E151" s="33" t="inlineStr">
        <is>
          <t>Deshacer pago marcado</t>
        </is>
      </c>
      <c r="F151" s="33" t="inlineStr">
        <is>
          <t>Usuario deshace un pago realizado por error</t>
        </is>
      </c>
      <c r="G151" s="33" t="inlineStr">
        <is>
          <t>Cuenta de prueba activa y reseteada (sin deudas ni datos previos del flujo).
Condición de entrada: Usuario deshace un pago realizado por error</t>
        </is>
      </c>
      <c r="H151" s="33" t="n"/>
      <c r="I151" s="33" t="inlineStr">
        <is>
          <t>Pagos → Registrar pago realizado → confirmación</t>
        </is>
      </c>
      <c r="J151" s="33" t="inlineStr">
        <is>
          <t>Recalcular a Pendiente, Próximo, Vencido, Requiere revisión o Corregido según datos vigentes; mantener trazabilidad.</t>
        </is>
      </c>
      <c r="K151" s="33" t="inlineStr"/>
      <c r="L151" s="33" t="inlineStr">
        <is>
          <t>Sí</t>
        </is>
      </c>
      <c r="M151" s="34" t="inlineStr"/>
      <c r="N151" s="35" t="inlineStr"/>
      <c r="O151" s="34" t="inlineStr"/>
    </row>
    <row r="152" ht="90" customHeight="1">
      <c r="A152" s="40" t="inlineStr">
        <is>
          <t>M06</t>
        </is>
      </c>
      <c r="B152" s="41" t="inlineStr">
        <is>
          <t>M6-V22</t>
        </is>
      </c>
      <c r="C152" s="36" t="inlineStr">
        <is>
          <t>F1 · QA funcional local</t>
        </is>
      </c>
      <c r="D152" s="33" t="inlineStr">
        <is>
          <t>Origen del dato</t>
        </is>
      </c>
      <c r="E152" s="33" t="inlineStr">
        <is>
          <t>Mostrar origen asociado</t>
        </is>
      </c>
      <c r="F152" s="33" t="inlineStr">
        <is>
          <t>Pago tiene registro manual o dato detectado asociado</t>
        </is>
      </c>
      <c r="G152" s="33" t="inlineStr">
        <is>
          <t>Cuenta de prueba activa y reseteada (sin deudas ni datos previos del flujo).
Condición de entrada: Pago tiene registro manual o dato detectado asociado</t>
        </is>
      </c>
      <c r="H152" s="33" t="n"/>
      <c r="I152" s="33" t="inlineStr">
        <is>
          <t>Pagos → detalle de pago → campo Origen</t>
        </is>
      </c>
      <c r="J152" s="33" t="inlineStr">
        <is>
          <t>Mostrar origen/registro de forma acotada; no interpretarlo como comprobante formal, pago ejecutado o deuda cerrada.</t>
        </is>
      </c>
      <c r="K152" s="33" t="inlineStr"/>
      <c r="L152" s="33" t="inlineStr">
        <is>
          <t>Sí</t>
        </is>
      </c>
      <c r="M152" s="34" t="inlineStr"/>
      <c r="N152" s="35" t="inlineStr"/>
      <c r="O152" s="34" t="inlineStr"/>
    </row>
    <row r="153" ht="90" customHeight="1">
      <c r="A153" s="40" t="inlineStr">
        <is>
          <t>M06</t>
        </is>
      </c>
      <c r="B153" s="41" t="inlineStr">
        <is>
          <t>M6-V23</t>
        </is>
      </c>
      <c r="C153" s="36" t="inlineStr">
        <is>
          <t>F1 · QA funcional local</t>
        </is>
      </c>
      <c r="D153" s="33" t="inlineStr">
        <is>
          <t>Origen del dato</t>
        </is>
      </c>
      <c r="E153" s="33" t="inlineStr">
        <is>
          <t>Dato detectado con coincidencia mínima</t>
        </is>
      </c>
      <c r="F153" s="33" t="inlineStr">
        <is>
          <t>Existe coincidencia funcional por monto, fecha, glosa, categoría/proveedor u otro identificador razonable</t>
        </is>
      </c>
      <c r="G153" s="33" t="inlineStr">
        <is>
          <t>Cuenta de prueba activa y reseteada (sin deudas ni datos previos del flujo).
Condición de entrada: Existe coincidencia funcional por monto, fecha, glosa, categoría/proveedor u otro identificador razonable</t>
        </is>
      </c>
      <c r="H153" s="33" t="n"/>
      <c r="I153" s="33" t="inlineStr">
        <is>
          <t>Pagos → detalle de pago → campo Origen</t>
        </is>
      </c>
      <c r="J153" s="33" t="inlineStr">
        <is>
          <t>Permitir vínculo/revisión con confianza media/alta; no consolidar de forma opaca.</t>
        </is>
      </c>
      <c r="K153" s="33" t="inlineStr"/>
      <c r="L153" s="33" t="inlineStr">
        <is>
          <t>Sí</t>
        </is>
      </c>
      <c r="M153" s="34" t="inlineStr"/>
      <c r="N153" s="35" t="inlineStr"/>
      <c r="O153" s="34" t="inlineStr"/>
    </row>
    <row r="154" ht="90" customHeight="1">
      <c r="A154" s="40" t="inlineStr">
        <is>
          <t>M06</t>
        </is>
      </c>
      <c r="B154" s="41" t="inlineStr">
        <is>
          <t>M6-V24</t>
        </is>
      </c>
      <c r="C154" s="36" t="inlineStr">
        <is>
          <t>F1 · QA funcional local</t>
        </is>
      </c>
      <c r="D154" s="33" t="inlineStr">
        <is>
          <t>Origen del dato</t>
        </is>
      </c>
      <c r="E154" s="33" t="inlineStr">
        <is>
          <t>Dato ilegible o insuficiente</t>
        </is>
      </c>
      <c r="F154" s="33" t="inlineStr">
        <is>
          <t>Documento/dato no permite lectura confiable</t>
        </is>
      </c>
      <c r="G154" s="33" t="inlineStr">
        <is>
          <t>Cuenta de prueba activa y reseteada (sin deudas ni datos previos del flujo).
Condición de entrada: Documento/dato no permite lectura confiable</t>
        </is>
      </c>
      <c r="H154" s="33" t="n"/>
      <c r="I154" s="33" t="inlineStr">
        <is>
          <t>Pagos → detalle de pago → campo Origen</t>
        </is>
      </c>
      <c r="J154" s="33" t="inlineStr">
        <is>
          <t>Estado Requiere revisión / baja confianza; CTA Revisar archivo/origen o ingresar manualmente; no exigir comprobante obligatorio.</t>
        </is>
      </c>
      <c r="K154" s="33" t="inlineStr"/>
      <c r="L154" s="33" t="inlineStr">
        <is>
          <t>Sí</t>
        </is>
      </c>
      <c r="M154" s="34" t="inlineStr"/>
      <c r="N154" s="35" t="inlineStr"/>
      <c r="O154" s="34" t="inlineStr"/>
    </row>
    <row r="155" ht="90" customHeight="1">
      <c r="A155" s="40" t="inlineStr">
        <is>
          <t>M06</t>
        </is>
      </c>
      <c r="B155" s="41" t="inlineStr">
        <is>
          <t>M6-V25</t>
        </is>
      </c>
      <c r="C155" s="36" t="inlineStr">
        <is>
          <t>F1 · QA funcional local</t>
        </is>
      </c>
      <c r="D155" s="33" t="inlineStr">
        <is>
          <t>Origen del dato</t>
        </is>
      </c>
      <c r="E155" s="33" t="inlineStr">
        <is>
          <t>Dato contradictorio</t>
        </is>
      </c>
      <c r="F155" s="33" t="inlineStr">
        <is>
          <t>Dato detectado contradice dato declarado</t>
        </is>
      </c>
      <c r="G155" s="33" t="inlineStr">
        <is>
          <t>Cuenta de prueba activa y reseteada (sin deudas ni datos previos del flujo).
Condición de entrada: Dato detectado contradice dato declarado</t>
        </is>
      </c>
      <c r="H155" s="33" t="n"/>
      <c r="I155" s="33" t="inlineStr">
        <is>
          <t>Pagos → detalle de pago → campo Origen</t>
        </is>
      </c>
      <c r="J155" s="33" t="inlineStr">
        <is>
          <t>Solicitar revisión o corrección; no confirmar sin revisión.</t>
        </is>
      </c>
      <c r="K155" s="33" t="inlineStr"/>
      <c r="L155" s="33" t="inlineStr">
        <is>
          <t>Sí</t>
        </is>
      </c>
      <c r="M155" s="34" t="inlineStr"/>
      <c r="N155" s="35" t="inlineStr"/>
      <c r="O155" s="34" t="inlineStr"/>
    </row>
    <row r="156" ht="90" customHeight="1">
      <c r="A156" s="40" t="inlineStr">
        <is>
          <t>M06</t>
        </is>
      </c>
      <c r="B156" s="41" t="inlineStr">
        <is>
          <t>M6-V26</t>
        </is>
      </c>
      <c r="C156" s="36" t="inlineStr">
        <is>
          <t>F1 · QA funcional local</t>
        </is>
      </c>
      <c r="D156" s="33" t="inlineStr">
        <is>
          <t>Origen del dato</t>
        </is>
      </c>
      <c r="E156" s="33" t="inlineStr">
        <is>
          <t>Pago informado sin confianza suficiente</t>
        </is>
      </c>
      <c r="F156" s="33" t="inlineStr">
        <is>
          <t>Dato informado/detectado no alcanza confianza suficiente</t>
        </is>
      </c>
      <c r="G156" s="33" t="inlineStr">
        <is>
          <t>Cuenta de prueba activa y reseteada (sin deudas ni datos previos del flujo).
Condición de entrada: Dato informado/detectado no alcanza confianza suficiente</t>
        </is>
      </c>
      <c r="H156" s="33" t="n"/>
      <c r="I156" s="33" t="inlineStr">
        <is>
          <t>Pagos → detalle de pago → campo Origen</t>
        </is>
      </c>
      <c r="J156" s="33" t="inlineStr">
        <is>
          <t>Mantener Requiere revisión y no marcar Pagado por defecto.</t>
        </is>
      </c>
      <c r="K156" s="33" t="inlineStr"/>
      <c r="L156" s="33" t="inlineStr">
        <is>
          <t>Sí</t>
        </is>
      </c>
      <c r="M156" s="34" t="inlineStr"/>
      <c r="N156" s="35" t="inlineStr"/>
      <c r="O156" s="34" t="inlineStr"/>
    </row>
    <row r="157" ht="90" customHeight="1">
      <c r="A157" s="40" t="inlineStr">
        <is>
          <t>M06</t>
        </is>
      </c>
      <c r="B157" s="41" t="inlineStr">
        <is>
          <t>M6-V27</t>
        </is>
      </c>
      <c r="C157" s="36" t="inlineStr">
        <is>
          <t>F1 · QA funcional local</t>
        </is>
      </c>
      <c r="D157" s="33" t="inlineStr">
        <is>
          <t>Duplicidad</t>
        </is>
      </c>
      <c r="E157" s="33" t="inlineStr">
        <is>
          <t>Detectar duplicado probable</t>
        </is>
      </c>
      <c r="F157" s="33" t="inlineStr">
        <is>
          <t>Candidato coincide con cuenta existente por monto, fecha, descripción, glosa o categoría</t>
        </is>
      </c>
      <c r="G157" s="33" t="inlineStr">
        <is>
          <t>Cuenta de prueba activa y reseteada (sin deudas ni datos previos del flujo).
Condición de entrada: Candidato coincide con cuenta existente por monto, fecha, descripción, glosa o categoría</t>
        </is>
      </c>
      <c r="H157" s="33" t="n"/>
      <c r="I157" s="33" t="inlineStr">
        <is>
          <t>Pagos → alerta de duplicado al registrar pago</t>
        </is>
      </c>
      <c r="J157" s="33" t="inlineStr">
        <is>
          <t>Estado Duplicado probable; bloquear fusión/consolidación automática y CTA Revisar duplicado.</t>
        </is>
      </c>
      <c r="K157" s="33" t="inlineStr"/>
      <c r="L157" s="33" t="inlineStr">
        <is>
          <t>Sí</t>
        </is>
      </c>
      <c r="M157" s="34" t="inlineStr"/>
      <c r="N157" s="35" t="inlineStr"/>
      <c r="O157" s="34" t="inlineStr"/>
    </row>
    <row r="158" ht="90" customHeight="1">
      <c r="A158" s="40" t="inlineStr">
        <is>
          <t>M06</t>
        </is>
      </c>
      <c r="B158" s="41" t="inlineStr">
        <is>
          <t>M6-V28</t>
        </is>
      </c>
      <c r="C158" s="36" t="inlineStr">
        <is>
          <t>F1 · QA funcional local</t>
        </is>
      </c>
      <c r="D158" s="33" t="inlineStr">
        <is>
          <t>Duplicidad</t>
        </is>
      </c>
      <c r="E158" s="33" t="inlineStr">
        <is>
          <t>Confirmar que no es duplicado</t>
        </is>
      </c>
      <c r="F158" s="33" t="inlineStr">
        <is>
          <t>Usuario determina que corresponde a compromiso distinto</t>
        </is>
      </c>
      <c r="G158" s="33" t="inlineStr">
        <is>
          <t>Cuenta de prueba activa y reseteada (sin deudas ni datos previos del flujo).
Condición de entrada: Usuario determina que corresponde a compromiso distinto</t>
        </is>
      </c>
      <c r="H158" s="33" t="n"/>
      <c r="I158" s="33" t="inlineStr">
        <is>
          <t>Pagos → alerta de duplicado al registrar pago</t>
        </is>
      </c>
      <c r="J158" s="33" t="inlineStr">
        <is>
          <t>Mantener cuenta separada como Pendiente/Detectado y conservar trazabilidad.</t>
        </is>
      </c>
      <c r="K158" s="33" t="inlineStr"/>
      <c r="L158" s="33" t="inlineStr">
        <is>
          <t>Sí</t>
        </is>
      </c>
      <c r="M158" s="34" t="inlineStr"/>
      <c r="N158" s="35" t="inlineStr"/>
      <c r="O158" s="34" t="inlineStr"/>
    </row>
    <row r="159" ht="90" customHeight="1">
      <c r="A159" s="40" t="inlineStr">
        <is>
          <t>M06</t>
        </is>
      </c>
      <c r="B159" s="41" t="inlineStr">
        <is>
          <t>M6-V29</t>
        </is>
      </c>
      <c r="C159" s="36" t="inlineStr">
        <is>
          <t>F1 · QA funcional local</t>
        </is>
      </c>
      <c r="D159" s="33" t="inlineStr">
        <is>
          <t>Duplicidad</t>
        </is>
      </c>
      <c r="E159" s="33" t="inlineStr">
        <is>
          <t>Confirmar duplicado</t>
        </is>
      </c>
      <c r="F159" s="33" t="inlineStr">
        <is>
          <t>Usuario confirma que corresponde al mismo pago</t>
        </is>
      </c>
      <c r="G159" s="33" t="inlineStr">
        <is>
          <t>Cuenta de prueba activa y reseteada (sin deudas ni datos previos del flujo).
Condición de entrada: Usuario confirma que corresponde al mismo pago</t>
        </is>
      </c>
      <c r="H159" s="33" t="n"/>
      <c r="I159" s="33" t="inlineStr">
        <is>
          <t>Pagos → alerta de duplicado al registrar pago</t>
        </is>
      </c>
      <c r="J159" s="33" t="inlineStr">
        <is>
          <t>Descartar o vincular al pago existente según regla; mantener historial y no borrar de forma opaca.</t>
        </is>
      </c>
      <c r="K159" s="33" t="inlineStr"/>
      <c r="L159" s="33" t="inlineStr">
        <is>
          <t>Sí</t>
        </is>
      </c>
      <c r="M159" s="34" t="inlineStr"/>
      <c r="N159" s="35" t="inlineStr"/>
      <c r="O159" s="34" t="inlineStr"/>
    </row>
    <row r="160" ht="90" customHeight="1">
      <c r="A160" s="40" t="inlineStr">
        <is>
          <t>M06</t>
        </is>
      </c>
      <c r="B160" s="41" t="inlineStr">
        <is>
          <t>M6-V30</t>
        </is>
      </c>
      <c r="C160" s="36" t="inlineStr">
        <is>
          <t>F1 · QA funcional local</t>
        </is>
      </c>
      <c r="D160" s="33" t="inlineStr">
        <is>
          <t>Recurrencia</t>
        </is>
      </c>
      <c r="E160" s="33" t="inlineStr">
        <is>
          <t>Sugerir recurrencia probable</t>
        </is>
      </c>
      <c r="F160" s="33" t="inlineStr">
        <is>
          <t>Patrón de fecha, monto, glosa, categoría, proveedor o historial sugiere repetición</t>
        </is>
      </c>
      <c r="G160" s="33" t="inlineStr">
        <is>
          <t>Cuenta de prueba activa y reseteada (sin deudas ni datos previos del flujo).
Condición de entrada: Patrón de fecha, monto, glosa, categoría, proveedor o historial sugiere repetición</t>
        </is>
      </c>
      <c r="H160" s="33" t="n"/>
      <c r="I160" s="33" t="inlineStr">
        <is>
          <t>Pagos → badge/indicador de recurrencia en card de pago</t>
        </is>
      </c>
      <c r="J160" s="33" t="inlineStr">
        <is>
          <t>Estado Recurrente probable; CTA Confirmar recurrencia; no activar automáticamente.</t>
        </is>
      </c>
      <c r="K160" s="33" t="inlineStr"/>
      <c r="L160" s="33" t="inlineStr">
        <is>
          <t>Sí</t>
        </is>
      </c>
      <c r="M160" s="34" t="inlineStr"/>
      <c r="N160" s="35" t="inlineStr"/>
      <c r="O160" s="34" t="inlineStr"/>
    </row>
    <row r="161" ht="90" customHeight="1">
      <c r="A161" s="40" t="inlineStr">
        <is>
          <t>M06</t>
        </is>
      </c>
      <c r="B161" s="41" t="inlineStr">
        <is>
          <t>M6-V31</t>
        </is>
      </c>
      <c r="C161" s="36" t="inlineStr">
        <is>
          <t>F1 · QA funcional local</t>
        </is>
      </c>
      <c r="D161" s="33" t="inlineStr">
        <is>
          <t>Recurrencia</t>
        </is>
      </c>
      <c r="E161" s="33" t="inlineStr">
        <is>
          <t>Confirmar recurrencia</t>
        </is>
      </c>
      <c r="F161" s="33" t="inlineStr">
        <is>
          <t>Usuario confirma recurrencia</t>
        </is>
      </c>
      <c r="G161" s="33" t="inlineStr">
        <is>
          <t>Cuenta de prueba activa y reseteada (sin deudas ni datos previos del flujo).
Condición de entrada: Usuario confirma recurrencia</t>
        </is>
      </c>
      <c r="H161" s="33" t="n"/>
      <c r="I161" s="33" t="inlineStr">
        <is>
          <t>Pagos → badge/indicador de recurrencia en card de pago</t>
        </is>
      </c>
      <c r="J161" s="33" t="inlineStr">
        <is>
          <t>Marcar recurrencia confirmada/preparable; cualquier compromiso futuro depende de regla definida y no de pago automático.</t>
        </is>
      </c>
      <c r="K161" s="33" t="inlineStr"/>
      <c r="L161" s="33" t="inlineStr">
        <is>
          <t>Sí</t>
        </is>
      </c>
      <c r="M161" s="34" t="inlineStr"/>
      <c r="N161" s="35" t="inlineStr"/>
      <c r="O161" s="34" t="inlineStr"/>
    </row>
    <row r="162" ht="90" customHeight="1">
      <c r="A162" s="40" t="inlineStr">
        <is>
          <t>M06</t>
        </is>
      </c>
      <c r="B162" s="41" t="inlineStr">
        <is>
          <t>M6-V32</t>
        </is>
      </c>
      <c r="C162" s="36" t="inlineStr">
        <is>
          <t>F1 · QA funcional local</t>
        </is>
      </c>
      <c r="D162" s="33" t="inlineStr">
        <is>
          <t>Recurrencia</t>
        </is>
      </c>
      <c r="E162" s="33" t="inlineStr">
        <is>
          <t>Rechazar recurrencia</t>
        </is>
      </c>
      <c r="F162" s="33" t="inlineStr">
        <is>
          <t>Usuario indica No es recurrente</t>
        </is>
      </c>
      <c r="G162" s="33" t="inlineStr">
        <is>
          <t>Cuenta de prueba activa y reseteada (sin deudas ni datos previos del flujo).
Condición de entrada: Usuario indica No es recurrente</t>
        </is>
      </c>
      <c r="H162" s="33" t="n"/>
      <c r="I162" s="33" t="inlineStr">
        <is>
          <t>Pagos → badge/indicador de recurrencia en card de pago</t>
        </is>
      </c>
      <c r="J162" s="33" t="inlineStr">
        <is>
          <t>Mantener como pago único / recurrencia descartada, evitando insistencia.</t>
        </is>
      </c>
      <c r="K162" s="33" t="inlineStr"/>
      <c r="L162" s="33" t="inlineStr">
        <is>
          <t>Sí</t>
        </is>
      </c>
      <c r="M162" s="34" t="inlineStr"/>
      <c r="N162" s="35" t="inlineStr"/>
      <c r="O162" s="34" t="inlineStr"/>
    </row>
    <row r="163" ht="90" customHeight="1">
      <c r="A163" s="40" t="inlineStr">
        <is>
          <t>M06</t>
        </is>
      </c>
      <c r="B163" s="41" t="inlineStr">
        <is>
          <t>M6-V33</t>
        </is>
      </c>
      <c r="C163" s="36" t="inlineStr">
        <is>
          <t>F1 · QA funcional local</t>
        </is>
      </c>
      <c r="D163" s="33" t="inlineStr">
        <is>
          <t>Recurrencia</t>
        </is>
      </c>
      <c r="E163" s="33" t="inlineStr">
        <is>
          <t>Patrón de baja confianza</t>
        </is>
      </c>
      <c r="F163" s="33" t="inlineStr">
        <is>
          <t>Se detecta posible recurrencia con confianza baja</t>
        </is>
      </c>
      <c r="G163" s="33" t="inlineStr">
        <is>
          <t>Cuenta de prueba activa y reseteada (sin deudas ni datos previos del flujo).
Condición de entrada: Se detecta posible recurrencia con confianza baja</t>
        </is>
      </c>
      <c r="H163" s="33" t="n"/>
      <c r="I163" s="33" t="inlineStr">
        <is>
          <t>Pagos → badge/indicador de recurrencia en card de pago</t>
        </is>
      </c>
      <c r="J163" s="33" t="inlineStr">
        <is>
          <t>Mostrar Requiere revisión; no presentar recurrencia sugerida fuerte ni crear futuros.</t>
        </is>
      </c>
      <c r="K163" s="33" t="inlineStr"/>
      <c r="L163" s="33" t="inlineStr">
        <is>
          <t>Sí</t>
        </is>
      </c>
      <c r="M163" s="34" t="inlineStr"/>
      <c r="N163" s="35" t="inlineStr"/>
      <c r="O163" s="34" t="inlineStr"/>
    </row>
    <row r="164" ht="90" customHeight="1">
      <c r="A164" s="40" t="inlineStr">
        <is>
          <t>M06</t>
        </is>
      </c>
      <c r="B164" s="41" t="inlineStr">
        <is>
          <t>M6-V34</t>
        </is>
      </c>
      <c r="C164" s="32" t="inlineStr">
        <is>
          <t>F3 · M02/M03 / superficie</t>
        </is>
      </c>
      <c r="D164" s="33" t="inlineStr">
        <is>
          <t>Alertas</t>
        </is>
      </c>
      <c r="E164" s="33" t="inlineStr">
        <is>
          <t>Recordatorio de pago próximo</t>
        </is>
      </c>
      <c r="F164" s="33" t="inlineStr">
        <is>
          <t>Estado Próximo</t>
        </is>
      </c>
      <c r="G164" s="33" t="inlineStr">
        <is>
          <t>Cuenta de prueba activa y reseteada (sin deudas ni datos previos del flujo).
⚠ F3: M02/M03 debe estar disponible en el ambiente QA.
Condición de entrada: Estado Próximo</t>
        </is>
      </c>
      <c r="H164" s="33" t="n"/>
      <c r="I164" s="33" t="inlineStr">
        <is>
          <t>Notificaciones / canal M02 → alertas M06</t>
        </is>
      </c>
      <c r="J164" s="33" t="inlineStr">
        <is>
          <t>Gatillar alerta/recordatorio seguro con CTA Revisar pago; no inducir pago.</t>
        </is>
      </c>
      <c r="K164" s="33" t="inlineStr">
        <is>
          <t>M02/M03 operativo con canal habilitado. Producer M06 con candidato/situación válido.</t>
        </is>
      </c>
      <c r="L164" s="33" t="inlineStr">
        <is>
          <t>No · requiere env</t>
        </is>
      </c>
      <c r="M164" s="34" t="inlineStr"/>
      <c r="N164" s="35" t="inlineStr"/>
      <c r="O164" s="34" t="inlineStr"/>
    </row>
    <row r="165" ht="90" customHeight="1">
      <c r="A165" s="40" t="inlineStr">
        <is>
          <t>M06</t>
        </is>
      </c>
      <c r="B165" s="41" t="inlineStr">
        <is>
          <t>M6-V35</t>
        </is>
      </c>
      <c r="C165" s="32" t="inlineStr">
        <is>
          <t>F3 · M02/M03 / superficie</t>
        </is>
      </c>
      <c r="D165" s="33" t="inlineStr">
        <is>
          <t>Alertas</t>
        </is>
      </c>
      <c r="E165" s="33" t="inlineStr">
        <is>
          <t>Alerta de pago vencido</t>
        </is>
      </c>
      <c r="F165" s="33" t="inlineStr">
        <is>
          <t>Estado Vencido</t>
        </is>
      </c>
      <c r="G165" s="33" t="inlineStr">
        <is>
          <t>Cuenta de prueba activa y reseteada (sin deudas ni datos previos del flujo).
⚠ F3: M02/M03 debe estar disponible en el ambiente QA.
Condición de entrada: Estado Vencido</t>
        </is>
      </c>
      <c r="H165" s="33" t="n"/>
      <c r="I165" s="33" t="inlineStr">
        <is>
          <t>Notificaciones / canal M02 → alertas M06</t>
        </is>
      </c>
      <c r="J165" s="33" t="inlineStr">
        <is>
          <t>Gatillar alerta operativa con CTA seguro; no usar Pagar ahora ni lenguaje transaccional.</t>
        </is>
      </c>
      <c r="K165" s="33" t="inlineStr">
        <is>
          <t>M02/M03 operativo con canal habilitado. Producer M06 con candidato/situación válido.</t>
        </is>
      </c>
      <c r="L165" s="33" t="inlineStr">
        <is>
          <t>No · requiere env</t>
        </is>
      </c>
      <c r="M165" s="34" t="inlineStr"/>
      <c r="N165" s="35" t="inlineStr"/>
      <c r="O165" s="34" t="inlineStr"/>
    </row>
    <row r="166" ht="90" customHeight="1">
      <c r="A166" s="40" t="inlineStr">
        <is>
          <t>M06</t>
        </is>
      </c>
      <c r="B166" s="41" t="inlineStr">
        <is>
          <t>M6-V36</t>
        </is>
      </c>
      <c r="C166" s="32" t="inlineStr">
        <is>
          <t>F3 · M02/M03 / superficie</t>
        </is>
      </c>
      <c r="D166" s="33" t="inlineStr">
        <is>
          <t>Alertas</t>
        </is>
      </c>
      <c r="E166" s="33" t="inlineStr">
        <is>
          <t>Aviso por dato incompleto</t>
        </is>
      </c>
      <c r="F166" s="33" t="inlineStr">
        <is>
          <t>Estado Requiere revisión / dato incompleto</t>
        </is>
      </c>
      <c r="G166" s="33" t="inlineStr">
        <is>
          <t>Cuenta de prueba activa y reseteada (sin deudas ni datos previos del flujo).
⚠ F3: M02/M03 debe estar disponible en el ambiente QA.
Condición de entrada: Estado Requiere revisión / dato incompleto</t>
        </is>
      </c>
      <c r="H166" s="33" t="n"/>
      <c r="I166" s="33" t="inlineStr">
        <is>
          <t>Notificaciones / canal M02 → alertas M06</t>
        </is>
      </c>
      <c r="J166" s="33" t="inlineStr">
        <is>
          <t>Mostrar aviso de revisión, sin urgencia artificial ni criticidad.</t>
        </is>
      </c>
      <c r="K166" s="33" t="inlineStr">
        <is>
          <t>M02/M03 operativo con canal habilitado. Producer M06 con candidato/situación válido.</t>
        </is>
      </c>
      <c r="L166" s="33" t="inlineStr">
        <is>
          <t>No · requiere env</t>
        </is>
      </c>
      <c r="M166" s="34" t="inlineStr"/>
      <c r="N166" s="35" t="inlineStr"/>
      <c r="O166" s="34" t="inlineStr"/>
    </row>
    <row r="167" ht="90" customHeight="1">
      <c r="A167" s="40" t="inlineStr">
        <is>
          <t>M06</t>
        </is>
      </c>
      <c r="B167" s="41" t="inlineStr">
        <is>
          <t>M6-V37</t>
        </is>
      </c>
      <c r="C167" s="32" t="inlineStr">
        <is>
          <t>F3 · M02/M03 / superficie</t>
        </is>
      </c>
      <c r="D167" s="33" t="inlineStr">
        <is>
          <t>Alertas</t>
        </is>
      </c>
      <c r="E167" s="33" t="inlineStr">
        <is>
          <t>Aviso de recurrencia probable</t>
        </is>
      </c>
      <c r="F167" s="33" t="inlineStr">
        <is>
          <t>Estado Recurrente probable</t>
        </is>
      </c>
      <c r="G167" s="33" t="inlineStr">
        <is>
          <t>Cuenta de prueba activa y reseteada (sin deudas ni datos previos del flujo).
⚠ F3: M02/M03 debe estar disponible en el ambiente QA.
Condición de entrada: Estado Recurrente probable</t>
        </is>
      </c>
      <c r="H167" s="33" t="n"/>
      <c r="I167" s="33" t="inlineStr">
        <is>
          <t>Notificaciones / canal M02 → alertas M06</t>
        </is>
      </c>
      <c r="J167" s="33" t="inlineStr">
        <is>
          <t>Solicitar confirmación, sin activar recurrencia ni pagos futuros automáticamente.</t>
        </is>
      </c>
      <c r="K167" s="33" t="inlineStr">
        <is>
          <t>M02/M03 operativo con canal habilitado. Producer M06 con candidato/situación válido.</t>
        </is>
      </c>
      <c r="L167" s="33" t="inlineStr">
        <is>
          <t>No · requiere env</t>
        </is>
      </c>
      <c r="M167" s="34" t="inlineStr"/>
      <c r="N167" s="35" t="inlineStr"/>
      <c r="O167" s="34" t="inlineStr"/>
    </row>
    <row r="168" ht="90" customHeight="1">
      <c r="A168" s="40" t="inlineStr">
        <is>
          <t>M06</t>
        </is>
      </c>
      <c r="B168" s="41" t="inlineStr">
        <is>
          <t>M6-V38</t>
        </is>
      </c>
      <c r="C168" s="32" t="inlineStr">
        <is>
          <t>F3 · M02/M03 / superficie</t>
        </is>
      </c>
      <c r="D168" s="33" t="inlineStr">
        <is>
          <t>Recomendaciones</t>
        </is>
      </c>
      <c r="E168" s="33" t="inlineStr">
        <is>
          <t>Recomendación contextual segura</t>
        </is>
      </c>
      <c r="F168" s="33" t="inlineStr">
        <is>
          <t>Vencido, recurrente o dato por revisar</t>
        </is>
      </c>
      <c r="G168" s="33" t="inlineStr">
        <is>
          <t>Cuenta de prueba activa y reseteada (sin deudas ni datos previos del flujo).
⚠ F3: M02/M03 debe estar disponible en el ambiente QA.
Condición de entrada: Vencido, recurrente o dato por revisar</t>
        </is>
      </c>
      <c r="H168" s="33" t="n"/>
      <c r="I168" s="33" t="inlineStr">
        <is>
          <t>Pagos → sección Recomendaciones (canal M02/M03)</t>
        </is>
      </c>
      <c r="J168" s="33" t="inlineStr">
        <is>
          <t>Mensaje informativo para ordenar/revisar; sin asesoría financiera regulada, promesa, culpa o instrucción de pago.</t>
        </is>
      </c>
      <c r="K168" s="33" t="inlineStr">
        <is>
          <t>M02/M03 operativo con canal habilitado. Producer M06 con candidato/situación válido.</t>
        </is>
      </c>
      <c r="L168" s="33" t="inlineStr">
        <is>
          <t>No · requiere env</t>
        </is>
      </c>
      <c r="M168" s="34" t="inlineStr"/>
      <c r="N168" s="35" t="inlineStr"/>
      <c r="O168" s="34" t="inlineStr"/>
    </row>
    <row r="169" ht="90" customHeight="1">
      <c r="A169" s="40" t="inlineStr">
        <is>
          <t>M06</t>
        </is>
      </c>
      <c r="B169" s="41" t="inlineStr">
        <is>
          <t>M6-V39</t>
        </is>
      </c>
      <c r="C169" s="32" t="inlineStr">
        <is>
          <t>F3 · M02/M03 / superficie</t>
        </is>
      </c>
      <c r="D169" s="33" t="inlineStr">
        <is>
          <t>Señal Home</t>
        </is>
      </c>
      <c r="E169" s="33" t="inlineStr">
        <is>
          <t>Pago vencido urgente/crítico</t>
        </is>
      </c>
      <c r="F169" s="33" t="inlineStr">
        <is>
          <t>Pago vencido relevante con datos confiables</t>
        </is>
      </c>
      <c r="G169" s="33" t="inlineStr">
        <is>
          <t>Cuenta de prueba activa y reseteada (sin deudas ni datos previos del flujo).
⚠ F3: M02/M03 debe estar disponible en el ambiente QA.
Condición de entrada: Pago vencido relevante con datos confiables</t>
        </is>
      </c>
      <c r="H169" s="33" t="n"/>
      <c r="I169" s="33" t="inlineStr">
        <is>
          <t>Pestaña Inicio → card / bloque Pagos</t>
        </is>
      </c>
      <c r="J169" s="33" t="inlineStr">
        <is>
          <t>Enviar foco o próxima acción candidata a Home; no definir prioridad visual final ni convertir Home en panel de pagos.</t>
        </is>
      </c>
      <c r="K169" s="33" t="inlineStr">
        <is>
          <t>M02/M03 operativo con canal habilitado. Producer M06 con candidato/situación válido.</t>
        </is>
      </c>
      <c r="L169" s="33" t="inlineStr">
        <is>
          <t>No · requiere env</t>
        </is>
      </c>
      <c r="M169" s="34" t="inlineStr"/>
      <c r="N169" s="35" t="inlineStr"/>
      <c r="O169" s="34" t="inlineStr"/>
    </row>
    <row r="170" ht="90" customHeight="1">
      <c r="A170" s="40" t="inlineStr">
        <is>
          <t>M06</t>
        </is>
      </c>
      <c r="B170" s="41" t="inlineStr">
        <is>
          <t>M6-V40</t>
        </is>
      </c>
      <c r="C170" s="32" t="inlineStr">
        <is>
          <t>F3 · M02/M03 / superficie</t>
        </is>
      </c>
      <c r="D170" s="33" t="inlineStr">
        <is>
          <t>Señal Home</t>
        </is>
      </c>
      <c r="E170" s="33" t="inlineStr">
        <is>
          <t>Pago próximo de alto impacto</t>
        </is>
      </c>
      <c r="F170" s="33" t="inlineStr">
        <is>
          <t>Próximo urgente/crítico con datos confiables</t>
        </is>
      </c>
      <c r="G170" s="33" t="inlineStr">
        <is>
          <t>Cuenta de prueba activa y reseteada (sin deudas ni datos previos del flujo).
⚠ F3: M02/M03 debe estar disponible en el ambiente QA.
Condición de entrada: Próximo urgente/crítico con datos confiables</t>
        </is>
      </c>
      <c r="H170" s="33" t="n"/>
      <c r="I170" s="33" t="inlineStr">
        <is>
          <t>Pestaña Inicio → card / bloque Pagos</t>
        </is>
      </c>
      <c r="J170" s="33" t="inlineStr">
        <is>
          <t>Enviar foco candidato a Home, sujeto a priorización posterior.</t>
        </is>
      </c>
      <c r="K170" s="33" t="inlineStr">
        <is>
          <t>M02/M03 operativo con canal habilitado. Producer M06 con candidato/situación válido.</t>
        </is>
      </c>
      <c r="L170" s="33" t="inlineStr">
        <is>
          <t>No · requiere env</t>
        </is>
      </c>
      <c r="M170" s="34" t="inlineStr"/>
      <c r="N170" s="35" t="inlineStr"/>
      <c r="O170" s="34" t="inlineStr"/>
    </row>
    <row r="171" ht="90" customHeight="1">
      <c r="A171" s="40" t="inlineStr">
        <is>
          <t>M06</t>
        </is>
      </c>
      <c r="B171" s="41" t="inlineStr">
        <is>
          <t>M6-V41</t>
        </is>
      </c>
      <c r="C171" s="32" t="inlineStr">
        <is>
          <t>F3 · M02/M03 / superficie</t>
        </is>
      </c>
      <c r="D171" s="33" t="inlineStr">
        <is>
          <t>Señal Home</t>
        </is>
      </c>
      <c r="E171" s="33" t="inlineStr">
        <is>
          <t>Revisión relevante por baja confianza</t>
        </is>
      </c>
      <c r="F171" s="33" t="inlineStr">
        <is>
          <t>Dato de baja confianza afecta materialmente la claridad del mes</t>
        </is>
      </c>
      <c r="G171" s="33" t="inlineStr">
        <is>
          <t>Cuenta de prueba activa y reseteada (sin deudas ni datos previos del flujo).
⚠ F3: M02/M03 debe estar disponible en el ambiente QA.
Condición de entrada: Dato de baja confianza afecta materialmente la claridad del mes</t>
        </is>
      </c>
      <c r="H171" s="33" t="n"/>
      <c r="I171" s="33" t="inlineStr">
        <is>
          <t>Pestaña Inicio → card / bloque Pagos</t>
        </is>
      </c>
      <c r="J171" s="33" t="inlineStr">
        <is>
          <t>Puede enviar foco de revisión evitando ruido; no presentar certeza.</t>
        </is>
      </c>
      <c r="K171" s="33" t="inlineStr">
        <is>
          <t>M02/M03 operativo con canal habilitado. Producer M06 con candidato/situación válido.</t>
        </is>
      </c>
      <c r="L171" s="33" t="inlineStr">
        <is>
          <t>No · requiere env</t>
        </is>
      </c>
      <c r="M171" s="34" t="inlineStr"/>
      <c r="N171" s="35" t="inlineStr"/>
      <c r="O171" s="34" t="inlineStr"/>
    </row>
    <row r="172" ht="90" customHeight="1">
      <c r="A172" s="40" t="inlineStr">
        <is>
          <t>M06</t>
        </is>
      </c>
      <c r="B172" s="41" t="inlineStr">
        <is>
          <t>M6-V42</t>
        </is>
      </c>
      <c r="C172" s="36" t="inlineStr">
        <is>
          <t>F1 · QA funcional local</t>
        </is>
      </c>
      <c r="D172" s="33" t="inlineStr">
        <is>
          <t>Señal M5</t>
        </is>
      </c>
      <c r="E172" s="33" t="inlineStr">
        <is>
          <t>Impacto mensual/categoría</t>
        </is>
      </c>
      <c r="F172" s="33" t="inlineStr">
        <is>
          <t>Cuenta Pendiente/Próxima/Vencida tiene impacto trazable</t>
        </is>
      </c>
      <c r="G172" s="33" t="inlineStr">
        <is>
          <t>Cuenta de prueba activa y reseteada (sin deudas ni datos previos del flujo).
Condición de entrada: Cuenta Pendiente/Próxima/Vencida tiene impacto trazable</t>
        </is>
      </c>
      <c r="H172" s="33" t="n"/>
      <c r="I172" s="33" t="inlineStr">
        <is>
          <t>API M06 → señal emitida hacia M05 (compromiso, recurrencia)</t>
        </is>
      </c>
      <c r="J172" s="33" t="inlineStr">
        <is>
          <t>Enviar señal de impacto a Presupuesto Vivo; M6 no reasigna presupuesto ni reabre M5.</t>
        </is>
      </c>
      <c r="K172" s="33" t="inlineStr"/>
      <c r="L172" s="33" t="inlineStr">
        <is>
          <t>Sí</t>
        </is>
      </c>
      <c r="M172" s="34" t="inlineStr"/>
      <c r="N172" s="35" t="inlineStr"/>
      <c r="O172" s="34" t="inlineStr"/>
    </row>
    <row r="173" ht="90" customHeight="1">
      <c r="A173" s="40" t="inlineStr">
        <is>
          <t>M06</t>
        </is>
      </c>
      <c r="B173" s="41" t="inlineStr">
        <is>
          <t>M6-V43</t>
        </is>
      </c>
      <c r="C173" s="36" t="inlineStr">
        <is>
          <t>F1 · QA funcional local</t>
        </is>
      </c>
      <c r="D173" s="33" t="inlineStr">
        <is>
          <t>Señal M5</t>
        </is>
      </c>
      <c r="E173" s="33" t="inlineStr">
        <is>
          <t>Pago realizado explica impacto</t>
        </is>
      </c>
      <c r="F173" s="33" t="inlineStr">
        <is>
          <t>Pago vinculado pasa a Pagado</t>
        </is>
      </c>
      <c r="G173" s="33" t="inlineStr">
        <is>
          <t>Cuenta de prueba activa y reseteada (sin deudas ni datos previos del flujo).
Condición de entrada: Pago vinculado pasa a Pagado</t>
        </is>
      </c>
      <c r="H173" s="33" t="n"/>
      <c r="I173" s="33" t="inlineStr">
        <is>
          <t>API M06 → señal emitida hacia M05 (compromiso, recurrencia)</t>
        </is>
      </c>
      <c r="J173" s="33" t="inlineStr">
        <is>
          <t>Enviar señal de ajuste/explicación a M5 sin reasignación automática.</t>
        </is>
      </c>
      <c r="K173" s="33" t="inlineStr"/>
      <c r="L173" s="33" t="inlineStr">
        <is>
          <t>Sí</t>
        </is>
      </c>
      <c r="M173" s="34" t="inlineStr"/>
      <c r="N173" s="35" t="inlineStr"/>
      <c r="O173" s="34" t="inlineStr"/>
    </row>
    <row r="174" ht="90" customHeight="1">
      <c r="A174" s="40" t="inlineStr">
        <is>
          <t>M06</t>
        </is>
      </c>
      <c r="B174" s="41" t="inlineStr">
        <is>
          <t>M6-V44</t>
        </is>
      </c>
      <c r="C174" s="36" t="inlineStr">
        <is>
          <t>F1 · QA funcional local</t>
        </is>
      </c>
      <c r="D174" s="33" t="inlineStr">
        <is>
          <t>Señal M5</t>
        </is>
      </c>
      <c r="E174" s="33" t="inlineStr">
        <is>
          <t>Recurrencia confirmada futura</t>
        </is>
      </c>
      <c r="F174" s="33" t="inlineStr">
        <is>
          <t>Recurrencia confirmada y regla suficiente</t>
        </is>
      </c>
      <c r="G174" s="33" t="inlineStr">
        <is>
          <t>Cuenta de prueba activa y reseteada (sin deudas ni datos previos del flujo).
Condición de entrada: Recurrencia confirmada y regla suficiente</t>
        </is>
      </c>
      <c r="H174" s="33" t="n"/>
      <c r="I174" s="33" t="inlineStr">
        <is>
          <t>API M06 → señal emitida hacia M05 (compromiso, recurrencia)</t>
        </is>
      </c>
      <c r="J174" s="33" t="inlineStr">
        <is>
          <t>Puede alimentar previsibilidad futura a M5; requiere regla suficiente.</t>
        </is>
      </c>
      <c r="K174" s="33" t="inlineStr"/>
      <c r="L174" s="33" t="inlineStr">
        <is>
          <t>Sí</t>
        </is>
      </c>
      <c r="M174" s="34" t="inlineStr"/>
      <c r="N174" s="35" t="inlineStr"/>
      <c r="O174" s="34" t="inlineStr"/>
    </row>
    <row r="175" ht="90" customHeight="1">
      <c r="A175" s="40" t="inlineStr">
        <is>
          <t>M06</t>
        </is>
      </c>
      <c r="B175" s="41" t="inlineStr">
        <is>
          <t>M6-V45</t>
        </is>
      </c>
      <c r="C175" s="36" t="inlineStr">
        <is>
          <t>F1 · QA funcional local</t>
        </is>
      </c>
      <c r="D175" s="33" t="inlineStr">
        <is>
          <t>Señal M4</t>
        </is>
      </c>
      <c r="E175" s="33" t="inlineStr">
        <is>
          <t>Pago asociado a deuda sin presión</t>
        </is>
      </c>
      <c r="F175" s="33" t="inlineStr">
        <is>
          <t>Existe deuda asociada, pero sin mora/presión/atraso material</t>
        </is>
      </c>
      <c r="G175" s="33" t="inlineStr">
        <is>
          <t>Cuenta de prueba activa y reseteada (sin deudas ni datos previos del flujo).
Condición de entrada: Existe deuda asociada, pero sin mora/presión/atraso material</t>
        </is>
      </c>
      <c r="H175" s="33" t="n"/>
      <c r="I175" s="33" t="inlineStr">
        <is>
          <t>API M06 → señal emitida hacia M04 (aging, D)</t>
        </is>
      </c>
      <c r="J175" s="33" t="inlineStr">
        <is>
          <t>Mantener el compromiso en M6; no activar M4 ni Ruta Despeje por la sola asociación.</t>
        </is>
      </c>
      <c r="K175" s="33" t="inlineStr"/>
      <c r="L175" s="33" t="inlineStr">
        <is>
          <t>Sí</t>
        </is>
      </c>
      <c r="M175" s="34" t="inlineStr"/>
      <c r="N175" s="35" t="inlineStr"/>
      <c r="O175" s="34" t="inlineStr"/>
    </row>
    <row r="176" ht="90" customHeight="1">
      <c r="A176" s="40" t="inlineStr">
        <is>
          <t>M06</t>
        </is>
      </c>
      <c r="B176" s="41" t="inlineStr">
        <is>
          <t>M6-V46</t>
        </is>
      </c>
      <c r="C176" s="36" t="inlineStr">
        <is>
          <t>F1 · QA funcional local</t>
        </is>
      </c>
      <c r="D176" s="33" t="inlineStr">
        <is>
          <t>Señal M4</t>
        </is>
      </c>
      <c r="E176" s="33" t="inlineStr">
        <is>
          <t>Deuda bajo presión</t>
        </is>
      </c>
      <c r="F176" s="33" t="inlineStr">
        <is>
          <t>Pago asociado a deuda presenta presión, mora, pago mínimo recurrente, pago parcial, saldo arrastrado, atraso acumulado o riesgo de incumplimiento</t>
        </is>
      </c>
      <c r="G176" s="33" t="inlineStr">
        <is>
          <t>Cuenta de prueba activa y reseteada (sin deudas ni datos previos del flujo).
Condición de entrada: Pago asociado a deuda presenta presión, mora, pago mínimo recurrente, pago parcial, saldo arrastrado, atraso acumulado o riesgo de incumplimiento</t>
        </is>
      </c>
      <c r="H176" s="33" t="n"/>
      <c r="I176" s="33" t="inlineStr">
        <is>
          <t>API M06 → señal emitida hacia M04 (aging, D)</t>
        </is>
      </c>
      <c r="J176" s="33" t="inlineStr">
        <is>
          <t>Enviar señal controlada a evaluación M4; M4 conserva estrategia y M6 no activa Ruta Despeje automáticamente.</t>
        </is>
      </c>
      <c r="K176" s="33" t="inlineStr"/>
      <c r="L176" s="33" t="inlineStr">
        <is>
          <t>Sí</t>
        </is>
      </c>
      <c r="M176" s="34" t="inlineStr"/>
      <c r="N176" s="35" t="inlineStr"/>
      <c r="O176" s="34" t="inlineStr"/>
    </row>
    <row r="177" ht="90" customHeight="1">
      <c r="A177" s="40" t="inlineStr">
        <is>
          <t>M06</t>
        </is>
      </c>
      <c r="B177" s="41" t="inlineStr">
        <is>
          <t>M6-V47</t>
        </is>
      </c>
      <c r="C177" s="36" t="inlineStr">
        <is>
          <t>F1 · QA funcional local</t>
        </is>
      </c>
      <c r="D177" s="33" t="inlineStr">
        <is>
          <t>Señal M4</t>
        </is>
      </c>
      <c r="E177" s="33" t="inlineStr">
        <is>
          <t>Pago mínimo / parcial / saldo arrastrado</t>
        </is>
      </c>
      <c r="F177" s="33" t="inlineStr">
        <is>
          <t>Se registra o detecta de forma recurrente o presiona el flujo</t>
        </is>
      </c>
      <c r="G177" s="33" t="inlineStr">
        <is>
          <t>Cuenta de prueba activa y reseteada (sin deudas ni datos previos del flujo).
Condición de entrada: Se registra o detecta de forma recurrente o presiona el flujo</t>
        </is>
      </c>
      <c r="H177" s="33" t="n"/>
      <c r="I177" s="33" t="inlineStr">
        <is>
          <t>API M06 → señal emitida hacia M04 (aging, D)</t>
        </is>
      </c>
      <c r="J177" s="33" t="inlineStr">
        <is>
          <t>Tratar como señal de alerta/deterioro y posible evaluación M4; no recomendar pago mínimo ni considerarlo sano.</t>
        </is>
      </c>
      <c r="K177" s="33" t="inlineStr"/>
      <c r="L177" s="33" t="inlineStr">
        <is>
          <t>Sí</t>
        </is>
      </c>
      <c r="M177" s="34" t="inlineStr"/>
      <c r="N177" s="35" t="inlineStr"/>
      <c r="O177" s="34" t="inlineStr"/>
    </row>
    <row r="178" ht="90" customHeight="1">
      <c r="A178" s="40" t="inlineStr">
        <is>
          <t>M06</t>
        </is>
      </c>
      <c r="B178" s="41" t="inlineStr">
        <is>
          <t>M6-V48</t>
        </is>
      </c>
      <c r="C178" s="37" t="inlineStr">
        <is>
          <t>F2 · Fixture cross-contract</t>
        </is>
      </c>
      <c r="D178" s="33" t="inlineStr">
        <is>
          <t>Presión de flujo</t>
        </is>
      </c>
      <c r="E178" s="33" t="inlineStr">
        <is>
          <t>Zona de atención 50%-79%</t>
        </is>
      </c>
      <c r="F178" s="33" t="inlineStr">
        <is>
          <t>Presión mensual entre 50% y 79%</t>
        </is>
      </c>
      <c r="G178" s="33" t="inlineStr">
        <is>
          <t>Cuenta de prueba activa y reseteada (sin deudas ni datos previos del flujo).
⚠ F2: preparar fixture sintético del contrato upstream antes de iniciar (ver Datos de prueba).
Condición de entrada: Presión mensual entre 50% y 79%</t>
        </is>
      </c>
      <c r="H178" s="33" t="n"/>
      <c r="I178" s="33" t="inlineStr">
        <is>
          <t>Pagos → semáforo / indicador de presión de flujo (%)</t>
        </is>
      </c>
      <c r="J178" s="33" t="inlineStr">
        <is>
          <t>M6 puede mostrar señales preventivas si hay concentración, pagos próximos o pérdida de margen.</t>
        </is>
      </c>
      <c r="K178" s="33" t="inlineStr">
        <is>
          <t>Fixture sintético (no requiere documento real).
Formato: CSV o XLSX con ratio mensual M05 canónico + contexto M04 si aplica.
Probar umbrales: 50% · 80% · 100%.</t>
        </is>
      </c>
      <c r="L178" s="33" t="inlineStr">
        <is>
          <t>Sí · con insumo dev</t>
        </is>
      </c>
      <c r="M178" s="34" t="inlineStr"/>
      <c r="N178" s="35" t="inlineStr"/>
      <c r="O178" s="34" t="inlineStr"/>
    </row>
    <row r="179" ht="90" customHeight="1">
      <c r="A179" s="40" t="inlineStr">
        <is>
          <t>M06</t>
        </is>
      </c>
      <c r="B179" s="41" t="inlineStr">
        <is>
          <t>M6-V49</t>
        </is>
      </c>
      <c r="C179" s="37" t="inlineStr">
        <is>
          <t>F2 · Fixture cross-contract</t>
        </is>
      </c>
      <c r="D179" s="33" t="inlineStr">
        <is>
          <t>Presión de flujo</t>
        </is>
      </c>
      <c r="E179" s="33" t="inlineStr">
        <is>
          <t>Alerta preventiva &gt;=80%</t>
        </is>
      </c>
      <c r="F179" s="33" t="inlineStr">
        <is>
          <t>Presión mensual &gt;=80% sin condición suficiente de deuda bajo presión</t>
        </is>
      </c>
      <c r="G179" s="33" t="inlineStr">
        <is>
          <t>Cuenta de prueba activa y reseteada (sin deudas ni datos previos del flujo).
⚠ F2: preparar fixture sintético del contrato upstream antes de iniciar (ver Datos de prueba).
Condición de entrada: Presión mensual &gt;=80% sin condición suficiente de deuda bajo presión</t>
        </is>
      </c>
      <c r="H179" s="33" t="n"/>
      <c r="I179" s="33" t="inlineStr">
        <is>
          <t>Pagos → semáforo / indicador de presión de flujo (%)</t>
        </is>
      </c>
      <c r="J179" s="33" t="inlineStr">
        <is>
          <t>Advertir poco margen de reacción; no activar M4 automáticamente.</t>
        </is>
      </c>
      <c r="K179" s="33" t="inlineStr">
        <is>
          <t>Fixture sintético (no requiere documento real).
Formato: CSV o XLSX con ratio mensual M05 canónico + contexto M04 si aplica.
Probar umbrales: 50% · 80% · 100%.</t>
        </is>
      </c>
      <c r="L179" s="33" t="inlineStr">
        <is>
          <t>Sí · con insumo dev</t>
        </is>
      </c>
      <c r="M179" s="34" t="inlineStr"/>
      <c r="N179" s="35" t="inlineStr"/>
      <c r="O179" s="34" t="inlineStr"/>
    </row>
    <row r="180" ht="90" customHeight="1">
      <c r="A180" s="40" t="inlineStr">
        <is>
          <t>M06</t>
        </is>
      </c>
      <c r="B180" s="41" t="inlineStr">
        <is>
          <t>M6-V50</t>
        </is>
      </c>
      <c r="C180" s="37" t="inlineStr">
        <is>
          <t>F2 · Fixture cross-contract</t>
        </is>
      </c>
      <c r="D180" s="33" t="inlineStr">
        <is>
          <t>Presión de flujo</t>
        </is>
      </c>
      <c r="E180" s="33" t="inlineStr">
        <is>
          <t>Presión alta &gt;=90% con deuda</t>
        </is>
      </c>
      <c r="F180" s="33" t="inlineStr">
        <is>
          <t>Presión &gt;=90% y causa incluye deuda/compromiso financiero bajo presión</t>
        </is>
      </c>
      <c r="G180" s="33" t="inlineStr">
        <is>
          <t>Cuenta de prueba activa y reseteada (sin deudas ni datos previos del flujo).
⚠ F2: preparar fixture sintético del contrato upstream antes de iniciar (ver Datos de prueba).
Condición de entrada: Presión &gt;=90% y causa incluye deuda/compromiso financiero bajo presión</t>
        </is>
      </c>
      <c r="H180" s="33" t="n"/>
      <c r="I180" s="33" t="inlineStr">
        <is>
          <t>Pagos → semáforo / indicador de presión de flujo (%)</t>
        </is>
      </c>
      <c r="J180" s="33" t="inlineStr">
        <is>
          <t>Puede gatillar evaluación M4 de forma controlada.</t>
        </is>
      </c>
      <c r="K180" s="33" t="inlineStr">
        <is>
          <t>Fixture sintético (no requiere documento real).
Formato: CSV o XLSX con ratio mensual M05 canónico + contexto M04 si aplica.
Probar umbrales: 50% · 80% · 100%.</t>
        </is>
      </c>
      <c r="L180" s="33" t="inlineStr">
        <is>
          <t>Sí · con insumo dev</t>
        </is>
      </c>
      <c r="M180" s="34" t="inlineStr"/>
      <c r="N180" s="35" t="inlineStr"/>
      <c r="O180" s="34" t="inlineStr"/>
    </row>
    <row r="181" ht="90" customHeight="1">
      <c r="A181" s="40" t="inlineStr">
        <is>
          <t>M06</t>
        </is>
      </c>
      <c r="B181" s="41" t="inlineStr">
        <is>
          <t>M6-V51</t>
        </is>
      </c>
      <c r="C181" s="37" t="inlineStr">
        <is>
          <t>F2 · Fixture cross-contract</t>
        </is>
      </c>
      <c r="D181" s="33" t="inlineStr">
        <is>
          <t>Presión de flujo</t>
        </is>
      </c>
      <c r="E181" s="33" t="inlineStr">
        <is>
          <t>Flujo negativo &gt;=100% sin deuda bajo presión</t>
        </is>
      </c>
      <c r="F181" s="33" t="inlineStr">
        <is>
          <t>Mes no cierra por gasto general o compromisos cerrables sin condición de deuda bajo presión</t>
        </is>
      </c>
      <c r="G181" s="33" t="inlineStr">
        <is>
          <t>Cuenta de prueba activa y reseteada (sin deudas ni datos previos del flujo).
⚠ F2: preparar fixture sintético del contrato upstream antes de iniciar (ver Datos de prueba).
Condición de entrada: Mes no cierra por gasto general o compromisos cerrables sin condición de deuda bajo presión</t>
        </is>
      </c>
      <c r="H181" s="33" t="n"/>
      <c r="I181" s="33" t="inlineStr">
        <is>
          <t>Pagos → semáforo / indicador de presión de flujo (%)</t>
        </is>
      </c>
      <c r="J181" s="33" t="inlineStr">
        <is>
          <t>Bifurcar: M5/Home explica presupuesto; M6 revisa compromisos cerrables; M4 no se activa sin deuda bajo presión.</t>
        </is>
      </c>
      <c r="K181" s="33" t="inlineStr">
        <is>
          <t>Fixture sintético (no requiere documento real).
Formato: CSV o XLSX con ratio mensual M05 canónico + contexto M04 si aplica.
Probar umbrales: 50% · 80% · 100%.</t>
        </is>
      </c>
      <c r="L181" s="33" t="inlineStr">
        <is>
          <t>Sí · con insumo dev</t>
        </is>
      </c>
      <c r="M181" s="34" t="inlineStr"/>
      <c r="N181" s="35" t="inlineStr"/>
      <c r="O181" s="34" t="inlineStr"/>
    </row>
    <row r="182" ht="90" customHeight="1">
      <c r="A182" s="40" t="inlineStr">
        <is>
          <t>M06</t>
        </is>
      </c>
      <c r="B182" s="41" t="inlineStr">
        <is>
          <t>M6-V52</t>
        </is>
      </c>
      <c r="C182" s="37" t="inlineStr">
        <is>
          <t>F2 · Fixture cross-contract</t>
        </is>
      </c>
      <c r="D182" s="33" t="inlineStr">
        <is>
          <t>Presión de flujo</t>
        </is>
      </c>
      <c r="E182" s="33" t="inlineStr">
        <is>
          <t>Sobrepresión &gt;=110% o recurrente 2+ ciclos</t>
        </is>
      </c>
      <c r="F182" s="33" t="inlineStr">
        <is>
          <t>Presión extrema o estructural</t>
        </is>
      </c>
      <c r="G182" s="33" t="inlineStr">
        <is>
          <t>Cuenta de prueba activa y reseteada (sin deudas ni datos previos del flujo).
⚠ F2: preparar fixture sintético del contrato upstream antes de iniciar (ver Datos de prueba).
Condición de entrada: Presión extrema o estructural</t>
        </is>
      </c>
      <c r="H182" s="33" t="n"/>
      <c r="I182" s="33" t="inlineStr">
        <is>
          <t>Pagos → semáforo / indicador de presión de flujo (%)</t>
        </is>
      </c>
      <c r="J182" s="33" t="inlineStr">
        <is>
          <t>Elevar severidad/señal a Home/M5; evaluar M4 solo si existe deuda o compromiso financiero presionante.</t>
        </is>
      </c>
      <c r="K182" s="33" t="inlineStr">
        <is>
          <t>Fixture sintético (no requiere documento real).
Formato: CSV o XLSX con ratio mensual M05 canónico + contexto M04 si aplica.
Probar umbrales: 50% · 80% · 100%.</t>
        </is>
      </c>
      <c r="L182" s="33" t="inlineStr">
        <is>
          <t>Sí · con insumo dev</t>
        </is>
      </c>
      <c r="M182" s="34" t="inlineStr"/>
      <c r="N182" s="35" t="inlineStr"/>
      <c r="O182" s="34" t="inlineStr"/>
    </row>
    <row r="183" ht="90" customHeight="1">
      <c r="A183" s="40" t="inlineStr">
        <is>
          <t>M06</t>
        </is>
      </c>
      <c r="B183" s="41" t="inlineStr">
        <is>
          <t>M6-V53</t>
        </is>
      </c>
      <c r="C183" s="36" t="inlineStr">
        <is>
          <t>F1 · QA funcional local</t>
        </is>
      </c>
      <c r="D183" s="33" t="inlineStr">
        <is>
          <t>Historial</t>
        </is>
      </c>
      <c r="E183" s="33" t="inlineStr">
        <is>
          <t>Ver historial de pagos y estados</t>
        </is>
      </c>
      <c r="F183" s="33" t="inlineStr">
        <is>
          <t>Usuario selecciona Ver historial</t>
        </is>
      </c>
      <c r="G183" s="33" t="inlineStr">
        <is>
          <t>Cuenta de prueba activa y reseteada (sin deudas ni datos previos del flujo).
Condición de entrada: Usuario selecciona Ver historial</t>
        </is>
      </c>
      <c r="H183" s="33" t="n"/>
      <c r="I183" s="33" t="inlineStr">
        <is>
          <t>Pagos → sección Historial / pagos anteriores</t>
        </is>
      </c>
      <c r="J183" s="33" t="inlineStr">
        <is>
          <t>Mostrar cambios y estados funcionales con trazabilidad; no cartola bancaria ni conciliación contable.</t>
        </is>
      </c>
      <c r="K183" s="33" t="inlineStr"/>
      <c r="L183" s="33" t="inlineStr">
        <is>
          <t>Sí</t>
        </is>
      </c>
      <c r="M183" s="34" t="inlineStr"/>
      <c r="N183" s="35" t="inlineStr"/>
      <c r="O183" s="34" t="inlineStr"/>
    </row>
    <row r="184" ht="90" customHeight="1">
      <c r="A184" s="40" t="inlineStr">
        <is>
          <t>M06</t>
        </is>
      </c>
      <c r="B184" s="41" t="inlineStr">
        <is>
          <t>M6-V54</t>
        </is>
      </c>
      <c r="C184" s="32" t="inlineStr">
        <is>
          <t>F3 · M02/M03 / superficie</t>
        </is>
      </c>
      <c r="D184" s="33" t="inlineStr">
        <is>
          <t>Calidad de dato</t>
        </is>
      </c>
      <c r="E184" s="33" t="inlineStr">
        <is>
          <t>Revisión repetida</t>
        </is>
      </c>
      <c r="F184" s="33" t="inlineStr">
        <is>
          <t>Existen datos incompletos recurrentes</t>
        </is>
      </c>
      <c r="G184" s="33" t="inlineStr">
        <is>
          <t>Cuenta de prueba activa y reseteada (sin deudas ni datos previos del flujo).
⚠ F3: M02/M03 debe estar disponible en el ambiente QA.
Condición de entrada: Existen datos incompletos recurrentes</t>
        </is>
      </c>
      <c r="H184" s="33" t="n"/>
      <c r="I184" s="33" t="inlineStr">
        <is>
          <t>Pagos → indicador de calidad / completitud del pago</t>
        </is>
      </c>
      <c r="J184" s="33" t="inlineStr">
        <is>
          <t>Puede alimentar una señal de calidad de dato a Perfil; no operar pagos desde Perfil.</t>
        </is>
      </c>
      <c r="K184" s="33" t="inlineStr">
        <is>
          <t>M02/M03 operativo con canal habilitado. Producer M06 con candidato/situación válido.</t>
        </is>
      </c>
      <c r="L184" s="33" t="inlineStr">
        <is>
          <t>No · requiere env</t>
        </is>
      </c>
      <c r="M184" s="34" t="inlineStr"/>
      <c r="N184" s="35" t="inlineStr"/>
      <c r="O184" s="34" t="inlineStr"/>
    </row>
    <row r="185" ht="90" customHeight="1">
      <c r="A185" s="40" t="inlineStr">
        <is>
          <t>M06</t>
        </is>
      </c>
      <c r="B185" s="41" t="inlineStr">
        <is>
          <t>M6-V55</t>
        </is>
      </c>
      <c r="C185" s="32" t="inlineStr">
        <is>
          <t>F3 · M02/M03 / superficie</t>
        </is>
      </c>
      <c r="D185" s="33" t="inlineStr">
        <is>
          <t>Calidad de dato</t>
        </is>
      </c>
      <c r="E185" s="33" t="inlineStr">
        <is>
          <t>Baja confianza como señal de calidad</t>
        </is>
      </c>
      <c r="F185" s="33" t="inlineStr">
        <is>
          <t>Dato detectado insuficiente o baja confianza</t>
        </is>
      </c>
      <c r="G185" s="33" t="inlineStr">
        <is>
          <t>Cuenta de prueba activa y reseteada (sin deudas ni datos previos del flujo).
⚠ F3: M02/M03 debe estar disponible en el ambiente QA.
Condición de entrada: Dato detectado insuficiente o baja confianza</t>
        </is>
      </c>
      <c r="H185" s="33" t="n"/>
      <c r="I185" s="33" t="inlineStr">
        <is>
          <t>Pagos → indicador de calidad / completitud del pago</t>
        </is>
      </c>
      <c r="J185" s="33" t="inlineStr">
        <is>
          <t>Puede indicar baja confiabilidad; no validar automáticamente.</t>
        </is>
      </c>
      <c r="K185" s="33" t="inlineStr">
        <is>
          <t>M02/M03 operativo con canal habilitado. Producer M06 con candidato/situación válido.</t>
        </is>
      </c>
      <c r="L185" s="33" t="inlineStr">
        <is>
          <t>No · requiere env</t>
        </is>
      </c>
      <c r="M185" s="34" t="inlineStr"/>
      <c r="N185" s="35" t="inlineStr"/>
      <c r="O185" s="34" t="inlineStr"/>
    </row>
    <row r="186" ht="90" customHeight="1">
      <c r="A186" s="40" t="inlineStr">
        <is>
          <t>M06</t>
        </is>
      </c>
      <c r="B186" s="41" t="inlineStr">
        <is>
          <t>M6-V56</t>
        </is>
      </c>
      <c r="C186" s="36" t="inlineStr">
        <is>
          <t>F1 · QA funcional local</t>
        </is>
      </c>
      <c r="D186" s="33" t="inlineStr">
        <is>
          <t>Guardrail transversal</t>
        </is>
      </c>
      <c r="E186" s="33" t="inlineStr">
        <is>
          <t>Bloqueo de lenguaje transaccional</t>
        </is>
      </c>
      <c r="F186" s="33" t="inlineStr">
        <is>
          <t>Cualquier pantalla/card/modal/alerta de M6</t>
        </is>
      </c>
      <c r="G186" s="33" t="inlineStr">
        <is>
          <t>Cuenta de prueba activa y reseteada (sin deudas ni datos previos del flujo).
Condición de entrada: Cualquier pantalla/card/modal/alerta de M6</t>
        </is>
      </c>
      <c r="H186" s="33" t="n"/>
      <c r="I186" s="33" t="inlineStr">
        <is>
          <t>Cualquier pantalla → comportamiento transversal (sin doble conteo, idempotencia)</t>
        </is>
      </c>
      <c r="J186" s="33" t="inlineStr">
        <is>
          <t>No usar Pagar ahora, Pagar desde Walvy, Transferir, pago automático ni lenguaje que sugiera movimiento de fondos.</t>
        </is>
      </c>
      <c r="K186" s="33" t="inlineStr"/>
      <c r="L186" s="33" t="inlineStr">
        <is>
          <t>Sí</t>
        </is>
      </c>
      <c r="M186" s="34" t="inlineStr"/>
      <c r="N186" s="35" t="inlineStr"/>
      <c r="O186" s="34" t="inlineStr"/>
    </row>
    <row r="187" ht="90" customHeight="1">
      <c r="A187" s="40" t="inlineStr">
        <is>
          <t>M06</t>
        </is>
      </c>
      <c r="B187" s="41" t="inlineStr">
        <is>
          <t>M6-V57</t>
        </is>
      </c>
      <c r="C187" s="36" t="inlineStr">
        <is>
          <t>F1 · QA funcional local</t>
        </is>
      </c>
      <c r="D187" s="33" t="inlineStr">
        <is>
          <t>Guardrail transversal</t>
        </is>
      </c>
      <c r="E187" s="33" t="inlineStr">
        <is>
          <t>Severidad crítica no visible por defecto</t>
        </is>
      </c>
      <c r="F187" s="33" t="inlineStr">
        <is>
          <t>Estado interno Crítica</t>
        </is>
      </c>
      <c r="G187" s="33" t="inlineStr">
        <is>
          <t>Cuenta de prueba activa y reseteada (sin deudas ni datos previos del flujo).
Condición de entrada: Estado interno Crítica</t>
        </is>
      </c>
      <c r="H187" s="33" t="n"/>
      <c r="I187" s="33" t="inlineStr">
        <is>
          <t>Cualquier pantalla → comportamiento transversal (sin doble conteo, idempotencia)</t>
        </is>
      </c>
      <c r="J187" s="33" t="inlineStr">
        <is>
          <t>Comunicar revisión prioritaria sin usar 'Crítica' como etiqueta visible por defecto, con datos confiables suficientes y sin alarmismo.</t>
        </is>
      </c>
      <c r="K187" s="33" t="inlineStr"/>
      <c r="L187" s="33" t="inlineStr">
        <is>
          <t>Sí</t>
        </is>
      </c>
      <c r="M187" s="34" t="inlineStr"/>
      <c r="N187" s="35" t="inlineStr"/>
      <c r="O187" s="34" t="inlineStr"/>
    </row>
    <row r="188" ht="90" customHeight="1">
      <c r="A188" s="40" t="inlineStr">
        <is>
          <t>M06</t>
        </is>
      </c>
      <c r="B188" s="41" t="inlineStr">
        <is>
          <t>M6-V58</t>
        </is>
      </c>
      <c r="C188" s="36" t="inlineStr">
        <is>
          <t>F1 · QA funcional local</t>
        </is>
      </c>
      <c r="D188" s="33" t="inlineStr">
        <is>
          <t>Guardrail transversal</t>
        </is>
      </c>
      <c r="E188" s="33" t="inlineStr">
        <is>
          <t>Sin comprobante obligatorio</t>
        </is>
      </c>
      <c r="F188" s="33" t="inlineStr">
        <is>
          <t>Pago informado o detectado</t>
        </is>
      </c>
      <c r="G188" s="33" t="inlineStr">
        <is>
          <t>Cuenta de prueba activa y reseteada (sin deudas ni datos previos del flujo).
Condición de entrada: Pago informado o detectado</t>
        </is>
      </c>
      <c r="H188" s="33" t="n"/>
      <c r="I188" s="33" t="inlineStr">
        <is>
          <t>Cualquier pantalla → comportamiento transversal (sin doble conteo, idempotencia)</t>
        </is>
      </c>
      <c r="J188" s="33" t="inlineStr">
        <is>
          <t>No abrir flujo obligatorio de comprobantes ni exigir evidencia formal; conservar origen funcional y confianza.</t>
        </is>
      </c>
      <c r="K188" s="33" t="inlineStr"/>
      <c r="L188" s="33" t="inlineStr">
        <is>
          <t>Sí</t>
        </is>
      </c>
      <c r="M188" s="34" t="inlineStr"/>
      <c r="N188" s="35" t="inlineStr"/>
      <c r="O188" s="34" t="inlineStr"/>
    </row>
    <row r="189" ht="90" customHeight="1">
      <c r="A189" s="40" t="inlineStr">
        <is>
          <t>M06</t>
        </is>
      </c>
      <c r="B189" s="41" t="inlineStr">
        <is>
          <t>M6-V59</t>
        </is>
      </c>
      <c r="C189" s="36" t="inlineStr">
        <is>
          <t>F1 · QA funcional local</t>
        </is>
      </c>
      <c r="D189" s="33" t="inlineStr">
        <is>
          <t>Diseño / Equivalencia</t>
        </is>
      </c>
      <c r="E189" s="33" t="inlineStr">
        <is>
          <t>Pantalla Pagos vs superficie equivalente</t>
        </is>
      </c>
      <c r="F189" s="33" t="inlineStr">
        <is>
          <t>Se debe representar M6 en UX</t>
        </is>
      </c>
      <c r="G189" s="33" t="inlineStr">
        <is>
          <t>Cuenta de prueba activa y reseteada (sin deudas ni datos previos del flujo).
Condición de entrada: Se debe representar M6 en UX</t>
        </is>
      </c>
      <c r="H189" s="33" t="n"/>
      <c r="I189" s="33" t="inlineStr">
        <is>
          <t>Pagos → equivalencia de superficie con otra pantalla (UX pendiente)</t>
        </is>
      </c>
      <c r="J189" s="33" t="inlineStr">
        <is>
          <t>La solución debe cubrir todas las obligaciones MVP mínimas; la pantalla propia es candidata fuerte, pero el cierre visual final requiere validación UX/QA.</t>
        </is>
      </c>
      <c r="K189" s="33" t="inlineStr"/>
      <c r="L189" s="33" t="inlineStr">
        <is>
          <t>Sí</t>
        </is>
      </c>
      <c r="M189" s="34" t="inlineStr"/>
      <c r="N189" s="35" t="inlineStr"/>
      <c r="O189" s="34" t="inlineStr"/>
    </row>
  </sheetData>
  <autoFilter ref="A3:O3"/>
  <mergeCells count="2">
    <mergeCell ref="A1:O1"/>
    <mergeCell ref="A2:O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2026-09-21T23:41:57Z</dcterms:created>
  <dcterms:modified xsi:type="dcterms:W3CDTF">2026-09-24T03:22:47Z</dcterms:modified>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0x01010058FCD4A6AF5D0146B0CDBDC1ECCDCBE7</vt:lpwstr>
  </property>
</Properties>
</file>