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4"/>
    <sheet state="visible" name="Casos de Prueba" sheetId="2" r:id="rId5"/>
    <sheet state="visible" name="Registro de Defectos" sheetId="3" r:id="rId6"/>
    <sheet state="visible" name="Glosario y Convenciones" sheetId="4" r:id="rId7"/>
  </sheets>
  <definedNames>
    <definedName hidden="1" localSheetId="1" name="_xlnm._FilterDatabase">'Casos de Prueba'!$A$1:$M$94</definedName>
  </definedNames>
  <calcPr/>
  <extLst>
    <ext uri="GoogleSheetsCustomDataVersion2">
      <go:sheetsCustomData xmlns:go="http://customooxmlschemas.google.com/" r:id="rId8" roundtripDataChecksum="SXBSD1tmG3nHsCvXqRV00hWltoo96ATqsaPUt9hFoL0="/>
    </ext>
  </extLst>
</workbook>
</file>

<file path=xl/sharedStrings.xml><?xml version="1.0" encoding="utf-8"?>
<sst xmlns="http://schemas.openxmlformats.org/spreadsheetml/2006/main" count="1146" uniqueCount="572">
  <si>
    <t>Glosario y Convenciones del Informe</t>
  </si>
  <si>
    <t>ID</t>
  </si>
  <si>
    <t>ID Defecto</t>
  </si>
  <si>
    <t>Informe de Certificación QA</t>
  </si>
  <si>
    <t>Estados de Ejecución</t>
  </si>
  <si>
    <t>Pendiente</t>
  </si>
  <si>
    <t>El caso aún no ha sido ejecutado.</t>
  </si>
  <si>
    <t>Aprobado</t>
  </si>
  <si>
    <t>El caso fue ejecutado y el resultado coincide con lo esperado.</t>
  </si>
  <si>
    <t>Fallido</t>
  </si>
  <si>
    <t>El caso fue ejecutado y el resultado NO coincide con lo esperado.</t>
  </si>
  <si>
    <t>Bloqueado</t>
  </si>
  <si>
    <t>El caso no pudo ejecutarse por dependencia de otro caso o defecto abierto.</t>
  </si>
  <si>
    <t>Módulo: Tratamiento de Deuda y Ruta Despeje (Entrada contextual, Home, Perfil Financiero, Onboarding de Deudas OD-01/OD-02/OD-03, Detalle de Deuda DD-01, Ruta Despeje RD-01/RD-02/RD-03, Cierre, Reingreso, Etiquetas funcionales) — Walvy App</t>
  </si>
  <si>
    <t>No Aplica</t>
  </si>
  <si>
    <t>El caso no aplica para este ciclo de pruebas o ambiente.</t>
  </si>
  <si>
    <t>Severidad de Defectos</t>
  </si>
  <si>
    <t>Crítica</t>
  </si>
  <si>
    <t>Bloquea funcionalidad principal. No se puede continuar sin corrección.</t>
  </si>
  <si>
    <t>Alta</t>
  </si>
  <si>
    <t>Funcionalidad principal afectada pero existe workaround.</t>
  </si>
  <si>
    <t>Sección / Funcionalidad</t>
  </si>
  <si>
    <t>Media</t>
  </si>
  <si>
    <t>Funcionalidad secundaria afectada. No bloquea certificación.</t>
  </si>
  <si>
    <t>Nombre del Scenario</t>
  </si>
  <si>
    <t>Baja</t>
  </si>
  <si>
    <t>Defecto cosmético o de UX menor.</t>
  </si>
  <si>
    <t>Tipo</t>
  </si>
  <si>
    <t>Prioridad de Casos</t>
  </si>
  <si>
    <t>Pasos de Ejecución</t>
  </si>
  <si>
    <t>Resultado Esperado</t>
  </si>
  <si>
    <t>Producto:</t>
  </si>
  <si>
    <t>Flujo crítico del módulo. Debe pasar para aprobar certificación.</t>
  </si>
  <si>
    <t>Prioridad</t>
  </si>
  <si>
    <t>Funcionalidad relevante. Su fallo se documenta pero no bloquea.</t>
  </si>
  <si>
    <t>Walvy App — MVP</t>
  </si>
  <si>
    <t>Tipo de Prueba</t>
  </si>
  <si>
    <t>Caso complementario o cosmético.</t>
  </si>
  <si>
    <t>Estado de Ejecución</t>
  </si>
  <si>
    <t>Módulo:</t>
  </si>
  <si>
    <t>Resultado</t>
  </si>
  <si>
    <t>Módulo 4</t>
  </si>
  <si>
    <t>Defectos</t>
  </si>
  <si>
    <t>Automatizable</t>
  </si>
  <si>
    <t>El caso puede ser automatizado con herramientas de test.</t>
  </si>
  <si>
    <t>Observaciones</t>
  </si>
  <si>
    <t>Fecha de ejecución:</t>
  </si>
  <si>
    <t>Manual</t>
  </si>
  <si>
    <t>Naturaleza de la Prueba</t>
  </si>
  <si>
    <t>El caso requiere ejecución manual obligatoria.</t>
  </si>
  <si>
    <t>—</t>
  </si>
  <si>
    <t>Convenciones</t>
  </si>
  <si>
    <t>Ejecutado por:</t>
  </si>
  <si>
    <t>Scenario</t>
  </si>
  <si>
    <t>Caso Asociado</t>
  </si>
  <si>
    <t>Caso de prueba con datos fijos.</t>
  </si>
  <si>
    <t>Ambiente:</t>
  </si>
  <si>
    <t>M4-V01</t>
  </si>
  <si>
    <t>Certificación</t>
  </si>
  <si>
    <t>Scenario Outline</t>
  </si>
  <si>
    <t>Caso parametrizado que se ejecuta con múltiples juegos de datos.</t>
  </si>
  <si>
    <t>Sección</t>
  </si>
  <si>
    <t>Versión de build:</t>
  </si>
  <si>
    <t>Título del Defecto</t>
  </si>
  <si>
    <t>Campo sin dato o pendiente de completar.</t>
  </si>
  <si>
    <t>Descripción</t>
  </si>
  <si>
    <t>Dashboard de Ejecución</t>
  </si>
  <si>
    <t>Entrada contextual · Home/Perfil</t>
  </si>
  <si>
    <t>Severidad</t>
  </si>
  <si>
    <t>Entrada contextual · Home/Perfil - Existe candidato/proyección M04 accionable ya resuelto por el módulo dueño; Home solo consume el contrato.</t>
  </si>
  <si>
    <t>Estado</t>
  </si>
  <si>
    <t># Precondiciones
Given inicio sesion en la App
And se cumple la variante de la matriz "Existe candidato/proyección M04 accionable ya resuelto por el módulo dueño; Home solo consume el contrato."
And el estado inicial / origen es "Home"
And tengo una deuda registrada en M04
And M04 entregó el candidato accionable "&lt;familia&gt;" para esa deuda
# Pasos y validaciones
When visualizo la pantalla "Home" de la vista Home
Then valido que Home muestra una única acción de deuda con el CTA "&lt;cta&gt;"
And valido que Home no muestra múltiples acciones de deuda compitiendo entre sí
When presiono el boton "&lt;cta&gt;" en la vista Home
Then valido que me encuentro en la vista "&lt;destino&gt;"
And valido que el estado, el motivo y la situación de Ruta de la deuda son los mismos entregados por M04
# Criterio de aceptación (matriz)
Then valido la obligación "Home representa el candidato M04 y deriva a su destino sin recalcular estado, reason ni Ruta; la selección del ganador global queda fuera de M04."
And valido el resultado "OD-01 / OD-02 / RD según estado"
And valido el negativo/borde "No mostrar múltiples acciones de deuda compitiendo."
And valido la decisión/guardrail "BC-M04-002 cerrada para producción/proyección M04; orquestación global fuera."
Examples:
  | familia                    | cta                   | destino                    |
  | F2 · Confirmar deuda       | Confirmar deuda       | OD-02 Revisión de deudas   |
  | F1 · Completar información | Completar información | OD-02 Revisión de deudas   |
  | F5 · Riesgo accionable     | Ver plan              | RD-01 Resumen Ruta Despeje |</t>
  </si>
  <si>
    <t>Evidencia</t>
  </si>
  <si>
    <t>Obligación: Home representa el candidato M04 y deriva a su destino sin recalcular estado, reason ni Ruta; la selección del ganador global queda fuera de M04.
Resultado: OD-01 / OD-02 / RD según estado
Negativo/borde: No mostrar múltiples acciones de deuda compitiendo.</t>
  </si>
  <si>
    <t>Fecha Detección</t>
  </si>
  <si>
    <t>Fecha Resolución</t>
  </si>
  <si>
    <t>Responsable</t>
  </si>
  <si>
    <t>TR-M04-044 · FLOW-M04-001 · Entrada contextual · M04-RGL-002; M04-RGL-039 · Figma: consumidor visual/Figma · Validación: TC-M04-057</t>
  </si>
  <si>
    <t>Funcional</t>
  </si>
  <si>
    <t>M4-V02</t>
  </si>
  <si>
    <t>Entrada contextual · Home/Perfil - Señal corresponde a pago próximo/al día/vencimiento simple con capacidad</t>
  </si>
  <si>
    <t># Precondiciones
Given inicio sesion en la App
And se cumple la variante de la matriz "Señal corresponde a pago próximo/al día/vencimiento simple con capacidad"
And el estado inicial / origen es "Home"
And tengo una deuda confirmada con pagos al día
And la Presión final M04 de la deuda es "En Control"
And M06 informa un vencimiento próximo de la deuda en 3 días
# Pasos y validaciones
When visualizo la pantalla "Home" de la vista Home
Then valido que se muestra la acción "Revisar pago"
When presiono el boton "Revisar pago" en la vista Home
Then valido que me encuentro en la vista "Pagos / Alertas" de M06
And valido que no se deriva a Ruta Despeje
And valido que la Presión de la deuda no cambia a "Atención" ni "Riesgo" por el vencimiento
# Criterio de aceptación (matriz)
Then valido la obligación "Home deriva a M06/Pagos-Alertas; no a Ruta."
And valido el resultado "M06 / Pagos-Alertas"
And valido el negativo/borde "No elevar por mero vencimiento con capacidad."
And valido el dato/estado "debt_signal · arrears_relevant_signal / mora_risk_signal"
And valido la decisión/guardrail "BC-M04-002 cerrada para producción/proyección M04; orquestación global fuera."</t>
  </si>
  <si>
    <t>Obligación: Home deriva a M06/Pagos-Alertas; no a Ruta.
Resultado: M06 / Pagos-Alertas
Negativo/borde: No elevar por mero vencimiento con capacidad.</t>
  </si>
  <si>
    <t>TR-M04-045 · FLOW-M04-001 · Entrada contextual · M04-RGL-016; M04-RGL-002, M04-RGL-039 · Figma: consumidor visual/Figma · Validación: TC-M04-057</t>
  </si>
  <si>
    <t>M4-V03</t>
  </si>
  <si>
    <t>Entrada contextual · Home/Perfil - Existe deuda confirmada con faltante material accionable; si aún no está confirmada, precede F2.</t>
  </si>
  <si>
    <t># Precondiciones
Given inicio sesion en la App
And se cumple la variante de la matriz "Existe deuda confirmada con faltante material accionable; si aún no está confirmada, precede F2."
And el estado inicial / origen es "Home"
And tengo una deuda "Crédito de consumo Banco Ejemplo" con estado de validación "Confirmada"
And a la deuda le faltan los datos críticos "Pago mínimo / cuota mensual" y "Origen del dato"
# Pasos y validaciones
When visualizo la pantalla "Home" de la vista Home
Then valido que se muestra la acción "Completar información" para la deuda
And valido que los faltantes de la deuda se muestran consolidados en un único pendiente de calidad
And valido que no se muestra acceso a Ruta Despeje completa ni plan activo
When presiono el boton "Completar información" en la vista Home
Then valido que me encuentro en la vista "OD-02 Revisión de deudas" con la edición de la deuda "Crédito de consumo Banco Ejemplo"
And valido que se solicitan los datos "Pago mínimo / cuota mensual" y "Origen del dato"
# Criterio de aceptación (matriz)
Then valido la obligación "Proyectar F1/completitud hacia revisión; no plan activo."
And valido la obligación "Consolidar pendings de calidad por deuda y preservar reasons secundarios."
And valido el resultado "OD-02 / edición contextual"
And valido el negativo/borde "No mostrar Ruta completa con dato crítico faltante."
And valido el dato/estado "debt · data_completeness_status / minimum_data_ready"
And valido la decisión/guardrail "BC-M04-002 cerrada para producción/proyección M04; orquestación global fuera."</t>
  </si>
  <si>
    <t>Obligación: Proyectar F1/completitud hacia revisión; no plan activo. Consolidar pendings de calidad por deuda y preservar reasons secundarios.
Resultado: OD-02 / edición contextual
Negativo/borde: No mostrar Ruta completa con dato crítico faltante.</t>
  </si>
  <si>
    <t>TR-M04-046 · FLOW-M04-001 · Entrada contextual · M04-RGL-012; M04-RGL-002, M04-RGL-039 · Figma: consumidor visual/Figma · Validación: TC-M04-057</t>
  </si>
  <si>
    <t>M4-V04</t>
  </si>
  <si>
    <t>Entrada contextual · Home/Perfil - Existe estado/proyección M04 consumible por Perfil (Salud, Ruta, calidad u orientación permitida).</t>
  </si>
  <si>
    <t># Precondiciones
Given inicio sesion en la App
And se cumple la variante de la matriz "Existe estado/proyección M04 consumible por Perfil (Salud, Ruta, calidad u orientación permitida)."
And el estado inicial / origen es "Perfil Financiero"
And tengo una deuda confirmada con datos mínimos completos
And M04 calculó para la deuda la Presión final "Atención" y la Salud de Deuda "Requiere atención"
And visualizo la pantalla "Home" de la vista Home
# Pasos y validaciones
When presiono el boton "Mi Perfil" en la vista Home
And selecciono la opcion "Mi Perfil"
And presiono el boton "Mi Perfil Financiero" en la vista Mi Perfil
Then valido que me encuentro en la vista de Perfil Financiero
And valido que Perfil muestra la Salud de Deuda "Requiere atención"
And valido que Perfil muestra un CTA compacto "Revisar situación"
And valido que Perfil no muestra plan, cronograma ni avance completo de Ruta Despeje
When presiono el boton "Revisar situación" en la vista Perfil Financiero
Then valido que me encuentro en la vista "DD-01 Detalle de deuda"
And valido que la Presión y la Salud mostradas coinciden con las mostradas en Perfil Financiero
# Criterio de aceptación (matriz)
Then valido la obligación "Perfil representa estado/CTA compacto heredado del owner M04; no recalcula ni crea state machine o señal paralela."
And valido el resultado "Perfil / punto M04 según CTA"
And valido el negativo/borde "No convertir Perfil en dashboard de deuda/Ruta."
And valido el dato/estado "debt · functional_debt_state / pressure_evaluation_status / data_completeness_status"
And valido la decisión/guardrail "BC-M04-002 cerrada para producción/proyección M04; orquestación global fuera."</t>
  </si>
  <si>
    <t>Obligación: Perfil representa estado/CTA compacto heredado del owner M04; no recalcula ni crea state machine o señal paralela.
Resultado: Perfil / punto M04 según CTA
Negativo/borde: No convertir Perfil en dashboard de deuda/Ruta.</t>
  </si>
  <si>
    <t>TR-M04-047 · FLOW-M04-001 · Entrada contextual · M04-RGL-002; M04-RGL-037, M04-RGL-039 · Figma: consumidor visual/Figma · Validación: TC-M04-057</t>
  </si>
  <si>
    <t>M4-V05</t>
  </si>
  <si>
    <t>OD-01 · Carga documental</t>
  </si>
  <si>
    <t>OD-01 · Carga documental - Usuario selecciona documento de deuda permitido</t>
  </si>
  <si>
    <t># Precondiciones
Given inicio sesion en la App
And se cumple la variante de la matriz "Usuario selecciona documento de deuda permitido"
And el estado inicial / origen es "OD-01 Agrega tus deudas"
And me encuentro en la vista "OD-01 Agrega tus deudas" del Onboarding de Deudas
# Pasos y validaciones
When presiono el boton "Cargar documentos" en la vista OD-01
And selecciono el documento de deuda permitido "estado_cuenta_tarjeta.pdf"
Then valido que se muestra el estado de procesamiento "Analizando"
And valido que no se muestra ninguna deuda como confirmada durante el procesamiento
When finaliza el procesamiento del documento
Then valido que me encuentro en la vista "OD-02 Revisión de deudas"
And valido que la deuda detectada se muestra con estado de validación "Pendiente de confirmación"
And valido que no se ejecutó ningún pago, transferencia ni movimiento de dinero
# Criterio de aceptación (matriz)
Then valido la obligación "El archivo entra a procesamiento documental manual y queda pendiente hasta lectura/revisión."
And valido el resultado "Analizando / OD-02"
And valido el negativo/borde "No confirmar deuda antes de revisión."
And valido el dato/estado "debt / document processing · document_processing_status / data_origin / confirmation_status"</t>
  </si>
  <si>
    <t>Obligación: El archivo entra a procesamiento documental manual y queda pendiente hasta lectura/revisión.
Resultado: Analizando / OD-02
Negativo/borde: No confirmar deuda antes de revisión.</t>
  </si>
  <si>
    <t>TR-M04-048 · FLOW-M04-002 · Onboarding 1 · Carga · M04-RGL-003; M04-RGL-036, M04-RGL-040 · Figma: Onboarding Deudas - 1. Carga de documentos.png · Validación: TC-M04-003, TC-M04-060</t>
  </si>
  <si>
    <t>M4-V06</t>
  </si>
  <si>
    <t>OD-01 · Carga documental - Archivo es Informe de Deudas CMF cargado manualmente</t>
  </si>
  <si>
    <t># Precondiciones
Given inicio sesion en la App
And se cumple la variante de la matriz "Archivo es Informe de Deudas CMF cargado manualmente"
And el estado inicial / origen es "OD-01 Agrega tus deudas"
And me encuentro en la vista "OD-01 Agrega tus deudas" del Onboarding de Deudas
# Pasos y validaciones
When presiono el boton "Cargar documentos" en la vista OD-01
And selecciono el documento "Informe_Deudas_CMF.pdf"
Then valido que se muestra el estado de procesamiento "Analizando"
And valido que no se solicita conectar, autorizar ni sincronizar una cuenta CMF, SFA u Open Finance
And valido que no se muestra CMF/SFA como integración activa
When finaliza el procesamiento del documento
Then valido que me encuentro en la vista "OD-02 Revisión de deudas"
And valido que el origen de las deudas detectadas se muestra como documento cargado por el usuario
# Criterio de aceptación (matriz)
Then valido la obligación "Se trata como documento manual bajo las mismas reglas de ingesta; no inicia conexión/consulta/sincronización CMF/SFA."
And valido el resultado "Analizando / OD-02"
And valido el negativo/borde "No mostrar CMF/SFA como integración activa."
And valido el dato/estado "debt / document processing · data_origin / document_processing_status"</t>
  </si>
  <si>
    <t>Obligación: Se trata como documento manual bajo las mismas reglas de ingesta; no inicia conexión/consulta/sincronización CMF/SFA.
Resultado: Analizando / OD-02
Negativo/borde: No mostrar CMF/SFA como integración activa.</t>
  </si>
  <si>
    <t>TR-M04-049 · FLOW-M04-002 · Onboarding 1 · Carga · M04-RGL-004; M04-RGL-036 · Figma: Onboarding Deudas - 1. Carga de documentos.png · Validación: TC-M04-001, TC-M04-002; TC-M04-003</t>
  </si>
  <si>
    <t>M4-V07</t>
  </si>
  <si>
    <t>OD-01 · Carga documental - Procesamiento aún no termina</t>
  </si>
  <si>
    <t># Precondiciones
Given inicio sesion en la App
And se cumple la variante de la matriz "Procesamiento aún no termina"
And el estado inicial / origen es "Procesamiento documental"
And cargué el documento de deuda "estado_cuenta_tarjeta.pdf" desde la vista OD-01
And el procesamiento del documento sigue en curso
# Pasos y validaciones
When visualizo la pantalla de procesamiento del documento
Then valido que se muestra el estado "Analizando"
And valido que no se muestran datos de deuda leídos del documento
And valido que no existe deuda confirmada ni acceso a Ruta Despeje
When finaliza el procesamiento del documento
Then valido que me encuentro en la vista "OD-02 Revisión de deudas"
# Criterio de aceptación (matriz)
Then valido la obligación "Mantener processing pending; no producir deuda confirmada ni Ruta completa."
And valido el resultado "Pendiente / OD-02 al completar"
And valido el negativo/borde "No fabricar lectura durante procesamiento."
And valido el dato/estado "document processing / debt · document_processing_status=procesamiento_pendiente / confirmation_status"</t>
  </si>
  <si>
    <t>Obligación: Mantener processing pending; no producir deuda confirmada ni Ruta completa.
Resultado: Pendiente / OD-02 al completar
Negativo/borde: No fabricar lectura durante procesamiento.</t>
  </si>
  <si>
    <t>TR-M04-050 · FLOW-M04-002 · Onboarding 1 · Carga · M04-RGL-012; M04-RGL-040 · Figma: Figma Analizando · Validación: TC-M04-060</t>
  </si>
  <si>
    <t>M4-V08</t>
  </si>
  <si>
    <t>OD-01 · Registro manual</t>
  </si>
  <si>
    <t>OD-01 · Registro manual - Registro manual formal con campos de registro básico</t>
  </si>
  <si>
    <t># Precondiciones
Given inicio sesion en la App
And se cumple la variante de la matriz "Registro manual formal con campos de registro básico"
And el estado inicial / origen es "OD-01 / sheet deuda manual"
And me encuentro en la vista "OD-01 Agrega tus deudas" del Onboarding de Deudas
# Pasos y validaciones
When presiono el boton "Ingresar deuda manualmente" en la vista OD-01
And ingreso los siguientes datos de la deuda:
  | campo         | valor              |
  | Tipo de deuda | Crédito de consumo |
  | Institución   | Banco Ejemplo      |
  | Saldo actual  | 1.200.000          |
And presiono el boton "Guardar" en la vista Deuda manual
Then valido que la deuda "Crédito de consumo Banco Ejemplo" se muestra en el listado con origen "Manual"
And valido que se muestra la opción "Agregar otra"
And valido que se indica como pendiente el dato "Pago mínimo / cuota mensual"
And valido que no se muestra lectura de Presión ni acceso a Ruta Despeje para la deuda
# Criterio de aceptación (matriz)
Then valido la obligación "Guardar deuda formal y reevaluar completitud; registro no implica presión ni Ruta."
And valido el resultado "OD-01/OD-02"
And valido el negativo/borde "No usar registro básico para conclusiones fuertes."
And valido el dato/estado "debt · debt_category / debt_type / current_balance_amount / data_origin / confirmation_status"</t>
  </si>
  <si>
    <t>Obligación: Guardar deuda formal y reevaluar completitud; registro no implica presión ni Ruta.
Resultado: OD-01/OD-02
Negativo/borde: No usar registro básico para conclusiones fuertes.</t>
  </si>
  <si>
    <t>TR-M04-051 · FLOW-M04-003 · Onboarding 1 · Carga · M04-RGL-005; M04-RGL-012 · Figma: Sheet_Deuda Manual_Ingresar datos*.png · Validación: TC-M04-004, TC-M04-005</t>
  </si>
  <si>
    <t>M4-V09</t>
  </si>
  <si>
    <t>OD-01 · Registro manual - Registro es préstamo personal o compromiso informal con monto/frecuencia</t>
  </si>
  <si>
    <t># Precondiciones
Given inicio sesion en la App
And se cumple la variante de la matriz "Registro es préstamo personal o compromiso informal con monto/frecuencia"
And el estado inicial / origen es "OD-01 / sheet deuda manual"
And me encuentro en la vista "OD-01 Agrega tus deudas" del Onboarding de Deudas
# Pasos y validaciones
When presiono el boton "Ingresar deuda manualmente" en la vista OD-01
And ingreso los siguientes datos de la deuda:
  | campo              | valor                        |
  | Tipo de deuda      | Préstamo personal / informal |
  | Acreedor           | Familiar                     |
  | Monto adeudado     | 300.000                      |
  | Compromiso de pago | 50.000                       |
  | Frecuencia         | Mensual                      |
And no ingreso fecha de vencimiento formal
And presiono el boton "Guardar" en la vista Deuda manual
Then valido que la deuda se guarda como deuda manual informal
And valido que no se exigió fecha de vencimiento formal para guardar
And valido que los textos de la pantalla usan lenguaje neutral y no estigmatizante
And valido que la deuda queda disponible para evaluación de Presión con las mismas reglas que una deuda formal
# Criterio de aceptación (matriz)
Then valido la obligación "Guardar como deuda manual/informal sin tratamiento estigmatizante; evaluar luego según mismas reglas de presión."
And valido el resultado "OD-01/OD-02"
And valido el negativo/borde "No exigir vencimiento formal; sí compromiso/frecuencia para presión."
And valido el dato/estado "debt · debt_category=manual_debt / debt_subtype=informal_loan / is_informal / monthly_equivalent_amount"</t>
  </si>
  <si>
    <t>Obligación: Guardar como deuda manual/informal sin tratamiento estigmatizante; evaluar luego según mismas reglas de presión.
Resultado: OD-01/OD-02
Negativo/borde: No exigir vencimiento formal; sí compromiso/frecuencia para presión.</t>
  </si>
  <si>
    <t>TR-M04-052 · FLOW-M04-003 · Onboarding 1 · Carga · M04-RGL-005; M04-RGL-012 · Figma: Sheet_Deuda Manual_Ingresar datos*.png · Validación: TC-M04-004, TC-M04-005</t>
  </si>
  <si>
    <t>M4-V10</t>
  </si>
  <si>
    <t>OD-01 · Registro manual - Faltan datos para presión/Ruta</t>
  </si>
  <si>
    <t># Precondiciones
Given inicio sesion en la App
And se cumple la variante de la matriz "Faltan datos para presión/Ruta"
And el estado inicial / origen es "OD-01 / sheet deuda manual"
And me encuentro en la vista "OD-01 Agrega tus deudas" del Onboarding de Deudas
# Pasos y validaciones
When presiono el boton "Ingresar deuda manualmente" en la vista OD-01
And ingreso el tipo de deuda "Tarjeta de crédito" y el saldo actual "450.000"
And no ingreso el pago mínimo / cuota mensual
And presiono el boton "Guardar pendiente" en la vista Deuda manual
Then valido que me encuentro en la vista "OD-02 Revisión de deudas"
And valido que la deuda se muestra con estado "Pendiente / Incompleta"
And valido que se ofrece la acción "Completar"
And valido que no se muestra evaluación de Presión, priorización ni cronograma para la deuda
And valido que no se muestra acceso a Ruta Despeje
# Criterio de aceptación (matriz)
Then valido la obligación "Guardar como pendiente/incompleta; no evaluar presión fuerte, priorización ni cronograma."
And valido el resultado "OD-02 / pendiente"
And valido el negativo/borde "No activar Ruta ni cronograma."
And valido el dato/estado "debt · data_completeness_status / minimum_data_ready=false / pressure_evaluation_status=no_evaluada"</t>
  </si>
  <si>
    <t>Obligación: Guardar como pendiente/incompleta; no evaluar presión fuerte, priorización ni cronograma.
Resultado: OD-02 / pendiente
Negativo/borde: No activar Ruta ni cronograma.</t>
  </si>
  <si>
    <t>TR-M04-053 · FLOW-M04-003 · Onboarding 1 · Carga · M04-RGL-005; M04-RGL-012 · Figma: Sheet_Deuda Manual_Ingresar datos*.png · Validación: TC-M04-004, TC-M04-005</t>
  </si>
  <si>
    <t>Total Casos</t>
  </si>
  <si>
    <t>M4-V11</t>
  </si>
  <si>
    <t>OD-01 · Documento protegido</t>
  </si>
  <si>
    <t>OD-01 · Documento protegido - Documento está protegido con contraseña</t>
  </si>
  <si>
    <t>Secciones</t>
  </si>
  <si>
    <t>Automatizables</t>
  </si>
  <si>
    <t>Manuales</t>
  </si>
  <si>
    <t># Precondiciones
Given inicio sesion en la App
And se cumple la variante de la matriz "Documento está protegido con contraseña"
And el estado inicial / origen es "Carga documental"
And me encuentro en la vista "OD-01 Agrega tus deudas" del Onboarding de Deudas
Then valido que la vista OD-01 no muestra un campo de contraseña por defecto
# Pasos y validaciones
When presiono el boton "Cargar documentos" en la vista OD-01
And selecciono el documento protegido con contraseña "cartola_protegida.pdf"
Then valido que se muestra el estado recuperable "Documento protegido"
And valido que se muestra el campo para ingresar la contraseña del documento
And valido que se muestra el boton "Continuar revisión"
# Criterio de aceptación (matriz)
Then valido la obligación "Mostrar estado recuperable y solicitar clave solo cuando sea necesaria."
And valido el resultado "Estado requiere clave"
And valido el negativo/borde "No mostrar campo clave por defecto."
And valido el dato/estado "document processing · document_processing_status=requiere_clave"</t>
  </si>
  <si>
    <t>Aprobados</t>
  </si>
  <si>
    <t>Obligación: Mostrar estado recuperable y solicitar clave solo cuando sea necesaria.
Resultado: Estado requiere clave
Negativo/borde: No mostrar campo clave por defecto.</t>
  </si>
  <si>
    <t>Fallidos</t>
  </si>
  <si>
    <t>Bloqueados</t>
  </si>
  <si>
    <t>% Ejecutado</t>
  </si>
  <si>
    <t>% Aprobado</t>
  </si>
  <si>
    <t>TR-M04-054 · FLOW-M04-004 · Onboarding 1 · Documento protegido · M04-RGL-009 · Figma: Export 4.3-4.4 / documentado · Validación: TC-M04-006, TC-M04-007, TC-M04-008</t>
  </si>
  <si>
    <t>Desglose por Sección</t>
  </si>
  <si>
    <t>M4-V12</t>
  </si>
  <si>
    <t>OD-01 · Documento protegido - Clave correcta</t>
  </si>
  <si>
    <t># Precondiciones
Given inicio sesion en la App
And se cumple la variante de la matriz "Clave correcta"
And el estado inicial / origen es "Estado requiere clave"
And cargué el documento protegido "cartola_protegida.pdf" y se muestra el estado "Documento protegido"
# Pasos y validaciones
When ingreso la contraseña correcta del documento
And presiono el boton "Continuar revisión"
Then valido que se muestra el estado de procesamiento "Analizando"
When finaliza el procesamiento del documento
Then valido que me encuentro en la vista "OD-02 Revisión de deudas"
And valido que la contraseña no se muestra como dato de ninguna deuda detectada
When cargo nuevamente el documento "cartola_protegida.pdf" desde la vista OD-01
Then valido que se vuelve a solicitar la contraseña del documento
# Criterio de aceptación (matriz)
Then valido la obligación "Procesar documento y continuar a revisión; clave no se persiste como atributo de deuda."
And valido el resultado "Analizando / OD-02"
And valido el negativo/borde "No persistir secreto."
And valido el dato/estado "document processing · document_processing_status=documento_legible"</t>
  </si>
  <si>
    <t>Obligación: Procesar documento y continuar a revisión; clave no se persiste como atributo de deuda.
Resultado: Analizando / OD-02
Negativo/borde: No persistir secreto.</t>
  </si>
  <si>
    <t>TR-M04-055 · FLOW-M04-004 · Onboarding 1 · Documento protegido · M04-RGL-009; M04-RGL-040 · Figma: Documentado · Validación: TC-M04-006, TC-M04-007, TC-M04-008</t>
  </si>
  <si>
    <t>M4-V13</t>
  </si>
  <si>
    <t>Casos</t>
  </si>
  <si>
    <t>OD-01 · Documento protegido - Clave incorrecta</t>
  </si>
  <si>
    <t>Estado Sección</t>
  </si>
  <si>
    <t># Precondiciones
Given inicio sesion en la App
And se cumple la variante de la matriz "Clave incorrecta"
And el estado inicial / origen es "Estado requiere clave"
And cargué el documento protegido "cartola_protegida.pdf" y se muestra el estado "Documento protegido"
# Pasos y validaciones
When ingreso una contraseña incorrecta
And presiono el boton "Continuar revisión"
Then valido que se muestra un mensaje de error controlado de contraseña incorrecta
And valido que se muestran las opciones "Reintentar" y "Subir otro"
And valido que no se creó ninguna deuda ni se muestra el error como dato de deuda
When presiono el boton "Reintentar"
And ingreso la contraseña correcta del documento
And presiono el boton "Continuar revisión"
Then valido que se muestra el estado de procesamiento "Analizando"
# Criterio de aceptación (matriz)
Then valido la obligación "Mantener recuperación; permitir reintento u otro documento sin confirmar deuda."
And valido el resultado "Estado clave incorrecta"
And valido el negativo/borde "No tratar error como dato de deuda."
And valido el dato/estado "document processing · document_processing_status=clave_incorrecta"</t>
  </si>
  <si>
    <t>Obligación: Mantener recuperación; permitir reintento u otro documento sin confirmar deuda.
Resultado: Estado clave incorrecta
Negativo/borde: No tratar error como dato de deuda.</t>
  </si>
  <si>
    <t>TR-M04-056 · FLOW-M04-004 · Onboarding 1 · Documento protegido · M04-RGL-009 · Figma: Documentado · Validación: TC-M04-006, TC-M04-007, TC-M04-008</t>
  </si>
  <si>
    <t>M4-V14</t>
  </si>
  <si>
    <t>OD-01 · Documento protegido - Usuario no dispone de clave</t>
  </si>
  <si>
    <t># Precondiciones
Given inicio sesion en la App
And se cumple la variante de la matriz "Usuario no dispone de clave"
And el estado inicial / origen es "Estado requiere clave"
And cargué el documento protegido "cartola_protegida.pdf" y se muestra el estado "Documento protegido"
# Pasos y validaciones
When indico que no tengo la contraseña del documento
Then valido que se muestran las alternativas "Subir otro" e "Ingresar deuda manualmente"
When presiono el boton "&lt;alternativa&gt;"
Then valido que me encuentro en la vista "&lt;destino&gt;"
And valido que el flujo de Onboarding de Deudas no queda bloqueado
# Criterio de aceptación (matriz)
Then valido la obligación "Permitir subir otro documento o registrar manualmente; flujo M04 no queda bloqueado."
And valido el resultado "OD-01 / manual"
And valido el negativo/borde "No bloquear el módulo."
Examples:
  | alternativa                | destino                       |
  | Subir otro                 | OD-01 Agrega tus deudas       |
  | Ingresar deuda manualmente | Deuda manual - Ingresar datos |</t>
  </si>
  <si>
    <t>Obligación: Permitir subir otro documento o registrar manualmente; flujo M04 no queda bloqueado.
Resultado: OD-01 / manual
Negativo/borde: No bloquear el módulo.</t>
  </si>
  <si>
    <t>TR-M04-057 · FLOW-M04-004 · Onboarding 1 · Documento protegido · M04-RGL-009; M04-RGL-042 · Figma: Documentado · Validación: TC-M04-006, TC-M04-007, TC-M04-008</t>
  </si>
  <si>
    <t>M4-V15</t>
  </si>
  <si>
    <t>OD-01 · Documento no procesable</t>
  </si>
  <si>
    <t>OD-01 · Documento no procesable - Documento no procesable o sin datos suficientes</t>
  </si>
  <si>
    <t># Precondiciones
Given inicio sesion en la App
And se cumple la variante de la matriz "Documento no procesable o sin datos suficientes"
And el estado inicial / origen es "Carga/Analizando"
And me encuentro en la vista "OD-01 Agrega tus deudas" del Onboarding de Deudas
# Pasos y validaciones
When presiono el boton "Cargar documentos" en la vista OD-01
And selecciono el documento ilegible "foto_borrosa_boleta.jpg"
Then valido que el procesamiento no se marca como exitoso
And valido que se muestra un mensaje con las alternativas "Subir otro" e "Ingresar deuda manualmente"
And valido que no se creó deuda confirmada ni se muestra lectura de Presión
When presiono el boton "Subir otro"
Then valido que me encuentro en la vista "OD-01 Agrega tus deudas"
# Criterio de aceptación (matriz)
Then valido la obligación "Ofrecer otro documento o carga manual; no producir deuda confirmada ni lectura fuerte."
And valido el resultado "OD-01 / manual"
And valido el negativo/borde "No bloquear ni concluir."
And valido el dato/estado "document processing · document_processing_status=documento_no_procesable"</t>
  </si>
  <si>
    <t>Obligación: Ofrecer otro documento o carga manual; no producir deuda confirmada ni lectura fuerte.
Resultado: OD-01 / manual
Negativo/borde: No bloquear ni concluir.</t>
  </si>
  <si>
    <t>TR-M04-058 · FLOW-M04-005 · Onboarding 1 · Error documento · M04-RGL-010; M04-RGL-042 · Figma: Documentado · Validación: TC-M04-009</t>
  </si>
  <si>
    <t>M4-V16</t>
  </si>
  <si>
    <t>OD-02 · Revisión y validación</t>
  </si>
  <si>
    <t>OD-02 · Revisión y validación - Deuda detectada con datos suficientes y sin confirmación</t>
  </si>
  <si>
    <t># Precondiciones
Given inicio sesion en la App
And se cumple la variante de la matriz "Deuda detectada con datos suficientes y sin confirmación"
And el estado inicial / origen es "OD-02"
And me encuentro en la vista "OD-02 Revisión de deudas"
And la deuda "Tarjeta Banco Ejemplo" está detectada con datos suficientes y estado "Pendiente de confirmación"
# Pasos y validaciones
When presiono el boton "Confirmar deuda" en la card de la deuda "Tarjeta Banco Ejemplo"
Then valido que la deuda "Tarjeta Banco Ejemplo" cambia al estado "Confirmada"
And valido que continúo en la vista "OD-02 Revisión de deudas"
And valido que la Ruta Despeje no queda activa
And valido que no se muestra la vista "RD-03 Avance"
# Criterio de aceptación (matriz)
Then valido la obligación "Cambiar confirmation_status a confirmed; mantener separación entre confirmar y activar Ruta."
And valido el resultado "Deuda confirmada; continúa revisión"
And valido el negativo/borde "Confirmar deuda no activa la Ruta; la activación requiere el primer “Seguir plan” válido desde RD-02."
And valido el dato/estado "debt · confirmation_status=confirmed / functional_debt_state"
And valido la decisión/guardrail "D-M04-ACT-01 cerrada: elegible ≠ activa; activa con primer “Seguir plan” válido desde RD-02."</t>
  </si>
  <si>
    <t>Obligación: Cambiar confirmation_status a confirmed; mantener separación entre confirmar y activar Ruta.
Resultado: Deuda confirmada; continúa revisión
Negativo/borde: Confirmar deuda no activa la Ruta; la activación requiere el primer “Seguir plan” válido desde RD-02.</t>
  </si>
  <si>
    <t>TR-M04-059 · FLOW-M04-006 · Onboarding 2 · Revisión · M04-RGL-006; M04-RGL-014, M04-RGL-043 · Figma: A- Deudas detectadas, sólo falta confirmación.png · Validación: TC-M04-012, TC-M04-013</t>
  </si>
  <si>
    <t>M4-V17</t>
  </si>
  <si>
    <t>OD-02 · Revisión y validación - Falta dato crítico identificable</t>
  </si>
  <si>
    <t># Precondiciones
Given inicio sesion en la App
And se cumple la variante de la matriz "Falta dato crítico identificable"
And el estado inicial / origen es "OD-02"
And me encuentro en la vista "OD-02 Revisión de deudas"
And la deuda detectada "Crédito automotriz Financiera Ejemplo" no tiene el dato "Saldo actual"
Then valido que la card muestra por separado el tipo de deuda, el origen del dato y el estado de validación
And valido que la card indica explícitamente que falta el dato "Saldo actual"
And valido que la card no muestra un valor indeterminado "?" sin acción asociada
# Pasos y validaciones
When presiono el boton "Completar información" en la card de la deuda
Then valido que se muestra la vista "Completar datos" con el campo "Saldo actual"
# Criterio de aceptación (matriz)
Then valido la obligación "Mostrar qué falta y acción concreta de completitud; separar tipo/origen/validación."
And valido el resultado "Sheet completar / reevaluación"
And valido el negativo/borde "No usar “?” sin acción."
And valido el dato/estado "debt · debt_type / data_origin / confirmation_status / data_review_required_reason / data_completeness_status"</t>
  </si>
  <si>
    <t>Obligación: Mostrar qué falta y acción concreta de completitud; separar tipo/origen/validación.
Resultado: Sheet completar / reevaluación
Negativo/borde: No usar “?” sin acción.</t>
  </si>
  <si>
    <t>TR-M04-060 · FLOW-M04-007 · Onboarding 2 · Revisión · M04-RGL-043; M04-RGL-012, M04-RGL-013 · Figma: B-... + Sheet_Completar datos*.png · Validación: TC-M04-074; TC-M04-016, TC-M04-018</t>
  </si>
  <si>
    <t>M4-V18</t>
  </si>
  <si>
    <t>OD-02 · Revisión y validación - Usuario completa dato crítico</t>
  </si>
  <si>
    <t># Precondiciones
Given inicio sesion en la App
And se cumple la variante de la matriz "Usuario completa dato crítico"
And el estado inicial / origen es "Sheet completar"
And tengo la deuda confirmada "Tarjeta Banco Ejemplo" sin el dato "Pago mínimo / cuota mensual"
And mi ingreso mensual neto canónico M05 es 1.000.000 y el headroom canónico M05 es 0
And la deuda no registra deterioro de pago (D0)
And me encuentro en la vista "Completar datos" de la deuda
# Pasos y validaciones
When ingreso el pago mínimo / cuota mensual "600.000"
And presiono el boton "Guardar" en la vista Completar datos
Then valido que me encuentro en la vista "OD-03 Resultado"
And valido que la Presión final de la deuda es "Riesgo"
And valido que se muestra el boton "Ver Ruta Despeje"
And valido que la Ruta Despeje se muestra como elegible y no activa
# Criterio de aceptación (matriz)
Then valido la obligación "Persistir dato y reevaluar frescura, completitud y el contrato P4; si el gate queda completo, dejar Ruta elegible sin activarla."
And valido el resultado "OD-02 / OD-03 según gate"
And valido el negativo/borde "Reevaluar; completar el gate solo deja la Ruta elegible."
And valido el negativo/borde "La activación ocurre en el primer “Seguir plan” válido."
And valido el dato/estado "debt · minimum_data_ready / data_completeness_status / evaluación P4 de Presión / elegibilidad de Ruta"
And valido la decisión/guardrail "D-M04-ACT-01 cerrada: elegible ≠ activa; activa con primer “Seguir plan” válido desde RD-02. | BC-M04-001 cerrada funcionalmente. Aplicar P4-CNT-001, P4-CNT-007 y P4-CNT-018."</t>
  </si>
  <si>
    <t>Obligación: Persistir dato y reevaluar frescura, completitud y el contrato P4; si el gate queda completo, dejar Ruta elegible sin activarla.
Resultado: OD-02 / OD-03 según gate
Negativo/borde: Reevaluar; completar el gate solo deja la Ruta elegible. La activación ocurre en el primer “Seguir plan” válido.</t>
  </si>
  <si>
    <t>TR-M04-061 · FLOW-M04-007 · Onboarding 2 · Revisión · M04-RGL-012; M04-RGL-013, M04-RGL-014 · P4-CNT-001; P4-CNT-007; P4-CNT-018 · Figma: Sheet_Completar datos*.png · Validación: TC-M04-016, TC-M04-018</t>
  </si>
  <si>
    <t>M4-V19</t>
  </si>
  <si>
    <t>OD-02 · Revisión y validación - Usuario no conoce dato crítico</t>
  </si>
  <si>
    <t># Precondiciones
Given inicio sesion en la App
And se cumple la variante de la matriz "Usuario no conoce dato crítico"
And el estado inicial / origen es "OD-02"
And me encuentro en la vista "Completar datos" de la deuda "Crédito automotriz Financiera Ejemplo"
And la deuda no tiene el dato "Saldo actual"
# Pasos y validaciones
When dejo vacío el campo "Saldo actual"
And presiono el boton "Guardar pendiente"
Then valido que me encuentro en la vista "OD-02 Revisión de deudas"
And valido que la deuda se muestra con el pendiente visible "Saldo actual"
And valido que no se obligó a ingresar un valor para continuar
And valido que la deuda no muestra lectura "En Control" ni acceso a Ruta Despeje
# Criterio de aceptación (matriz)
Then valido la obligación "Conservar como pendiente/incompleta y excluir de conclusión fuerte."
And valido el resultado "Pendiente visible"
And valido el negativo/borde "No obligar a inventar dato."
And valido el dato/estado "debt · data_completeness_status / minimum_data_ready=false"</t>
  </si>
  <si>
    <t>Obligación: Conservar como pendiente/incompleta y excluir de conclusión fuerte.
Resultado: Pendiente visible
Negativo/borde: No obligar a inventar dato.</t>
  </si>
  <si>
    <t>TR-M04-062 · FLOW-M04-007 · Onboarding 2 · Revisión · M04-RGL-012; M04-RGL-043 · Figma: Documentado · Validación: TC-M04-016, TC-M04-018; TC-M04-074</t>
  </si>
  <si>
    <t>M4-V20</t>
  </si>
  <si>
    <t>OD-02 · Revisión y validación - Documento identifica deuda/pago pero datos son parciales</t>
  </si>
  <si>
    <t># Precondiciones
Given inicio sesion en la App
And se cumple la variante de la matriz "Documento identifica deuda/pago pero datos son parciales"
And el estado inicial / origen es "OD-02"
And cargué un documento que identifica la deuda "Crédito Banco Ejemplo" con cuota 80.000 pero sin saldo actual legible
And la deuda tiene estado de validación "&lt;estado_validacion&gt;"
# Pasos y validaciones
When ingreso a la vista "OD-02 Revisión de deudas"
Then valido que la deuda se muestra con origen de lectura parcial del documento
And valido que la lectura de la deuda se muestra como "&lt;lectura&gt;"
And valido que se ofrece la acción "&lt;accion&gt;"
And valido que no se muestra una conclusión fuerte de Presión ni acceso a Ruta Despeje
# Criterio de aceptación (matriz)
Then valido la obligación "Crear deuda pendiente con origen parcial; si el quality gate no permite una evaluación confiable, mantener resultado parcial/no calculable y orientar a completar/revisar; si está confirmada pero imprecisa, conservar lectura condicionada."
And valido el resultado "Pendiente / atención condicionada"
And valido el negativo/borde "No concluir fuerte con extracción parcial."
And valido el dato/estado "debt · data_origin / data_confidence_level / data_completeness_status / pressure_evaluation_status"
Examples:
  | estado_validacion         | lectura                             | accion    |
  | Pendiente de confirmación | Parcial / no calculable             | Completar |
  | Confirmada                | Condicionada por precisión limitada | Revisar   |</t>
  </si>
  <si>
    <t>Obligación: Crear deuda pendiente con origen parcial; si el quality gate no permite una evaluación confiable, mantener resultado parcial/no calculable y orientar a completar/revisar; si está confirmada pero imprecisa, conservar lectura condicionada.
Resultado: Pendiente / atención condicionada
Negativo/borde: No concluir fuerte con extracción parcial.</t>
  </si>
  <si>
    <t>TR-M04-063 · FLOW-M04-007 · Onboarding 2 · Revisión · M04-RGL-012; M04-RGL-013, M04-RGL-043 · Figma: No inequívoco en Figma · Validación: TC-M04-016, TC-M04-018</t>
  </si>
  <si>
    <t>M4-V21</t>
  </si>
  <si>
    <t>OD-02 · Revisión y validación - Deuda ya confirmada</t>
  </si>
  <si>
    <t># Precondiciones
Given inicio sesion en la App
And se cumple la variante de la matriz "Deuda ya confirmada"
And el estado inicial / origen es "OD-02"
And me encuentro en la vista "OD-02 Revisión de deudas" con 2 deudas
And la deuda "Tarjeta Banco Ejemplo" tiene estado "Confirmada"
And la deuda "Crédito Financiera Ejemplo" tiene estado "Pendiente de confirmación"
# Pasos y validaciones
When presiono el boton "Continuar" en la vista OD-02
Then valido que la deuda "Tarjeta Banco Ejemplo" mantiene el estado "Confirmada" sin solicitar reconfirmación
And valido que la deuda "Tarjeta Banco Ejemplo" aparece una sola vez en el listado
And valido que se solicita resolver la deuda "Crédito Financiera Ejemplo"
# Criterio de aceptación (matriz)
Then valido la obligación "Mantener estado confirmado y continuar resolución del resto de instancias."
And valido el resultado "OD-02 / OD-03 al completar"
And valido el negativo/borde "No reconfirmar ni duplicar."
And valido el dato/estado "debt · confirmation_status / functional_debt_state"</t>
  </si>
  <si>
    <t>Obligación: Mantener estado confirmado y continuar resolución del resto de instancias.
Resultado: OD-02 / OD-03 al completar
Negativo/borde: No reconfirmar ni duplicar.</t>
  </si>
  <si>
    <t>TR-M04-064 · FLOW-M04-008 · Onboarding 2 · Revisión · M04-RGL-006; M04-RGL-011 · Figma: C- Deudas confirmadas.png</t>
  </si>
  <si>
    <t>M4-V22</t>
  </si>
  <si>
    <t>OD-02 · Revisión y validación - Todas las instancias relevantes están resueltas</t>
  </si>
  <si>
    <t># Precondiciones
Given inicio sesion en la App
And se cumple la variante de la matriz "Todas las instancias relevantes están resueltas"
And el estado inicial / origen es "OD-02"
And me encuentro en la vista "OD-02 Revisión de deudas" con 3 deudas del mismo documento
And 2 deudas tienen estado "Confirmada" con datos mínimos completos
And 1 deuda tiene estado "No corresponde"
# Pasos y validaciones
When presiono el boton "Continuar" en la vista OD-02
Then valido que me encuentro en la vista "OD-03 Resultado"
And valido que el resultado considera solo las 2 deudas confirmadas
And valido que la deuda "No corresponde" no forma parte de la lectura del resultado
# Criterio de aceptación (matriz)
Then valido la obligación "Cerrar revisión por lote y derivar a evaluación/resultado."
And valido el resultado "OD-03"
And valido el negativo/borde "Pendientes restantes no deben colarse a conclusión fuerte."
And valido el dato/estado "debt · confirmation_status por instancia / data_completeness_status"</t>
  </si>
  <si>
    <t>Obligación: Cerrar revisión por lote y derivar a evaluación/resultado.
Resultado: OD-03
Negativo/borde: Pendientes restantes no deben colarse a conclusión fuerte.</t>
  </si>
  <si>
    <t>TR-M04-065 · FLOW-M04-008 · Onboarding 2 · Revisión · M04-RGL-011; M04-RGL-012 · Figma: Figma revisión</t>
  </si>
  <si>
    <t>M4-V23</t>
  </si>
  <si>
    <t>OD-02 · Revisión y validación - Usuario no reconoce deuda</t>
  </si>
  <si>
    <t># Precondiciones
Given inicio sesion en la App
And se cumple la variante de la matriz "Usuario no reconoce deuda"
And el estado inicial / origen es "OD-02 deuda detectada"
And me encuentro en la vista "OD-02 Revisión de deudas"
And la deuda detectada "Crédito Casa Comercial Ejemplo" tiene estado "Pendiente de confirmación"
# Pasos y validaciones
When presiono el boton "No corresponde" en la card de la deuda "Crédito Casa Comercial Ejemplo"
And confirmo la acción en el modal "No corresponde"
Then valido que la deuda se muestra como "Descartada / No corresponde"
And valido que la deuda conserva visible su origen y la decisión de descarte
When presiono el boton "Continuar" en la vista OD-02
Then valido que la deuda descartada no se considera en la Salud de Deuda ni en la Ruta Despeje
# Criterio de aceptación (matriz)
Then valido la obligación "Excluir de Salud/Ruta; conservar provenance mínima de origen/decisión."
And valido el resultado "Instancia descartada"
And valido el negativo/borde "No borrar trazabilidad necesaria."
And valido el dato/estado "debt · confirmation_status=dismissed / debt_status=no_corresponde / data_origin"</t>
  </si>
  <si>
    <t>Obligación: Excluir de Salud/Ruta; conservar provenance mínima de origen/decisión.
Resultado: Instancia descartada
Negativo/borde: No borrar trazabilidad necesaria.</t>
  </si>
  <si>
    <t>TR-M04-066 · FLOW-M04-009 · Onboarding 2 · Revisión · M04-RGL-007 · Figma: Modal No corresponde · documentado · Validación: TC-M04-014</t>
  </si>
  <si>
    <t>M4-V24</t>
  </si>
  <si>
    <t>OD-02 · Revisión y validación - Existe duplicado probable</t>
  </si>
  <si>
    <t># Precondiciones
Given inicio sesion en la App
And se cumple la variante de la matriz "Existe duplicado probable"
And el estado inicial / origen es "OD-02 deuda detectada/registrada"
And tengo registrada manualmente la deuda "Tarjeta Banco Ejemplo" con saldo 450.000
And cargué un documento que detecta la deuda "Tarjeta Banco Ejemplo" con saldo 450.000
# Pasos y validaciones
When ingreso a la vista "OD-02 Revisión de deudas"
Then valido que se muestra la acción "Revisar coincidencia" sobre la posible deuda duplicada
And valido que las deudas no se fusionaron automáticamente
And valido que el total de deuda no suma dos veces el saldo 450.000
When presiono el boton "Revisar coincidencia"
And indico que ambas corresponden a la misma deuda
Then valido que queda una única instancia válida de la deuda "Tarjeta Banco Ejemplo"
# Criterio de aceptación (matriz)
Then valido la obligación "Solicitar revisión; no fusionar automáticamente ni doble contabilizar."
And valido el resultado "Una instancia válida / pendiente resolución"
And valido el negativo/borde "No auto-merge."
And valido el dato/estado "debt · debt_id / signal_status / confirmation_status"</t>
  </si>
  <si>
    <t>Obligación: Solicitar revisión; no fusionar automáticamente ni doble contabilizar.
Resultado: Una instancia válida / pendiente resolución
Negativo/borde: No auto-merge.</t>
  </si>
  <si>
    <t>TR-M04-067 · FLOW-M04-010 · Onboarding 2 · Revisión · M04-RGL-008 · Figma: Modal duplicado · documentado · Validación: TC-M04-015</t>
  </si>
  <si>
    <t>M4-V25</t>
  </si>
  <si>
    <t>OD-02 · Revisión y validación - Documento contiene múltiples posibles deudas</t>
  </si>
  <si>
    <t># Precondiciones
Given inicio sesion en la App
And se cumple la variante de la matriz "Documento contiene múltiples posibles deudas"
And el estado inicial / origen es "OD-02 lote"
And cargué el documento "Informe_Deudas_CMF.pdf" que contiene 3 posibles deudas
# Pasos y validaciones
When ingreso a la vista "OD-02 Revisión de deudas"
Then valido que se muestran 3 cards individuales, cada una con su propio estado de validación
And valido que no existe la acción de confirmar todas las deudas en bloque
When presiono el boton "Confirmar deuda" en la primera card
Then valido que solo la primera deuda cambia al estado "Confirmada"
And valido que las otras 2 deudas mantienen el estado "Pendiente de confirmación"
# Criterio de aceptación (matriz)
Then valido la obligación "Separar instancias y revisar individualmente; no consolidar lote por defecto."
And valido el resultado "Lista con estados individuales"
And valido el negativo/borde "No confirmar todas en bloque."
And valido el dato/estado "debt · debt_id por instancia / confirmation_status / data_completeness_status"</t>
  </si>
  <si>
    <t>Obligación: Separar instancias y revisar individualmente; no consolidar lote por defecto.
Resultado: Lista con estados individuales
Negativo/borde: No confirmar todas en bloque.</t>
  </si>
  <si>
    <t>TR-M04-068 · FLOW-M04-011 · Onboarding 2 · Revisión · M04-RGL-011; M04-RGL-043 · Figma: Revisión por lote · Validación: TC-M04-011, TC-M04-017</t>
  </si>
  <si>
    <t>M4-V26</t>
  </si>
  <si>
    <t>OD-02 · Revisión y validación - Solo parte del lote está resuelta</t>
  </si>
  <si>
    <t># Precondiciones
Given inicio sesion en la App
And se cumple la variante de la matriz "Solo parte del lote está resuelta"
And el estado inicial / origen es "OD-02 lote"
And cargué un documento con 3 deudas y confirmé solo 1 de ellas
# Pasos y validaciones
When ingreso a la vista "OD-02 Revisión de deudas"
Then valido que las 2 deudas sin resolver se muestran como pendientes
And valido que se muestra la acción "Revisar pendientes"
And valido que no se muestra una lectura concluyente de Presión que mezcle deudas confirmadas y pendientes
And visualizo la pantalla "Home" de la vista Home
When presiono el boton "Mi Perfil" en la vista Home
And selecciono la opcion "Mi Perfil"
And presiono el boton "Mi Perfil Financiero" en la vista Mi Perfil
Then valido que me encuentro en la vista de Perfil Financiero
And valido que Perfil Financiero indica que existen deudas pendientes de revisión
# Criterio de aceptación (matriz)
Then valido la obligación "Mantener pendientes visibles y fuera de lectura concluyente hasta resolverlas."
And valido el resultado "OD-02 / perfil pendiente"
And valido el negativo/borde "No mezclar confirmadas y pendientes en conclusión fuerte."
And valido el dato/estado "debt · confirmation_status / data_completeness_status"</t>
  </si>
  <si>
    <t>Obligación: Mantener pendientes visibles y fuera de lectura concluyente hasta resolverlas.
Resultado: OD-02 / perfil pendiente
Negativo/borde: No mezclar confirmadas y pendientes en conclusión fuerte.</t>
  </si>
  <si>
    <t>TR-M04-069 · FLOW-M04-011 · Onboarding 2 · Revisión · M04-RGL-011; M04-RGL-012 · Figma: Figma revisión · Validación: TC-M04-011, TC-M04-017</t>
  </si>
  <si>
    <t>M4-V27</t>
  </si>
  <si>
    <t>OD-02→OD-03 · Evaluación</t>
  </si>
  <si>
    <t>OD-02→OD-03 · Evaluación - Base completa para evaluación</t>
  </si>
  <si>
    <t># Precondiciones
Given inicio sesion en la App
And se cumple la variante de la matriz "Base completa para evaluación"
And el estado inicial / origen es "OD-02→OD-03"
And tengo la deuda confirmada "Crédito Banco Ejemplo" con datos mínimos vigentes
And la cuota mensual de la deuda es 300.000 y mi ingreso mensual neto canónico M05 es 1.000.000
And el headroom canónico M05 del período es 25% del ingreso
And la deuda no registra deterioro de pago (D0)
And me encuentro en la vista "OD-02 Revisión de deudas"
# Pasos y validaciones
When presiono el boton "Siguiente" en la vista OD-02
Then valido que me encuentro en la vista "OD-03 Resultado"
And valido que la Presión final de la deuda es "En Control"
And valido que el resultado no depende de los porcentajes ilustrativos de Figma
# Criterio de aceptación (matriz)
Then valido la obligación "Evaluar confirmación, suficiencia, frescura y Presión P4 antes de producir resultado."
And valido el resultado "OD-03 con lectura aplicable"
And valido el negativo/borde "No usar Figma porcentaje como oráculo."
And valido el dato/estado "debt / debt_signal · confirmation_status / minimum_data_ready / data_freshness_status / inputs C-K-D / Presión final / versión de regla"
And valido la decisión/guardrail "Oráculo financiero: P4-CNT-001, P4-CNT-007, P4-CNT-008. Porcentajes Figma no son input."</t>
  </si>
  <si>
    <t>Obligación: Evaluar confirmación, suficiencia, frescura y Presión P4 antes de producir resultado.
Resultado: OD-03 con lectura aplicable
Negativo/borde: No usar Figma porcentaje como oráculo.</t>
  </si>
  <si>
    <t>TR-M04-070 · FLOW-M04-012 · Onboarding 2→3 · M04-RGL-012; M04-RGL-013, M04-RGL-014, M04-RGL-038 · P4-CNT-001; P4-CNT-007; P4-CNT-008 · Figma: onboarding 3. Resultado.png · Validación: TC-M04-019; TC-M04-020, TC-M04-021, TC-M04-071</t>
  </si>
  <si>
    <t>M4-V28</t>
  </si>
  <si>
    <t>OD-02→OD-03 · Evaluación - Base permite lectura cualitativa pero precisión es limitada</t>
  </si>
  <si>
    <t># Precondiciones
Given inicio sesion en la App
And se cumple la variante de la matriz "Base permite lectura cualitativa pero precisión es limitada"
And el estado inicial / origen es "OD-02→OD-03"
And tengo la deuda confirmada "Crédito Banco Ejemplo" con el dato "Saldo actual" de baja confianza
And la deuda tiene "&lt;evidencia_adversa&gt;"
And me encuentro en la vista "OD-02 Revisión de deudas"
# Pasos y validaciones
When presiono el boton "Siguiente" en la vista OD-02
Then valido que me encuentro en la vista "OD-03 Resultado"
And valido que la lectura de la deuda se muestra como "&lt;lectura&gt;"
And valido que no se muestra una conclusión favorable "En Control"
And valido que se ofrece la acción "Completar/Corregir"
# Criterio de aceptación (matriz)
Then valido la obligación "Degradar la lectura cuando la calidad es insuficiente; un faltante material bloquea En Control, sin borrar evidencia adversa independientemente suficiente."
And valido el resultado "OD-03 parcial / completitud; sin conclusión favorable fuerte"
And valido el negativo/borde "No simular certeza."
And valido el dato/estado "debt · data_confidence_level / data_freshness_status / blocking_missing_fields"
And valido la decisión/guardrail "Aplicar G1/G2 de P4-CNT-001; Salud solo si es evaluable."
Examples:
  | evidencia_adversa                                          | lectura                       |
  | sin evidencia adversa (C1·K2·D0)                           | Parcial                       |
  | evidencia adversa suficiente con Presión Riesgo (C3·K0·D2) | Riesgo con precisión limitada |</t>
  </si>
  <si>
    <t>Obligación: Degradar la lectura cuando la calidad es insuficiente; un faltante material bloquea En Control, sin borrar evidencia adversa independientemente suficiente.
Resultado: OD-03 parcial / completitud; sin conclusión favorable fuerte
Negativo/borde: No simular certeza.</t>
  </si>
  <si>
    <t>TR-M04-071 · FLOW-M04-012 · Onboarding 2→3 · M04-RGL-013; M04-RGL-012, M04-RGL-037 · P4-CNT-001 · Figma: Figma resultado + doc · Validación: TC-M04-020, TC-M04-021, TC-M04-071; TC-M04-019</t>
  </si>
  <si>
    <t>M4-V29</t>
  </si>
  <si>
    <t>OD-02→OD-03 · Evaluación - Falta dato crítico o confirmación</t>
  </si>
  <si>
    <t># Precondiciones
Given inicio sesion en la App
And se cumple la variante de la matriz "Falta dato crítico o confirmación"
And el estado inicial / origen es "OD-02→OD-03"
And tengo la deuda "Tarjeta Banco Ejemplo" con la condición "&lt;condicion&gt;"
And me encuentro en la vista "OD-02 Revisión de deudas"
# Pasos y validaciones
When presiono el boton "Siguiente" en la vista OD-02
Then valido que permanezco en la vista "OD-02 Revisión de deudas" con la deuda pendiente
And valido que se muestra la acción "&lt;accion&gt;"
And valido que no se muestra plan ni cronograma de Ruta Despeje
And valido que no se muestra la Presión "En Control"
# Criterio de aceptación (matriz)
Then valido la obligación "Bloquear conclusión fuerte favorable y devolver a completitud/confirmación cuando falte dato material o confirmación."
And valido el resultado "OD-02 / pendiente"
And valido el negativo/borde "No mostrar plan/cronograma."
And valido el dato/estado "debt · minimum_data_ready=false / confirmation_status / route_activation_allowed=false"
And valido la decisión/guardrail "Aplicar P4-CNT-001 y P4-CNT-018; no fabricar En Control."
Examples:
  | condicion                                        | accion                |
  | deuda detectada sin confirmar                    | Confirmar deuda       |
  | deuda confirmada sin pago mínimo / cuota mensual | Completar información |</t>
  </si>
  <si>
    <t>Obligación: Bloquear conclusión fuerte favorable y devolver a completitud/confirmación cuando falte dato material o confirmación.
Resultado: OD-02 / pendiente
Negativo/borde: No mostrar plan/cronograma.</t>
  </si>
  <si>
    <t>TR-M04-072 · FLOW-M04-012 · Onboarding 2→3 · M04-RGL-012; M04-RGL-014 · P4-CNT-001; P4-CNT-018 · Figma: Documentado · Validación: TC-M04-019</t>
  </si>
  <si>
    <t>M4-V30</t>
  </si>
  <si>
    <t>OD-03 · Resultado En Control</t>
  </si>
  <si>
    <t>OD-03 · Resultado En Control - Deuda confirmada con Presión final En Control y datos suficientes</t>
  </si>
  <si>
    <t># Precondiciones
Given inicio sesion en la App
And se cumple la variante de la matriz "Deuda confirmada con Presión final En Control y datos suficientes"
And el estado inicial / origen es "OD-03 Resultado"
And tengo la deuda confirmada "Crédito Banco Ejemplo" con datos mínimos vigentes y pagos al día
And la cuota mensual es 150.000, mi ingreso neto canónico M05 es 1.000.000 y el headroom M05 es 30%
# Pasos y validaciones
When ingreso a la vista "OD-03 Resultado"
Then valido que la Presión final de la deuda es "En Control"
And valido que la Salud de Deuda es "Sana"
And valido que se muestran los botones "Ver detalle" y "Revisar mis pagos"
And valido que no se muestra el boton "Ver Ruta Despeje" y la Ruta no queda activa
When presiono el boton "Ver detalle" en la vista OD-03
Then valido que me encuentro en la vista "DD-01 Detalle de deuda"
# Criterio de aceptación (matriz)
Then valido la obligación "Mostrar En Control/seguimiento y mantener Ruta inactiva; el CTA operativo puede derivar a M06 sin cambiar ownership."
And valido el resultado "En Control · detalle/seguimiento"
And valido el negativo/borde "No activar Ruta por deuda confirmada sin presión."
And valido el dato/estado "debt · Presión final=En Control / Salud según aging y suficiencia"
And valido la decisión/guardrail "Estado funcional calculado por P4-CNT-007; representación visual se mantiene desacoplada."</t>
  </si>
  <si>
    <t>Obligación: Mostrar En Control/seguimiento y mantener Ruta inactiva; el CTA operativo puede derivar a M06 sin cambiar ownership.
Resultado: En Control · detalle/seguimiento
Negativo/borde: No activar Ruta por deuda confirmada sin presión.</t>
  </si>
  <si>
    <t>TR-M04-073 · FLOW-M04-013 · Onboarding 3 · Resultado · M04-RGL-017; M04-RGL-037 · P4-CNT-007 · Figma: Primera lectura - en control*.png · Validación: TC-M04-023; TC-M04-035</t>
  </si>
  <si>
    <t>M4-V31</t>
  </si>
  <si>
    <t>OD-03 · Resultado En Control - Estado En Control M04 con acción operativa de pagos perteneciente a M06.</t>
  </si>
  <si>
    <t># Precondiciones
Given inicio sesion en la App
And se cumple la variante de la matriz "Estado En Control M04 con acción operativa de pagos perteneciente a M06."
And el estado inicial / origen es "OD-03 Resultado"
And tengo una deuda confirmada con Presión final "En Control"
And me encuentro en la vista "OD-03 Resultado"
# Pasos y validaciones
When presiono el boton "Revisar mis pagos" en la vista OD-03
Then valido que me encuentro en la vista "Pagos" de M06
And valido que al regresar a M04 la Presión de la deuda sigue siendo "En Control"
And valido que M04 no muestra un aviso propio de pago asociado a esta acción
# Criterio de aceptación (matriz)
Then valido la obligación "CTA observado deriva a M06/Pagos manteniendo owner M06."
And valido el resultado "M06/Pagos"
And valido el negativo/borde "No convertir CTA M06 en señal producida por M04."
And valido el dato/estado "debt_signal · signal_code inbound M06"
And valido la decisión/guardrail "BC-M04-002 cerrada para producción/proyección M04; orquestación global fuera."</t>
  </si>
  <si>
    <t>Obligación: CTA observado deriva a M06/Pagos manteniendo owner M06.
Resultado: M06/Pagos
Negativo/borde: No convertir CTA M06 en señal producida por M04.</t>
  </si>
  <si>
    <t>TR-M04-074 · FLOW-M04-013 · Onboarding 3 · Resultado · M04-RGL-016; M04-RGL-039 · Figma: Primera lectura - en control*.png</t>
  </si>
  <si>
    <t>M4-V32</t>
  </si>
  <si>
    <t>OD-03 · Resultado En Control - Tarjeta con total facturado pagado dentro del ciclo</t>
  </si>
  <si>
    <t># Precondiciones
Given inicio sesion en la App
And se cumple la variante de la matriz "Tarjeta con total facturado pagado dentro del ciclo"
And el estado inicial / origen es "OD-03 Resultado"
And tengo la tarjeta confirmada "Tarjeta Banco Ejemplo" con ciclo reconciliado por M06
And el total facturado del ciclo es 450.000 y el pago realizado dentro del ciclo es 450.000
And la carga mensual es C1 y el headroom canónico M05 es K2
# Pasos y validaciones
When ingreso a la vista "OD-03 Resultado"
Then valido que la lectura de ciclo de la tarjeta no registra deterioro (D0)
And valido que la Presión final de la deuda es "En Control"
And valido que no se muestra una alerta de Atención o Riesgo por el ciclo pagado
# Criterio de aceptación (matriz)
Then valido la obligación "Ciclo con total facturado cubierto: D0 por este comportamiento."
And valido la obligación "La Presión final se determina por el contrato P4 completo; no escalar por el ciclo pagado."
And valido el resultado "D0 por ciclo; Presión/Salud según contrato P4"
And valido el negativo/borde "No falso rojo."
And valido el dato/estado "debt_cycle · statement_total_amount / payment_made_amount / cycle_evaluation_status / D=D0"
And valido la decisión/guardrail "Anti-falso-rojo: P4-CNT-015."</t>
  </si>
  <si>
    <t>Obligación: Ciclo con total facturado cubierto: D0 por este comportamiento. La Presión final se determina por el contrato P4 completo; no escalar por el ciclo pagado.
Resultado: D0 por ciclo; Presión/Salud según contrato P4
Negativo/borde: No falso rojo.</t>
  </si>
  <si>
    <t>TR-M04-075 · FLOW-M04-013 · Onboarding 3 · Resultado · M04-RGL-041; M04-RGL-017 · P4-CNT-015 · Figma: Figma En Control + BDD · Validación: TC-M04-067; TC-M04-023</t>
  </si>
  <si>
    <t>M4-V33</t>
  </si>
  <si>
    <t>OD-03 · Resultado En Control - Compras en cuotas al día</t>
  </si>
  <si>
    <t># Precondiciones
Given inicio sesion en la App
And se cumple la variante de la matriz "Compras en cuotas al día"
And el estado inicial / origen es "OD-03 Resultado"
And tengo la tarjeta confirmada "Tarjeta Banco Ejemplo" con 2 compras en cuotas al día
And la suma de cuotas mensuales es 120.000 y mi ingreso neto canónico M05 es 1.000.000
And el headroom canónico M05 es 25% del ingreso
# Pasos y validaciones
When ingreso a la vista "OD-03 Resultado"
Then valido que las cuotas al día no registran deterioro (D0)
And valido que la carga mensual considera las cuotas por 120.000
And valido que la Presión final de la deuda es "En Control"
And valido que no se muestra acceso a Ruta Despeje por la sola existencia de cuotas
# Criterio de aceptación (matriz)
Then valido la obligación "Compras en cuotas al día: D0 por ese comportamiento; la cuota sí integra C cuando corresponda y no activa Ruta por existir."
And valido el resultado "D0 por cuotas al día; Presión según C×K×D"
And valido el negativo/borde "No crisis por existir cuotas."
And valido el dato/estado "debt_cycle · installment_monthly_amount / payment_status_cycle / D=D0"
And valido la decisión/guardrail "Aplicar P4-CNT-002 y P4-CNT-015."</t>
  </si>
  <si>
    <t>Obligación: Compras en cuotas al día: D0 por ese comportamiento; la cuota sí integra C cuando corresponda y no activa Ruta por existir.
Resultado: D0 por cuotas al día; Presión según C×K×D
Negativo/borde: No crisis por existir cuotas.</t>
  </si>
  <si>
    <t>TR-M04-076 · FLOW-M04-013 · Onboarding 3 · Resultado · M04-RGL-041; M04-RGL-017 · P4-CNT-002; P4-CNT-015 · Figma: Figma En Control + BDD · Validación: TC-M04-067; TC-M04-023</t>
  </si>
  <si>
    <t>M4-V34</t>
  </si>
  <si>
    <t>OD-03 · Resultado Atención / contexto</t>
  </si>
  <si>
    <t>OD-03 · Resultado Atención / contexto - Capacidad ajustada/baja según K canónico</t>
  </si>
  <si>
    <t># Precondiciones
Given inicio sesion en la App
And se cumple la variante de la matriz "Capacidad ajustada/baja según K canónico"
And el estado inicial / origen es "OD-03 Resultado"
And tengo una deuda confirmada con datos mínimos vigentes, carga C1 y sin deterioro (D0)
And el headroom canónico M05 del período es "&lt;headroom&gt;" del ingreso
# Pasos y validaciones
When ingreso a la vista "OD-03 Resultado"
Then valido que la banda de capacidad aplicada es "&lt;banda_k&gt;"
And valido que la Presión final de la deuda es "&lt;presion&gt;"
And valido que no se aplica una regla independiente de holgura del 5%
# Criterio de aceptación (matriz)
Then valido la obligación "No aplicar un floor independiente de 5%."
And valido la obligación "Consumir K canónico y dejar que C×K×D determine Presión."
And valido el resultado "Presión según K y resto del motor; sin mapping 5% autónomo"
And valido el negativo/borde "No convertir holgura en score Figma."
And valido el dato/estado "debt_signal · headroom canónico M05 / banda K / versión"
And valido la decisión/guardrail "RGL-023 absorbida por P4-CNT-004/P4-CNT-005."
Examples:
  | headroom | banda_k | presion    |
  | 21%      | K2      | En Control |
  | 20%      | K1      | Atención   |
  | 4%       | K1      | Atención   |
  | 0%       | K0      | Atención   |
  | -5%      | K0      | Atención   |</t>
  </si>
  <si>
    <t>Obligación: No aplicar un floor independiente de 5%. Consumir K canónico y dejar que C×K×D determine Presión.
Resultado: Presión según K y resto del motor; sin mapping 5% autónomo
Negativo/borde: No convertir holgura en score Figma.</t>
  </si>
  <si>
    <t>TR-M04-077 · FLOW-M04-014 · Onboarding 3 · Resultado · M04-RGL-023; M04-RGL-018 · P4-CNT-004; P4-CNT-005 · Figma: OD-03 Atención · Validación: TC-M04-034</t>
  </si>
  <si>
    <t>M4-V35</t>
  </si>
  <si>
    <t>OD-03 · Resultado Atención / contexto - 4+ cuotas y ratio agregado &gt;=8% del ingreso</t>
  </si>
  <si>
    <t># Precondiciones
Given inicio sesion en la App
And se cumple la variante de la matriz "4+ cuotas y ratio agregado &gt;=8% del ingreso"
And el estado inicial / origen es "OD-03 Resultado"
And tengo "&lt;cantidad&gt;" cuotas activas confirmadas cuyo ratio agregado sobre el ingreso es "&lt;ratio&gt;"
And la Presión base C×K×D de mis deudas es "En Control" (C1·K2·D0)
# Pasos y validaciones
When ingreso a la vista "OD-03 Resultado"
Then valido que el detector de muchas cuotas pequeñas se muestra "&lt;detector&gt;"
And valido que la Presión final se mantiene en "En Control"
And valido que no se habilita acceso a Ruta Despeje por el detector
# Criterio de aceptación (matriz)
Then valido la obligación "Registrar detector contextual de fragmentación."
And valido la obligación "No altera por sí solo la banda de Presión ni la elegibilidad de Ruta."
And valido el resultado "Detector contextual; Presión conserva resultado de C×K×D/overlays"
And valido el negativo/borde "No activar Ruta por regla aislada."
And valido el dato/estado "debt_signal · conteo de cuotas activas / ratio agregado / versión de parámetros"
And valido la decisión/guardrail "Aplicar P4-CNT-014; no floor."
Examples:
  | cantidad | ratio | detector |
  | 4        | 8%    | activo   |
  | 4        | 7,99% | inactivo |
  | 3        | 12%   | inactivo |</t>
  </si>
  <si>
    <t>Obligación: Registrar detector contextual de fragmentación. No altera por sí solo la banda de Presión ni la elegibilidad de Ruta.
Resultado: Detector contextual; Presión conserva resultado de C×K×D/overlays
Negativo/borde: No activar Ruta por regla aislada.</t>
  </si>
  <si>
    <t>TR-M04-078 · FLOW-M04-014 · Onboarding 3 · Resultado · M04-RGL-022; M04-RGL-018 · P4-CNT-014 · Figma: OD-03 Atención · Validación: TC-M04-032, TC-M04-033</t>
  </si>
  <si>
    <t>M4-V36</t>
  </si>
  <si>
    <t>OD-03 · Resultado Atención / contexto - Liquidez financiada puntual para flujo ordinario, justificable como descalce y no recurrente</t>
  </si>
  <si>
    <t># Precondiciones
Given inicio sesion en la App
And se cumple la variante de la matriz "Liquidez financiada puntual para flujo ordinario, justificable como descalce y no recurrente"
And el estado inicial / origen es "OD-03 Resultado"
And tengo una deuda confirmada con Presión base "En Control" (C1·K2·D0)
And en el ciclo actual usé un avance en efectivo para gastos ordinarios, justificado como descalce puntual
And en el ciclo anterior comparable no usé liquidez financiada
# Pasos y validaciones
When ingreso a la vista "OD-03 Resultado"
Then valido que el uso de liquidez financiada se muestra solo como contexto
And valido que la Presión final se mantiene en "En Control"
When en el siguiente ciclo consecutivo comparable vuelvo a usar avance en efectivo para gastos ordinarios
And ingreso a la vista "OD-03 Resultado"
Then valido que la situación se reevalúa como recurrencia de liquidez financiada
# Criterio de aceptación (matriz)
Then valido la obligación "Mantener contexto sin floor en el primer ciclo; si reaparece en ciclos consecutivos comparables, reevaluar bajo recurrencia RGL-021."
And valido el resultado "Contexto / seguimiento; posible primer ciclo de patrón"
And valido el negativo/borde "No promover a regla cerrada durante ."
And valido el dato/estado "debt_signal · naturaleza financiada / finalidad confirmada / ciclo / comparabilidad / recurrencia"
And valido la decisión/guardrail "Aplicar P4-CNT-011, P4-CNT-013, P4-CNT-012."</t>
  </si>
  <si>
    <t>Obligación: Mantener contexto sin floor en el primer ciclo; si reaparece en ciclos consecutivos comparables, reevaluar bajo recurrencia RGL-021.
Resultado: Contexto / seguimiento; posible primer ciclo de patrón
Negativo/borde: No promover a regla cerrada durante .</t>
  </si>
  <si>
    <t>TR-M04-079 · FLOW-M04-014 · Onboarding 3 · Resultado · M04-RGL-021; M04-RGL-018 · P4-CNT-011; P4-CNT-012; P4-CNT-013 · Figma: OD-03 Atención · Validación: TC-M04-028</t>
  </si>
  <si>
    <t>M4-V37</t>
  </si>
  <si>
    <t>OD-03 · Resultado Atención / contexto - Cuotas con intereses/CAE/comisiones sin presión fuerte</t>
  </si>
  <si>
    <t># Precondiciones
Given inicio sesion en la App
And se cumple la variante de la matriz "Cuotas con intereses/CAE/comisiones sin presión fuerte"
And el estado inicial / origen es "OD-03 Resultado"
And tengo el crédito confirmado "Crédito Banco Ejemplo" con cuota mensual 100.000 al día
And la cuota mensual incluye intereses, CAE y comisión ordinaria
And mi ingreso neto canónico M05 es 1.000.000 y el headroom M05 es 25%
# Pasos y validaciones
When ingreso a la vista "OD-03 Resultado"
Then valido que el costo financiero ordinario no registra deterioro (D0)
And valido que la carga mensual considera 100.000 sin sumar nuevamente intereses ni comisiones
And valido que la Presión final de la deuda es "En Control"
# Criterio de aceptación (matriz)
Then valido la obligación "Interés, CAE o comisión financiera ordinaria no genera D por sí sola."
And valido la obligación "Si está incorporada en la cuota/servicio, impacta C sin doble conteo."
And valido el resultado "D0 por costo ordinario; Presión según C×K×D"
And valido el negativo/borde "No equiparar costo a incumplimiento."
And valido el dato/estado "debt_cycle · costo financiero confirmado / servicio mensual normalizado / D=D0"
And valido la decisión/guardrail "Aplicar P4-CNT-002 y P4-CNT-015; recargo moratorio sigue aging/deterioro."</t>
  </si>
  <si>
    <t>Obligación: Interés, CAE o comisión financiera ordinaria no genera D por sí sola. Si está incorporada en la cuota/servicio, impacta C sin doble conteo.
Resultado: D0 por costo ordinario; Presión según C×K×D
Negativo/borde: No equiparar costo a incumplimiento.</t>
  </si>
  <si>
    <t>TR-M04-080 · FLOW-M04-014 · Onboarding 3 · Resultado · M04-RGL-041; M04-RGL-018 · P4-CNT-002; P4-CNT-015 · Figma: OD-03 Atención · Validación: TC-M04-069</t>
  </si>
  <si>
    <t>M4-V38</t>
  </si>
  <si>
    <t>OD-03 · Resultado Atención / contexto - Dato crítico no vigente o confianza insuficiente</t>
  </si>
  <si>
    <t># Precondiciones
Given inicio sesion en la App
And se cumple la variante de la matriz "Dato crítico no vigente o confianza insuficiente"
And el estado inicial / origen es "OD-03 Resultado"
And tengo una deuda confirmada cuyo dato "&lt;dato&gt;" fue actualizado hace "&lt;antiguedad&gt;"
And con los datos actuales la Presión base sería "En Control"
# Pasos y validaciones
When ingreso a la vista "OD-03 Resultado"
Then valido que el dato se considera "&lt;vigencia&gt;"
And valido que la lectura mostrada es "&lt;lectura&gt;"
# Criterio de aceptación (matriz)
Then valido la obligación "Degradar lectura y pedir corrección cuando un dato material no sea vigente/confiable; faltantes materiales bloquean En Control."
And valido el resultado "OD-02 / revisión"
And valido el negativo/borde "No usar dato crítico desactualizado para Ruta."
And valido el dato/estado "debt · data_freshness_status / data_review_required_reason / confidence_level / evaluated_at"
And valido la decisión/guardrail "Aplicar P4-CNT-001; no usar dato crítico desactualizado como soporte favorable."
Examples:
  | dato                        | antiguedad | vigencia   | lectura                                     |
  | Saldo actual                | 29 días    | vigente    | En Control                                  |
  | Saldo actual                | 31 días    | no vigente | degradada con acción "Corregir" hacia OD-02 |
  | Pago mínimo / cuota mensual | 31 días    | no vigente | degradada con acción "Corregir" hacia OD-02 |
  | Documento de deuda          | 59 días    | vigente    | En Control                                  |
  | Documento de deuda          | 61 días    | no vigente | degradada con acción "Corregir" hacia OD-02 |
  | Compromiso informal         | 61 días    | no vigente | degradada con acción "Corregir" hacia OD-02 |</t>
  </si>
  <si>
    <t>Obligación: Degradar lectura y pedir corrección cuando un dato material no sea vigente/confiable; faltantes materiales bloquean En Control.
Resultado: OD-02 / revisión
Negativo/borde: No usar dato crítico desactualizado para Ruta.</t>
  </si>
  <si>
    <t>TR-M04-081 · FLOW-M04-014 · Onboarding 3 · Resultado · M04-RGL-013; M04-RGL-018 · P4-CNT-001 · Figma: OD-03 Atención / copy dato</t>
  </si>
  <si>
    <t>M4-V39</t>
  </si>
  <si>
    <t>OD-03 · Resultado Atención / contexto - Pago parcial antes de cierre + evidencia posterior suficiente</t>
  </si>
  <si>
    <t># Precondiciones
Given inicio sesion en la App
And se cumple la variante de la matriz "Pago parcial antes de cierre + evidencia posterior suficiente"
And el estado inicial / origen es "OD-03 Resultado"
And tengo la tarjeta confirmada "Tarjeta Banco Ejemplo" con ciclo abierto y total facturado 450.000
And realicé un pago parcial de 100.000 antes del cierre del ciclo
# Pasos y validaciones
When ingreso a la vista "OD-03 Resultado"
Then valido que el deterioro del ciclo se muestra como no concluyente y en seguimiento
And valido que la Presión no escala por el pago parcial previo al cierre
When M06 reconcilia el ciclo con el resultado "&lt;resultado_ciclo&gt;"
And ingreso a la vista "OD-03 Resultado"
Then valido que el deterioro aplicado es "&lt;banda_d&gt;"
# Criterio de aceptación (matriz)
Then valido la obligación "Pago parcial antes del cierre no determina D todavía."
And valido la obligación "Reconciliar el ciclo; si luego queda totalmente cubierto, D0; si queda shortfall confirmado, D1 o D2 según recurrencia M06."
And valido el resultado "No concluyente para D hasta resolver ciclo; luego D0/D1/D2"
And valido el negativo/borde "No falso positivo antes de cierre."
And valido el dato/estado "debt_cycle · billing_cycle_close_date / payment_status_cycle / cycle_evaluation_status / D"
And valido la decisión/guardrail "Aplicar P4-CNT-015; anti-falso-positivo."
Examples:
  | resultado_ciclo                         | banda_d |
  | total facturado cubierto                | D0      |
  | shortfall confirmado aislado            | D1      |
  | shortfall recurrente confirmado por M06 | D2      |</t>
  </si>
  <si>
    <t>Obligación: Pago parcial antes del cierre no determina D todavía. Reconciliar el ciclo; si luego queda totalmente cubierto, D0; si queda shortfall confirmado, D1 o D2 según recurrencia M06.
Resultado: No concluyente para D hasta resolver ciclo; luego D0/D1/D2
Negativo/borde: No falso positivo antes de cierre.</t>
  </si>
  <si>
    <t>TR-M04-082 · FLOW-M04-014 · Onboarding 3 · Resultado · M04-RGL-041; M04-RGL-018 · P4-CNT-015 · Figma: OD-03/Reglas contextuales y severidad · Validación: TC-M04-069</t>
  </si>
  <si>
    <t>M4-V40</t>
  </si>
  <si>
    <t>OD-03 · Resultado Atención / contexto - Coexisten confirmación pendiente, dato faltante y/o dato no vigente sobre una deuda, con o sin evidencia adversa suficiente.</t>
  </si>
  <si>
    <t># Precondiciones
Given inicio sesion en la App
And se cumple la variante de la matriz "Coexisten confirmación pendiente, dato faltante y/o dato no vigente sobre una deuda, con o sin evidencia adversa suficiente."
And el estado inicial / origen es "OD-03 Resultado"
And tengo la deuda "Crédito Banco Ejemplo" sin confirmar
And a la deuda le falta el dato "Pago mínimo / cuota mensual"
And el dato "Saldo actual" de la deuda no está vigente
# Pasos y validaciones
When ingreso a la vista "OD-03 Resultado"
Then valido que se muestra un único pendiente de calidad para la deuda
And valido que la acción mostrada es "Confirmar deuda"
And valido que no se muestra "En Control" ni acceso a Ruta Despeje
When presiono el boton "Confirmar deuda"
Then valido que la acción mostrada para la deuda cambia a "Completar información"
When completo el dato "Pago mínimo / cuota mensual" y presiono el boton "Guardar"
Then valido que la acción mostrada para la deuda cambia a "Actualizar información"
# Criterio de aceptación (matriz)
Then valido la obligación "Conservar todos los facts pero exponer un único work item de calidad por deuda con precedencia F2 confirmar→F1 completar→F3 actualizar; evidencia adversa suficiente puede mantener estado, sin habilitar Ruta hasta gate."
And valido el resultado "OD-02 / pendiente; sin En Control fuerte"
And valido el negativo/borde "No dejar que señal sospechosa venza el gate de calidad/completitud."
And valido el dato/estado "debt · confirmation_status / minimum_data_ready / calidad / Presión si existe evidencia adversa suficiente"
And valido la decisión/guardrail "BC-M04-002 cerrada para producción/proyección M04; orquestación global fuera."</t>
  </si>
  <si>
    <t>Obligación: Conservar todos los facts pero exponer un único work item de calidad por deuda con precedencia F2 confirmar→F1 completar→F3 actualizar; evidencia adversa suficiente puede mantener estado, sin habilitar Ruta hasta gate.
Resultado: OD-02 / pendiente; sin En Control fuerte
Negativo/borde: No dejar que señal sospechosa venza el gate de calidad/completitud.</t>
  </si>
  <si>
    <t>TR-M04-083 · FLOW-M04-014 · Onboarding 3 · Resultado · M04-RGL-018; M04-RGL-014, M04-RGL-039 · Figma: OD-03 Atención · Validación: TC-M04-075</t>
  </si>
  <si>
    <t>M4-V41</t>
  </si>
  <si>
    <t>OD-03 · Resultado Riesgo / Ruta</t>
  </si>
  <si>
    <t>OD-03 · Resultado Riesgo / Ruta - Evento deuda→deuda causalmente confirmado; K2</t>
  </si>
  <si>
    <t># Precondiciones
Given inicio sesion en la App
And se cumple la variante de la matriz "Evento deuda→deuda causalmente confirmado; K2"
And el estado inicial / origen es "OD-03 Resultado"
And tengo deudas confirmadas con datos mínimos vigentes
And usé un avance de tarjeta para pagar otra deuda con causalidad confirmada
And el headroom canónico M05 del período es K2
And la Presión base C×K×D de la deuda es "&lt;presion_base&gt;"
# Pasos y validaciones
When ingreso a la vista "OD-03 Resultado"
Then valido que el evento deuda→deuda se muestra como contexto
And valido que la Presión final de la deuda es "&lt;presion_final&gt;"
# Criterio de aceptación (matriz)
Then valido la obligación "Registrar contexto sin floor adicional; nunca degradar una Presión ya más severa."
And valido el resultado "Presión base sin downgrade; contexto R020"
And valido el negativo/borde "No tratar como regla cerrada en ."
And valido el dato/estado "debt_signal · vínculo causal confirmado / evidencia / K=K2 / ciclo / provenance"
And valido la decisión/guardrail "P4-CNT-009: K2 sin floor."
Examples:
  | presion_base | presion_final |
  | En Control   | En Control    |
  | Riesgo       | Riesgo        |</t>
  </si>
  <si>
    <t>Obligación: Registrar contexto sin floor adicional; nunca degradar una Presión ya más severa.
Resultado: Presión base sin downgrade; contexto R020
Negativo/borde: No tratar como regla cerrada en .</t>
  </si>
  <si>
    <t>TR-M04-084 · FLOW-M04-015 · Onboarding 3 · Resultado · M04-RGL-020; M04-RGL-014, M04-RGL-038 · P4-CNT-009 · Figma: OD-03 Riesgo · Validación: TC-M04-026, TC-M04-027; TC-M04-022</t>
  </si>
  <si>
    <t>M4-V42</t>
  </si>
  <si>
    <t>OD-03 · Resultado Riesgo / Ruta - Evento deuda→deuda adverso K1/K0 o recurrencia confirmada</t>
  </si>
  <si>
    <t># Precondiciones
Given inicio sesion en la App
And se cumple la variante de la matriz "Evento deuda→deuda adverso K1/K0 o recurrencia confirmada"
And el estado inicial / origen es "OD-03 Resultado"
And tengo una deuda confirmada con datos mínimos vigentes, carga C1 y sin deterioro (D0)
And registro eventos deuda→deuda con causalidad confirmada en "&lt;ciclos&gt;" con capacidad "&lt;banda_k&gt;"
# Pasos y validaciones
When ingreso a la vista "OD-03 Resultado"
Then valido que la Presión final de la deuda es "&lt;presion_final&gt;"
And valido que la condición estructural/persistente se muestra "&lt;estructural&gt;"
And valido que el boton "Ver Ruta Despeje" se muestra "&lt;ver_ruta&gt;"
# Criterio de aceptación (matriz)
Then valido la obligación "K1 establece floor Atención; K0 establece floor Riesgo; recurrencia confirmada establece floor Riesgo + condición estructural/persistente."
And valido el resultado "Atención o Riesgo según K/recurrencia; Ruta solo si gate completo"
And valido el negativo/borde "No tratar como regla cerrada en ."
And valido el dato/estado "debt_signal · vínculo causal / K por snapshot / ciclos comparables / recurrencia / structural flag / provenance"
And valido la decisión/guardrail "Aplicar P4-CNT-009/P4-CNT-010; no sumar severidades."
Examples:
  | ciclos                            | banda_k | presion_final | estructural | ver_ruta |
  | 1 ciclo                           | K1      | Atención      | no          | no       |
  | 1 ciclo                           | K0      | Riesgo        | no          | sí       |
  | 2 ciclos consecutivos comparables | K1      | Riesgo        | sí          | sí       |
  | 2 eventos en el mismo mes         | K1      | Atención      | no          | no       |</t>
  </si>
  <si>
    <t>Obligación: K1 establece floor Atención; K0 establece floor Riesgo; recurrencia confirmada establece floor Riesgo + condición estructural/persistente.
Resultado: Atención o Riesgo según K/recurrencia; Ruta solo si gate completo
Negativo/borde: No tratar como regla cerrada en .</t>
  </si>
  <si>
    <t>TR-M04-085 · FLOW-M04-015 · Onboarding 3 · Resultado · M04-RGL-020; M04-RGL-014, M04-RGL-038 · P4-CNT-009; P4-CNT-010 · Figma: OD-03 Riesgo · Validación: TC-M04-026, TC-M04-027; TC-M04-022</t>
  </si>
  <si>
    <t>M4-V43</t>
  </si>
  <si>
    <t>OD-03 · Resultado Riesgo / Ruta - Liquidez financiada confirmada destinada a gasto/compromiso ordinario no financiero en un ciclo</t>
  </si>
  <si>
    <t># Precondiciones
Given inicio sesion en la App
And se cumple la variante de la matriz "Liquidez financiada confirmada destinada a gasto/compromiso ordinario no financiero en un ciclo"
And el estado inicial / origen es "OD-03 Resultado"
And tengo una deuda confirmada con datos mínimos vigentes y Presión base "En Control" (C1·K2·D0)
And en el ciclo actual usé liquidez financiada con finalidad "&lt;finalidad&gt;"
# Pasos y validaciones
When ingreso a la vista "OD-03 Resultado"
Then valido que la Presión final de la deuda es "&lt;presion_final&gt;"
And valido que el boton "Ver Ruta Despeje" no se muestra
# Criterio de aceptación (matriz)
Then valido la obligación "Aplicar floor Atención."
And valido la obligación "Si el destino es deuda, delegar exclusivamente a RGL-020; finalidad desconocida no aplica floor."
And valido el resultado "Atención como mínimo por evento qualifying; Ruta solo si Presión final=Riesgo y gate completo"
And valido el negativo/borde "No promover estado de fuente."
And valido el dato/estado "debt_signal · naturaleza financiada / finalidad / ciclo / evidencia / provenance"
And valido la decisión/guardrail "Aplicar P4-CNT-011."
Examples:
  | finalidad                                | presion_final |
  | gasto ordinario no financiero confirmado | Atención      |
  | desconocida                              | En Control    |
  | pago de otra deuda con K2                | En Control    |</t>
  </si>
  <si>
    <t>Obligación: Aplicar floor Atención. Si el destino es deuda, delegar exclusivamente a RGL-020; finalidad desconocida no aplica floor.
Resultado: Atención como mínimo por evento qualifying; Ruta solo si Presión final=Riesgo y gate completo
Negativo/borde: No promover estado de fuente.</t>
  </si>
  <si>
    <t>TR-M04-086 · FLOW-M04-015 · Onboarding 3 · Resultado · M04-RGL-021; M04-RGL-014, M04-RGL-038 · P4-CNT-011 · Figma: OD-03 Riesgo · Validación: TC-M04-029, TC-M04-030; TC-M04-022</t>
  </si>
  <si>
    <t>M4-V44</t>
  </si>
  <si>
    <t>OD-03 · Resultado Riesgo / Ruta - 2+ ciclos mensuales consecutivos y comparables con liquidez financiada para flujo ordinario no financiero</t>
  </si>
  <si>
    <t># Precondiciones
Given inicio sesion en la App
And se cumple la variante de la matriz "2+ ciclos mensuales consecutivos y comparables con liquidez financiada para flujo ordinario no financiero"
And el estado inicial / origen es "OD-03 Resultado"
And tengo una deuda confirmada con datos mínimos vigentes, carga C1 y capacidad K2
And registro liquidez financiada para gasto ordinario en "&lt;secuencia_ciclos&gt;"
# Pasos y validaciones
When ingreso a la vista "OD-03 Resultado"
Then valido que la Presión final de la deuda es "&lt;presion_final&gt;"
And valido que la condición estructural/persistente se muestra "&lt;estructural&gt;"
# Criterio de aceptación (matriz)
Then valido la obligación "Aplicar floor Riesgo + condición estructural/persistente; K no neutraliza la recurrencia."
And valido la obligación "Finalidad desconocida no cuenta."
And valido el resultado "Riesgo + estructural; Ruta solo si gate completo"
And valido el negativo/borde "No promover estado de fuente."
And valido el dato/estado "debt_signal · ciclos comparables / finalidad confirmada / recurrencia / structural flag / dedup"
And valido la decisión/guardrail "Aplicar P4-CNT-012; deuda como destino pertenece a R020."
Examples:
  | secuencia_ciclos                                                   | presion_final | estructural |
  | 2 ciclos consecutivos con finalidad confirmada                     | Riesgo        | sí          |
  | ciclo anterior con finalidad desconocida y ciclo actual confirmado | Atención      | no          |
  | ciclo confirmado, ciclo limpio y ciclo actual confirmado           | Atención      | no          |</t>
  </si>
  <si>
    <t>Obligación: Aplicar floor Riesgo + condición estructural/persistente; K no neutraliza la recurrencia. Finalidad desconocida no cuenta.
Resultado: Riesgo + estructural; Ruta solo si gate completo
Negativo/borde: No promover estado de fuente.</t>
  </si>
  <si>
    <t>TR-M04-087 · FLOW-M04-015 · Onboarding 3 · Resultado · M04-RGL-021; M04-RGL-014, M04-RGL-038 · P4-CNT-012 · Figma: OD-03 Riesgo · Validación: TC-M04-029, TC-M04-030; TC-M04-022</t>
  </si>
  <si>
    <t>M4-V45</t>
  </si>
  <si>
    <t>OD-03 · Resultado Riesgo / Ruta - Pago solo mínimo, parcial final o saldo arrastrado en ciclo reconciliado</t>
  </si>
  <si>
    <t># Precondiciones
Given inicio sesion en la App
And se cumple la variante de la matriz "Pago solo mínimo, parcial final o saldo arrastrado en ciclo reconciliado"
And el estado inicial / origen es "OD-03 Resultado"
And tengo la tarjeta confirmada "Tarjeta Banco Ejemplo" con datos mínimos vigentes, carga C2 y capacidad K1
And M06 reconcilió el ciclo con el comportamiento "&lt;comportamiento&gt;"
# Pasos y validaciones
When ingreso a la vista "OD-03 Resultado"
Then valido que el deterioro aplicado es "&lt;banda_d&gt;"
And valido que la Presión final de la deuda es "&lt;presion_final&gt;"
# Criterio de aceptación (matriz)
Then valido la obligación "Evento aislado confirmado → D1."
And valido la obligación "Recurrencia/persistencia confirmada por M06 → D2."
And valido la obligación "Varias etiquetas del mismo ciclo no se suman."
And valido el resultado "D1 o D2; Presión según C×K×D"
And valido el negativo/borde "No saltar gate de confirmación/datos."
And valido el dato/estado "debt_cycle / debt_signal · resultado de ciclo / tipo de comportamiento / recurrencia M06 / D / dedup"
And valido la decisión/guardrail "Aplicar P4-CNT-015/P4-CNT-006."
Examples:
  | comportamiento                                   | banda_d | presion_final |
  | pago solo mínimo aislado                         | D1      | Atención      |
  | pago parcial final aislado                       | D1      | Atención      |
  | saldo arrastrado aislado                         | D1      | Atención      |
  | pago mínimo y saldo arrastrado en el mismo ciclo | D1      | Atención      |
  | pago solo mínimo recurrente confirmado por M06   | D2      | Riesgo        |</t>
  </si>
  <si>
    <t>Obligación: Evento aislado confirmado → D1. Recurrencia/persistencia confirmada por M06 → D2. Varias etiquetas del mismo ciclo no se suman.
Resultado: D1 o D2; Presión según C×K×D
Negativo/borde: No saltar gate de confirmación/datos.</t>
  </si>
  <si>
    <t>TR-M04-088 · FLOW-M04-015 · Onboarding 3 · Resultado · M04-RGL-041; M04-RGL-019, M04-RGL-014 · P4-CNT-006; P4-CNT-015 · Figma: OD-03 Riesgo · Validación: TC-M04-068; TC-M04-022</t>
  </si>
  <si>
    <t>M4-V46</t>
  </si>
  <si>
    <t>OD-03 · Resultado Riesgo / Ruta - Vencimiento crítico sin capacidad clara/atraso relevante/mora</t>
  </si>
  <si>
    <t># Precondiciones
Given inicio sesion en la App
And se cumple la variante de la matriz "Vencimiento crítico sin capacidad clara/atraso relevante/mora"
And el estado inicial / origen es "OD-03 Resultado"
And tengo una deuda confirmada con datos mínimos vigentes y Presión final "Riesgo"
And M06 informa "&lt;dias_atraso&gt;" días de atraso confirmado para la deuda
# Pasos y validaciones
When ingreso a la vista "OD-03 Resultado"
Then valido que la Salud de Deuda es "&lt;salud&gt;"
And valido que la acción operativa de pago se deriva a M06
And valido que se muestra el boton "Revisar Ruta Despeje"
# Criterio de aceptación (matriz)
Then valido la obligación "Un vencimiento/atraso relevante consumido desde M06 alimenta aging y/o D según evidencia; M04 no crea un threshold temporal paralelo."
And valido el resultado "Presión/Salud según aging, C×K×D y suficiencia"
And valido el negativo/borde "Distinguir owner señal pago vs interpretación M04."
And valido el dato/estado "debt_signal · arrears_relevant_signal / mora_risk_signal / commitment_exceeds_capacity"
And valido la decisión/guardrail "Aplicar P4-CNT-017 y P4-CNT-006; ownership temporal M06."
Examples:
  | dias_atraso | salud                          |
  | 0           | Requiere atención              |
  | 1           | Requiere atención              |
  | 59          | Requiere atención              |
  | 60          | Presionada                     |
  | 90          | Presionada con criticidad alta |</t>
  </si>
  <si>
    <t>Obligación: Un vencimiento/atraso relevante consumido desde M06 alimenta aging y/o D según evidencia; M04 no crea un threshold temporal paralelo.
Resultado: Presión/Salud según aging, C×K×D y suficiencia
Negativo/borde: Distinguir owner señal pago vs interpretación M04.</t>
  </si>
  <si>
    <t>TR-M04-089 · FLOW-M04-015 · Onboarding 3 · Resultado · M04-RGL-016; M04-RGL-019, M04-RGL-014 · P4-CNT-006; P4-CNT-017 · Figma: OD-03 Riesgo · Validación: TC-M04-025; TC-M04-022</t>
  </si>
  <si>
    <t>M4-V47</t>
  </si>
  <si>
    <t>OD-03 · Resultado Riesgo / Ruta - Muchas cuotas + incapacidad real/saldo negativo/mora</t>
  </si>
  <si>
    <t># Precondiciones
Given inicio sesion en la App
And se cumple la variante de la matriz "Muchas cuotas + incapacidad real/saldo negativo/mora"
And el estado inicial / origen es "OD-03 Resultado"
And tengo 5 cuotas activas confirmadas con ratio agregado de 12% sobre el ingreso
And el headroom canónico M05 del período es negativo (K0)
And mi carga mensual de deuda es "&lt;banda_c&gt;" y no registro deterioro (D0)
# Pasos y validaciones
When ingreso a la vista "OD-03 Resultado"
Then valido que el detector de muchas cuotas pequeñas se muestra activo
And valido que la Presión final de la deuda es "&lt;presion_final&gt;"
# Criterio de aceptación (matriz)
Then valido la obligación "Muchas cuotas no crean Riesgo por sí solas."
And valido la obligación "Mantener detector R022 y dejar que C×K×D/overlays determine la Presión."
And valido el resultado "Detector contextual + Presión canónica"
And valido el negativo/borde "No cerrar fórmula de Salud."
And valido el dato/estado "debt_signal · installment_count_active / small_installments_threshold_ratio / severity / pressure_rule_met"
And valido la decisión/guardrail "Aplicar P4-CNT-014/P4-CNT-007."
Examples:
  | banda_c | presion_final |
  | C1      | Atención      |
  | C2      | Riesgo        |</t>
  </si>
  <si>
    <t>Obligación: Muchas cuotas no crean Riesgo por sí solas. Mantener detector R022 y dejar que C×K×D/overlays determine la Presión.
Resultado: Detector contextual + Presión canónica
Negativo/borde: No cerrar fórmula de Salud.</t>
  </si>
  <si>
    <t>TR-M04-090 · FLOW-M04-015 · Onboarding 3 · Resultado · M04-RGL-022; M04-RGL-019, M04-RGL-014 · P4-CNT-007; P4-CNT-014 · Figma: OD-03 Riesgo · Validación: TC-M04-022</t>
  </si>
  <si>
    <t>M4-V48</t>
  </si>
  <si>
    <t>OD-03 · Resultado Riesgo / Ruta - Deuda confirmada + datos mínimos + presión financiera</t>
  </si>
  <si>
    <t># Precondiciones
Given inicio sesion en la App
And se cumple la variante de la matriz "Deuda confirmada + datos mínimos + presión financiera"
And el estado inicial / origen es "OD-03 Resultado"
And tengo una deuda confirmada con datos mínimos vigentes
And la carga mensual de la deuda es "&lt;C&gt;", la capacidad es "&lt;K&gt;" y el deterioro es "&lt;D&gt;"
And no existen floors causales aplicables
# Pasos y validaciones
When ingreso a la vista "OD-03 Resultado"
Then valido que la Presión final de la deuda es "&lt;presion_final&gt;"
And valido que el boton "Ver Ruta Despeje" se muestra "&lt;ver_ruta&gt;"
And valido que la Ruta Despeje no queda activa
# Criterio de aceptación (matriz)
Then valido la obligación "Aplicar Presión final canónica conservando el resultado más severo entre base C×K×D y floors válidos; no sumar puntos ni crear cuarto nivel."
And valido el resultado "En Control / Atención / Riesgo"
And valido el negativo/borde "Gate, “Ver Ruta Despeje” y entrada a RD-01 no activan; el primer “Seguir plan” válido desde RD-02 activa."
And valido el dato/estado "debt · confirmation_status=confirmed / minimum_data_ready=true / pressure_rule_met=true / route_activation_allowed=true / route_eligibility_status=elegible"
And valido la decisión/guardrail "Aplicar P4-CNT-007/P4-CNT-008."
Examples:
  | C  | K  | D  | presion_final | ver_ruta |
  | C1 | K2 | D0 | En Control    | no       |
  | C1 | K1 | D0 | Atención      | no       |
  | C1 | K0 | D0 | Atención      | no       |
  | C2 | K2 | D0 | En Control    | no       |
  | C2 | K1 | D0 | Atención      | no       |
  | C2 | K0 | D0 | Riesgo        | sí       |
  | C3 | K2 | D0 | Atención      | no       |
  | C3 | K1 | D0 | Riesgo        | sí       |
  | C3 | K0 | D0 | Riesgo        | sí       |
  | C1 | K2 | D1 | Atención      | no       |
  | C1 | K1 | D1 | Atención      | no       |
  | C1 | K0 | D1 | Atención      | no       |
  | C2 | K2 | D1 | Atención      | no       |
  | C2 | K1 | D1 | Atención      | no       |
  | C2 | K0 | D1 | Riesgo        | sí       |
  | C3 | K2 | D1 | Atención      | no       |
  | C3 | K1 | D1 | Riesgo        | sí       |
  | C3 | K0 | D1 | Riesgo        | sí       |
  | C1 | K2 | D2 | Atención      | no       |
  | C1 | K1 | D2 | Riesgo        | sí       |
  | C1 | K0 | D2 | Riesgo        | sí       |
  | C2 | K2 | D2 | Atención      | no       |
  | C2 | K1 | D2 | Riesgo        | sí       |
  | C2 | K0 | D2 | Riesgo        | sí       |
  | C3 | K2 | D2 | Riesgo        | sí       |
  | C3 | K1 | D2 | Riesgo        | sí       |
  | C3 | K0 | D2 | Riesgo        | sí       |</t>
  </si>
  <si>
    <t>Obligación: Aplicar Presión final canónica conservando el resultado más severo entre base C×K×D y floors válidos; no sumar puntos ni crear cuarto nivel.
Resultado: En Control / Atención / Riesgo
Negativo/borde: Gate, “Ver Ruta Despeje” y entrada a RD-01 no activan; el primer “Seguir plan” válido desde RD-02 activa.</t>
  </si>
  <si>
    <t>TR-M04-091 · FLOW-M04-015 · Onboarding 3 · Resultado · M04-RGL-014; M04-RGL-019 · P4-CNT-007; P4-CNT-008 · Figma: OD-03 Riesgo · Validación: TC-M04-022</t>
  </si>
  <si>
    <t>M4-V49</t>
  </si>
  <si>
    <t>OD-03 · Resultado Riesgo / Ruta - Presión=Riesgo sustentada, pero falta confirmación o suficiencia mínima</t>
  </si>
  <si>
    <t># Precondiciones
Given inicio sesion en la App
And se cumple la variante de la matriz "Presión=Riesgo sustentada, pero falta confirmación o suficiencia mínima"
And el estado inicial / origen es "OD-03 Resultado"
And tengo la deuda "Tarjeta Banco Ejemplo" con evidencia adversa suficiente que sustenta Presión "Riesgo"
And la deuda tiene la condición "&lt;condicion&gt;"
# Pasos y validaciones
When ingreso a la vista "OD-03 Resultado"
Then valido que la Presión "Riesgo" se mantiene visible
And valido que se muestra la acción "&lt;accion&gt;"
And valido que no se muestra el boton "Ver Ruta Despeje"
When resuelvo la acción "&lt;accion&gt;"
Then valido que se muestra el boton "Ver Ruta Despeje" con la Ruta elegible
And valido que la Ruta Despeje no se activó automáticamente
# Criterio de aceptación (matriz)
Then valido la obligación "Una señal adversa no sustituye confirmación/suficiencia de Ruta."
And valido la obligación "Riesgo habilita elegibilidad solo con deuda confirmada y mínimos suficientes."
And valido el resultado "Completar/confirmar o Ruta elegible según gate; nunca activación automática"
And valido el negativo/borde "Presión=Riesgo por sí sola no basta."
And valido el dato/estado "debt · route_activation_allowed=false / blocking_missing_fields"
And valido la decisión/guardrail "Aplicar P4-CNT-001/P4-CNT-018/P4-CNT-019."
Examples:
  | condicion                                  | accion                |
  | sin confirmar                              | Confirmar deuda       |
  | confirmada sin pago mínimo / cuota mensual | Completar información |</t>
  </si>
  <si>
    <t>Obligación: Una señal adversa no sustituye confirmación/suficiencia de Ruta. Riesgo habilita elegibilidad solo con deuda confirmada y mínimos suficientes.
Resultado: Completar/confirmar o Ruta elegible según gate; nunca activación automática
Negativo/borde: Presión=Riesgo por sí sola no basta.</t>
  </si>
  <si>
    <t>TR-M04-092 · FLOW-M04-015 · Onboarding 3 · Resultado · M04-RGL-014; M04-RGL-019 · P4-CNT-001; P4-CNT-018; P4-CNT-019 · Figma: OD-03 Riesgo · Validación: TC-M04-022</t>
  </si>
  <si>
    <t>M4-V50</t>
  </si>
  <si>
    <t>RD-01 · Resumen Ruta Despeje</t>
  </si>
  <si>
    <t>RD-01 · Resumen Ruta Despeje - Ruta elegible/disponible; primer “Seguir plan” válido aún no ejecutado.</t>
  </si>
  <si>
    <t># Precondiciones
Given inicio sesion en la App
And se cumple la variante de la matriz "Ruta elegible/disponible; primer “Seguir plan” válido aún no ejecutado."
And el estado inicial / origen es "RD-01 Resumen"
And tengo una deuda confirmada con datos mínimos vigentes y Presión final "Riesgo"
And la Ruta Despeje está elegible y nunca presioné "Seguir plan"
And me encuentro en la vista "OD-03 Resultado"
# Pasos y validaciones
When presiono el boton "Ver Ruta Despeje" en la vista OD-03
Then valido que me encuentro en la vista "RD-01 Resumen Ruta Despeje"
And valido que se muestra el orden de deudas y el boton "Ver mi plan"
And valido que no se muestra un porcentaje como puntaje de la deuda
And valido que la Ruta Despeje se mantiene elegible y no activa
When salgo a la vista Home y vuelvo a ingresar a "RD-01 Resumen Ruta Despeje"
Then valido que la Ruta Despeje sigue elegible y no activa
# Criterio de aceptación (matriz)
Then valido la obligación "Construir orden/plan solo cuando la Ruta está elegible; preservar snowball y no activar por navegación."
And valido el resultado "RD-01 visible"
And valido el negativo/borde "No usar porcentaje como score canónico."
And valido el dato/estado "debt / debt_recommendation · priority_order / recommended_action / copy_state"
And valido la decisión/guardrail "BC-M04-002 cerrada para producción/proyección M04; orquestación global fuera. | BC001 resuelta; preservar BC002 y P4-CNT-018/P4-CNT-019."</t>
  </si>
  <si>
    <t>Obligación: Construir orden/plan solo cuando la Ruta está elegible; preservar snowball y no activar por navegación.
Resultado: RD-01 visible
Negativo/borde: No usar porcentaje como score canónico.</t>
  </si>
  <si>
    <t>TR-M04-093 · FLOW-M04-016 · Ruta 1 · Resumen · M04-RGL-028; M04-RGL-037, M04-RGL-039 · P4-CNT-018; P4-CNT-019 · Figma: Ruta Despeje - 1. Resumen*.png</t>
  </si>
  <si>
    <t>M4-V51</t>
  </si>
  <si>
    <t>RD-01 · Resumen Ruta Despeje - Existen múltiples deudas confirmadas dentro del plan</t>
  </si>
  <si>
    <t># Precondiciones
Given inicio sesion en la App
And se cumple la variante de la matriz "Existen múltiples deudas confirmadas dentro del plan"
And el estado inicial / origen es "RD-01 Resumen"
And tengo la Ruta Despeje elegible con las siguientes deudas confirmadas:
  | deuda                | saldo_actual | pago_minimo |
  | Crédito Banco A      | 900.000      | 45.000      |
  | Tarjeta Banco B      | 300.000      | 30.000      |
  | Crédito Financiera C | 1.500.000    | 60.000      |
# Pasos y validaciones
When ingreso a la vista "RD-01 Resumen Ruta Despeje"
Then valido que el orden de prioridad es "Tarjeta Banco B", "Crédito Banco A", "Crédito Financiera C"
And valido que para "Crédito Banco A" se mantiene el pago mínimo 45.000
And valido que para "Crédito Financiera C" se mantiene el pago mínimo 60.000
# Criterio de aceptación (matriz)
Then valido la obligación "Priorizar menor saldo actual; mantener pagos mínimos/compromisos de las demás."
And valido el resultado "Orden base mostrado"
And valido el negativo/borde "No confundir urgencia operativa M06 con orden metodológico sin regla."
And valido el dato/estado "debt_projection · priority_order / current_balance_amount / minimum_payment_amount / projection_method=bola_nieve"</t>
  </si>
  <si>
    <t>Obligación: Priorizar menor saldo actual; mantener pagos mínimos/compromisos de las demás.
Resultado: Orden base mostrado
Negativo/borde: No confundir urgencia operativa M06 con orden metodológico sin regla.</t>
  </si>
  <si>
    <t>TR-M04-094 · FLOW-M04-016 · Ruta 1 · Resumen · M04-RGL-028 · Figma: Ruta Despeje - 1. Resumen*.png</t>
  </si>
  <si>
    <t>M4-V52</t>
  </si>
  <si>
    <t>RD-01 · Resumen Ruta Despeje - Usuario continúa a plan</t>
  </si>
  <si>
    <t># Precondiciones
Given inicio sesion en la App
And se cumple la variante de la matriz "Usuario continúa a plan"
And el estado inicial / origen es "RD-01 Resumen"
And tengo la Ruta Despeje elegible y no activa
And me encuentro en la vista "RD-01 Resumen Ruta Despeje"
# Pasos y validaciones
When presiono el boton "Ver mi plan" en la vista RD-01
Then valido que me encuentro en la vista "RD-02 Plan"
And valido que se conserva el mismo orden de deudas mostrado en RD-01
And valido que la Ruta Despeje se mantiene elegible y no activa
# Criterio de aceptación (matriz)
Then valido la obligación "Navegar a RD-02 conservando estado elegible y orden; “Ver mi plan” no activa la Ruta."
And valido el resultado "RD-02 Plan"
And valido el negativo/borde "“Ver mi plan” y visualizar RD-02 no activan la Ruta."
And valido el dato/estado "debt · route_eligibility_status=elegible / functional_debt_state sin ruta_activa"
And valido la decisión/guardrail "D-M04-ACT-01 cerrada: elegible ≠ activa; activa con primer “Seguir plan” válido desde RD-02."</t>
  </si>
  <si>
    <t>Obligación: Navegar a RD-02 conservando estado elegible y orden; “Ver mi plan” no activa la Ruta.
Resultado: RD-02 Plan
Negativo/borde: “Ver mi plan” y visualizar RD-02 no activan la Ruta.</t>
  </si>
  <si>
    <t>TR-M04-095 · FLOW-M04-016 · Ruta 1 · Resumen · M04-RGL-030; M04-RGL-028 · Figma: Ruta Despeje - 1. Resumen*.png · Validación: TC-M04-065</t>
  </si>
  <si>
    <t>M4-V53</t>
  </si>
  <si>
    <t>DD-01 · Detalle de deuda</t>
  </si>
  <si>
    <t>DD-01 · Detalle de deuda - Deuda manejable/atención requiere precisión</t>
  </si>
  <si>
    <t># Precondiciones
Given inicio sesion en la App
And se cumple la variante de la matriz "Deuda manejable/atención requiere precisión"
And el estado inicial / origen es "DD-01 / seguimiento"
And tengo la deuda confirmada "Crédito Banco Ejemplo" con Presión "En Control"
And el dato "Saldo actual" de la deuda fue actualizado hace 35 días
And me encuentro en la vista "DD-01 Detalle de deuda" de la deuda
# Pasos y validaciones
When presiono el boton "Editar/Corregir" en la vista DD-01
Then valido que se muestra el mismo formulario de edición de deuda usado en Onboarding de Deudas
When actualizo el saldo actual a "800.000"
And presiono el boton "Guardar"
Then valido que la vista "DD-01 Detalle de deuda" muestra el saldo actual 800.000 como dato vigente
And valido que la lectura de la deuda se reevaluó con el nuevo dato
# Criterio de aceptación (matriz)
Then valido la obligación "Permitir edición/corrección puntual y reevaluar sin crear formulario paralelo."
And valido el resultado "DD/OD-02 según necesidad"
And valido el negativo/borde "No crear formulario paralelo por superficie."
And valido el dato/estado "debt · updated_at / data_review_required_reason / data_freshness_status"</t>
  </si>
  <si>
    <t>Obligación: Permitir edición/corrección puntual y reevaluar sin crear formulario paralelo.
Resultado: DD/OD-02 según necesidad
Negativo/borde: No crear formulario paralelo por superficie.</t>
  </si>
  <si>
    <t>TR-M04-096 · FLOW-M04-017 · Detalle deuda · M04-RGL-017; M04-RGL-013, M04-RGL-042 · Figma: Documentado · Validación: TC-M04-073</t>
  </si>
  <si>
    <t>M4-V54</t>
  </si>
  <si>
    <t>DD-01 · Detalle de deuda - Vencimiento/pago operativo requiere seguimiento sin presión M04</t>
  </si>
  <si>
    <t># Precondiciones
Given inicio sesion en la App
And se cumple la variante de la matriz "Vencimiento/pago operativo requiere seguimiento sin presión M04"
And el estado inicial / origen es "DD-01 / seguimiento"
And tengo una deuda confirmada con Presión "En Control" y vencimiento en 5 días informado por M06
And me encuentro en la vista "DD-01 Detalle de deuda" de la deuda
# Pasos y validaciones
When presiono el boton "Activar alerta" en la vista DD-01
Then valido que me encuentro en la vista "Alertas" de M06
And valido que M04 no crea una alerta propia paralela para el vencimiento
# Criterio de aceptación (matriz)
Then valido la obligación "Derivar a M06/Alertas; M04 no administra calendario/pago."
And valido el resultado "M06/Alertas"
And valido el negativo/borde "No crear alerta propia paralela."
And valido el dato/estado "debt_signal · due_date / signal_code inbound M06"
And valido la decisión/guardrail "BC-M04-002 cerrada para producción/proyección M04; orquestación global fuera."</t>
  </si>
  <si>
    <t>Obligación: Derivar a M06/Alertas; M04 no administra calendario/pago.
Resultado: M06/Alertas
Negativo/borde: No crear alerta propia paralela.</t>
  </si>
  <si>
    <t>TR-M04-097 · FLOW-M04-017 · Detalle deuda · M04-RGL-016; M04-RGL-042 · Figma: Documentado · Validación: TC-M04-066; TC-M04-073</t>
  </si>
  <si>
    <t>M4-V55</t>
  </si>
  <si>
    <t>DD-01 · Detalle de deuda - Deuda pasa a cumplir gate de Ruta</t>
  </si>
  <si>
    <t># Precondiciones
Given inicio sesion en la App
And se cumple la variante de la matriz "Deuda pasa a cumplir gate de Ruta"
And el estado inicial / origen es "DD-01 / seguimiento"
And tengo una deuda confirmada con datos mínimos vigentes
And la Presión final de la deuda cambió de "Atención" a "Riesgo"
# Pasos y validaciones
When ingreso a la vista "DD-01 Detalle de deuda" de la deuda
Then valido que se muestra el boton "Ver Ruta Despeje"
When presiono el boton "Ver Ruta Despeje" en la vista DD-01
Then valido que me encuentro en la vista "RD-01 Resumen Ruta Despeje"
And valido que la Ruta Despeje se muestra elegible y no activa
# Criterio de aceptación (matriz)
Then valido la obligación "Derivar a RD-01 con Ruta elegible/disponible; la vista DD y “Ver Ruta Despeje” no activan la Ruta."
And valido el resultado "RD-01"
And valido el negativo/borde "DD-01 y “Ver Ruta Despeje” no activan; el primer “Seguir plan” válido desde RD-02 activa."
And valido el dato/estado "debt · route_activation_allowed=true / route_eligibility_status=elegible"
And valido la decisión/guardrail "D-M04-ACT-01 cerrada: elegible ≠ activa; activa con primer “Seguir plan” válido desde RD-02."</t>
  </si>
  <si>
    <t>Obligación: Derivar a RD-01 con Ruta elegible/disponible; la vista DD y “Ver Ruta Despeje” no activan la Ruta.
Resultado: RD-01
Negativo/borde: DD-01 y “Ver Ruta Despeje” no activan; el primer “Seguir plan” válido desde RD-02 activa.</t>
  </si>
  <si>
    <t>TR-M04-098 · FLOW-M04-017 · Detalle deuda · M04-RGL-014; M04-RGL-016, M04-RGL-042 · Figma: Documentado · Validación: TC-M04-066, TC-M04-073</t>
  </si>
  <si>
    <t>M4-V56</t>
  </si>
  <si>
    <t>DD-01 · Detalle de deuda - Dependencia destino no está disponible</t>
  </si>
  <si>
    <t># Precondiciones
Given inicio sesion en la App
And se cumple la variante de la matriz "Dependencia destino no está disponible"
And el estado inicial / origen es "DD-01 / seguimiento"
And tengo una deuda confirmada con Presión "En Control"
And el servicio de M06 Pagos/Alertas no está disponible
And me encuentro en la vista "DD-01 Detalle de deuda" de la deuda
# Pasos y validaciones
When presiono el boton "Activar alerta" en la vista DD-01
Then valido que se muestra un mensaje de fallback indicando que la acción no está disponible por ahora
And valido que permanezco en la vista "DD-01 Detalle de deuda"
And valido que la Presión y el estado de la deuda no cambiaron
And valido que las demás acciones de DD-01 siguen disponibles
# Criterio de aceptación (matriz)
Then valido la obligación "Aplicar fallback documentado sin bloquear M04 ni crear owner paralelo."
And valido el resultado "DD / mensaje equivalente"
And valido el negativo/borde "No reinterpretar indisponibilidad como cambio de lógica."</t>
  </si>
  <si>
    <t>Obligación: Aplicar fallback documentado sin bloquear M04 ni crear owner paralelo.
Resultado: DD / mensaje equivalente
Negativo/borde: No reinterpretar indisponibilidad como cambio de lógica.</t>
  </si>
  <si>
    <t>TR-M04-099 · FLOW-M04-017 · Detalle deuda · M04-RGL-042 · Figma: Documentado · Validación: TC-M04-073</t>
  </si>
  <si>
    <t>M4-V57</t>
  </si>
  <si>
    <t>Home · Consumidor M04</t>
  </si>
  <si>
    <t>Home · Consumidor M04 - Deuda es señal dominante del mes y gate permite acción M04</t>
  </si>
  <si>
    <t># Precondiciones
Given inicio sesion en la App
And se cumple la variante de la matriz "Deuda es señal dominante del mes y gate permite acción M04"
And el estado inicial / origen es "Home"
And tengo una deuda confirmada con datos mínimos vigentes, Presión final "Riesgo" y Ruta elegible
And la orquestación de Home asignó a la deuda el espacio dominante del mes
# Pasos y validaciones
When visualizo la pantalla "Home" de la vista Home
Then valido que se muestra una única acción principal de deuda "Ver plan"
And valido que no se muestran otras acciones de deuda compitiendo
When presiono el boton "Ver plan" en la vista Home
Then valido que me encuentro en la vista "RD-01 Resumen Ruta Despeje"
And valido que la Ruta Despeje se mantiene elegible y no activa
# Criterio de aceptación (matriz)
Then valido la obligación "Home puede representar una acción M04 ya resuelta por el owner; no recalcula ni decide aquí el ganador transversal."
And valido el resultado "OD/RD"
And valido el negativo/borde "No múltiples CTA deuda compitiendo."
And valido el dato/estado "debt_recommendation · recommended_action / recommendation_status"
And valido la decisión/guardrail "BC-M04-002 cerrada para producción/proyección M04; orquestación global fuera."</t>
  </si>
  <si>
    <t>Obligación: Home puede representar una acción M04 ya resuelta por el owner; no recalcula ni decide aquí el ganador transversal.
Resultado: OD/RD
Negativo/borde: No múltiples CTA deuda compitiendo.</t>
  </si>
  <si>
    <t>TR-M04-100 · FLOW-M04-018 · Home consumidor · M04-RGL-002; M04-RGL-039, M04-RGL-042 · Figma: Documentado · Validación: TC-M04-054, TC-M04-055; TC-M04-058, TC-M04-073</t>
  </si>
  <si>
    <t>M4-V58</t>
  </si>
  <si>
    <t>Home · Consumidor M04 - Deuda no es señal dominante</t>
  </si>
  <si>
    <t># Precondiciones
Given inicio sesion en la App
And se cumple la variante de la matriz "Deuda no es señal dominante"
And el estado inicial / origen es "Home"
And tengo una deuda confirmada con Presión final "Atención"
And la orquestación de Home asignó el espacio dominante del mes a otro foco
# Pasos y validaciones
When visualizo la pantalla "Home" de la vista Home
Then valido que la deuda no ocupa el CTA principal de Home
And valido que la situación de deuda se muestra como paso secundario o no se muestra, según la orquestación
And valido que no se crea una señal de deuda adicional en Home
# Criterio de aceptación (matriz)
Then valido la obligación "Si el candidato M04 no ocupa el slot dominante, Home puede mantenerlo como siguiente paso secundario o no mostrarlo según orquestación; no se crea otra señal."
And valido el resultado "Home sin deuda dominante"
And valido el negativo/borde "No competir con otros focos."
And valido la decisión/guardrail "BC-M04-002 cerrada para producción/proyección M04; orquestación global fuera."</t>
  </si>
  <si>
    <t>Obligación: Si el candidato M04 no ocupa el slot dominante, Home puede mantenerlo como siguiente paso secundario o no mostrarlo según orquestación; no se crea otra señal.
Resultado: Home sin deuda dominante
Negativo/borde: No competir con otros focos.</t>
  </si>
  <si>
    <t>TR-M04-101 · FLOW-M04-018 · Home consumidor · M04-RGL-002; M04-RGL-039 · Figma: Documentado · Validación: TC-M04-054, TC-M04-055; TC-M04-058</t>
  </si>
  <si>
    <t>M4-V59</t>
  </si>
  <si>
    <t>Home · Consumidor M04 - Señal de pago pertenece a M06</t>
  </si>
  <si>
    <t># Precondiciones
Given inicio sesion en la App
And se cumple la variante de la matriz "Señal de pago pertenece a M06"
And el estado inicial / origen es "Home"
And tengo una deuda confirmada con Presión final "En Control"
And M06 informa una cuota próxima a vencer de la deuda
# Pasos y validaciones
When visualizo la pantalla "Home" de la vista Home
And presiono el boton "Revisar pago" en la vista Home
Then valido que me encuentro en la vista "Pagos / Alertas" de M06
And valido que no se derivó a Ruta Despeje
# Criterio de aceptación (matriz)
Then valido la obligación "Derivar a M06/Pagos-Alertas y no a Ruta salvo condición de elevación."
And valido el resultado "M06"
And valido el negativo/borde "No contaminar catálogo de señales producidas M04."
And valido el dato/estado "debt_signal · signal_code inbound M06"
And valido la decisión/guardrail "BC-M04-002 cerrada para producción/proyección M04; orquestación global fuera."</t>
  </si>
  <si>
    <t>Obligación: Derivar a M06/Pagos-Alertas y no a Ruta salvo condición de elevación.
Resultado: M06
Negativo/borde: No contaminar catálogo de señales producidas M04.</t>
  </si>
  <si>
    <t>TR-M04-102 · FLOW-M04-018 · Home consumidor · M04-RGL-016; M04-RGL-002 · Figma: Documentado · Validación: TC-M04-024; TC-M04-054, TC-M04-055</t>
  </si>
  <si>
    <t>M4-V60</t>
  </si>
  <si>
    <t>Home · Consumidor M04 - Dependencia destino no disponible</t>
  </si>
  <si>
    <t># Precondiciones
Given inicio sesion en la App
And se cumple la variante de la matriz "Dependencia destino no disponible"
And el estado inicial / origen es "Home"
And tengo una deuda con candidato M04 visible en Home
And el destino de la acción no está disponible temporalmente
# Pasos y validaciones
When visualizo la pantalla "Home" de la vista Home
And presiono el CTA contextual de la deuda en la vista Home
Then valido que se muestra el mensaje de fallback definido
And valido que el estado de la deuda y su acción siguiente se conservan
And valido que puedo seguir usando Home y acceder a M04 por otra entrada
# Criterio de aceptación (matriz)
Then valido la obligación "Usar fallback definido y conservar owner/estado."
And valido el resultado "Home / M04"
And valido el negativo/borde "No bloquear M04."</t>
  </si>
  <si>
    <t>Obligación: Usar fallback definido y conservar owner/estado.
Resultado: Home / M04
Negativo/borde: No bloquear M04.</t>
  </si>
  <si>
    <t>TR-M04-103 · FLOW-M04-018 · Home consumidor · M04-RGL-042 · Figma: Documentado · Validación: TC-M04-073</t>
  </si>
  <si>
    <t>M4-V61</t>
  </si>
  <si>
    <t>RD-02 · Plan</t>
  </si>
  <si>
    <t>RD-02 · Plan - Deudas confirmadas y base de plan disponible</t>
  </si>
  <si>
    <t># Precondiciones
Given inicio sesion en la App
And se cumple la variante de la matriz "Deudas confirmadas y base de plan disponible"
And el estado inicial / origen es "RD-02 Plan"
And tengo la Ruta Despeje elegible con 3 deudas confirmadas de saldos 900.000, 300.000 y 1.500.000
# Pasos y validaciones
When ingreso a la vista "RD-02 Plan"
Then valido que el plan base ordena primero la deuda de saldo 300.000
And valido que se muestran los pagos mínimos de las demás deudas como protegidos
And valido que no se promete una optimización avanzada del plan
# Criterio de aceptación (matriz)
Then valido la obligación "Mostrar orden sugerido por menor saldo actual con mínimos protegidos."
And valido el resultado "Plan base"
And valido el negativo/borde "No prometer optimización avanzada."
And valido el dato/estado "debt_projection · priority_order / projection_method / minimum_payment_amount"</t>
  </si>
  <si>
    <t>Obligación: Mostrar orden sugerido por menor saldo actual con mínimos protegidos.
Resultado: Plan base
Negativo/borde: No prometer optimización avanzada.</t>
  </si>
  <si>
    <t>TR-M04-104 · FLOW-M04-019 · Ruta 2 · Plan · M04-RGL-028 · Figma: Ruta despeje 2. Plan.png · Validación: TC-M04-041, TC-M04-042</t>
  </si>
  <si>
    <t>M4-V62</t>
  </si>
  <si>
    <t>RD-02 · Plan - Existe pago/compromiso mensual confirmado y confianza suficiente</t>
  </si>
  <si>
    <t># Precondiciones
Given inicio sesion en la App
And se cumple la variante de la matriz "Existe pago/compromiso mensual confirmado y confianza suficiente"
And el estado inicial / origen es "RD-02 Plan"
And tengo la Ruta Despeje elegible con la deuda confirmada "Tarjeta Banco B"
And la deuda tiene "&lt;dato_compromiso&gt;"
# Pasos y validaciones
When ingreso a la vista "RD-02 Plan"
Then valido que el monto de capacidad recuperable de la deuda se muestra "&lt;capacidad&gt;"
# Criterio de aceptación (matriz)
Then valido la obligación "Mostrar monto potencialmente liberable como estimación de deuda, no ahorro general."
And valido el resultado "Plan base"
And valido el negativo/borde "No mostrar monto si solo hay saldo o dato no vigente."
And valido el dato/estado "debt / debt_projection · monthly_payment_amount / recoverable capacity inputs / confidence / data_freshness_status"
And valido la decisión/guardrail "Ajustar materialización/copy sin reabrir regla. ID: GAP-COPY-M04-CAPACIDAD"
Examples:
  | dato_compromiso                                                      | capacidad                            |
  | pago mensual confirmado de 30.000 vigente y con confianza suficiente | como estimación de 30.000 liberables |
  | solo saldo actual sin pago mensual                                   | oculto                               |
  | pago mensual de 30.000 no vigente                                    | oculto                               |</t>
  </si>
  <si>
    <t>Obligación: Mostrar monto potencialmente liberable como estimación de deuda, no ahorro general.
Resultado: Plan base
Negativo/borde: No mostrar monto si solo hay saldo o dato no vigente.</t>
  </si>
  <si>
    <t>TR-M04-105 · FLOW-M04-019 · Ruta 2 · Plan · M04-RGL-027 · Figma: Ruta despeje 2. Plan.png</t>
  </si>
  <si>
    <t>M4-V63</t>
  </si>
  <si>
    <t>RD-02 · Plan - Datos, supuestos, confianza y versión suficientes</t>
  </si>
  <si>
    <t># Precondiciones
Given inicio sesion en la App
And se cumple la variante de la matriz "Datos, supuestos, confianza y versión suficientes"
And el estado inicial / origen es "RD-02 Plan"
And tengo la Ruta Despeje elegible con datos, supuestos y confianza suficientes para proyectar
# Pasos y validaciones
When ingreso a la vista "RD-02 Plan"
Then valido que se muestra la duración estimada en meses para cerrar las deudas
And valido que se muestra la fecha estimada de cierre identificada como estimación
And valido que no se comunica la fecha como garantizada
# Criterio de aceptación (matriz)
Then valido la obligación "Mostrar duración/fecha como estimación condicionada."
And valido el resultado "Plan base"
And valido el negativo/borde "No comunicar fecha garantizada."
And valido el dato/estado "debt_projection · projected_months_to_close / projected_close_date / projection_confidence_level / assumptions_used / rule_version"</t>
  </si>
  <si>
    <t>Obligación: Mostrar duración/fecha como estimación condicionada.
Resultado: Plan base
Negativo/borde: No comunicar fecha garantizada.</t>
  </si>
  <si>
    <t>TR-M04-106 · FLOW-M04-019 · Ruta 2 · Plan · M04-RGL-031 · Figma: Ruta despeje 2. Plan.png · Validación: TC-M04-043, TC-M04-044, TC-M04-072</t>
  </si>
  <si>
    <t>M4-V64</t>
  </si>
  <si>
    <t>RD-02 · Plan - Faltan datos/supuestos/confianza para proyectar fecha</t>
  </si>
  <si>
    <t># Precondiciones
Given inicio sesion en la App
And se cumple la variante de la matriz "Faltan datos/supuestos/confianza para proyectar fecha"
And el estado inicial / origen es "RD-02 Plan"
And tengo la Ruta Despeje elegible
And una de las deudas del plan no tiene datos suficientes para proyectar la fecha de cierre
# Pasos y validaciones
When ingreso a la vista "RD-02 Plan"
Then valido que no se muestra una fecha ni duración concluyente
And valido que se muestra la acción "Completar datos" o un estado cualitativo del plan
And valido que no se muestra una duración inventada
# Criterio de aceptación (matriz)
Then valido la obligación "No mostrar fecha concluyente; pedir datos o mantener estado cualitativo."
And valido el resultado "Plan incompleto"
And valido el negativo/borde "No inventar duración."
And valido el dato/estado "debt_projection · projection_confidence_level=no_calculable / blocking_missing_fields"</t>
  </si>
  <si>
    <t>Obligación: No mostrar fecha concluyente; pedir datos o mantener estado cualitativo.
Resultado: Plan incompleto
Negativo/borde: No inventar duración.</t>
  </si>
  <si>
    <t>TR-M04-107 · FLOW-M04-019 · Ruta 2 · Plan · M04-RGL-031; M04-RGL-012 · Figma: Documentado · Validación: TC-M04-043, TC-M04-044, TC-M04-072</t>
  </si>
  <si>
    <t>M4-V65</t>
  </si>
  <si>
    <t>RD-02 · Plan - Vista agrupada opcional autorizada por fuente</t>
  </si>
  <si>
    <t># Precondiciones
Given inicio sesion en la App
And se cumple la variante de la matriz "Vista agrupada opcional autorizada por fuente"
And el estado inicial / origen es "RD-02 Plan"
And tengo la Ruta Despeje elegible con 3 deudas confirmadas
And me encuentro en la vista "RD-02 Plan"
# Pasos y validaciones
When presiono el boton "Ver deudas agrupadas" en la vista RD-02
Then valido que se muestran las deudas agrupadas para ordenarlas
And valido que no se ofrece refinanciar, consolidar ni contratar un producto financiero
# Criterio de aceptación (matriz)
Then valido la obligación "Si se materializa, agrupa deudas para ordenar sin implicar refinanciamiento/consolidación."
And valido el resultado "Componente RD-02"
And valido el negativo/borde "No inferir que agrupar = consolidar/refinanciar."
And valido el dato/estado "debt / debt_projection · debt_id / priority_order"</t>
  </si>
  <si>
    <t>Obligación: Si se materializa, agrupa deudas para ordenar sin implicar refinanciamiento/consolidación.
Resultado: Componente RD-02
Negativo/borde: No inferir que agrupar = consolidar/refinanciar.</t>
  </si>
  <si>
    <t>TR-M04-108 · FLOW-M04-019 · Ruta 2 · Plan · Figma: Figma 4.4 · listado/orden de deudas dentro de RD-02</t>
  </si>
  <si>
    <t>M4-V66</t>
  </si>
  <si>
    <t>RD-02 · Plan - Figma usa “capacidad de ahorro comprometida/que podrías liberar”</t>
  </si>
  <si>
    <t># Precondiciones
Given inicio sesion en la App
And se cumple la variante de la matriz "Figma usa “capacidad de ahorro comprometida/que podrías liberar”"
And el estado inicial / origen es "RD-02 Plan"
And tengo la Ruta Despeje elegible con capacidad recuperable calculada para la deuda "Tarjeta Banco B"
# Pasos y validaciones
When ingreso a la vista "RD-02 Plan"
Then valido que el texto del monto indica capacidad recuperable o liberable asociada a la deuda
And valido que el texto no presenta el monto como capacidad de ahorro general ni margen libre
# Criterio de aceptación (matriz)
Then valido la obligación "La obligación documental exige semántica de capacidad recuperable/liberable por deuda, separada de ahorro general M05."
And valido el resultado "RD-02 copy a revisar"
And valido el negativo/borde "No presentar como capacidad de ahorro general."
And valido el dato/estado "debt_projection · recoverable capacity"
And valido la decisión/guardrail "Ajustar materialización/copy sin reabrir regla. ID: GAP-COPY-M04-CAPACIDAD"</t>
  </si>
  <si>
    <t>Obligación: La obligación documental exige semántica de capacidad recuperable/liberable por deuda, separada de ahorro general M05.
Resultado: RD-02 copy a revisar
Negativo/borde: No presentar como capacidad de ahorro general.</t>
  </si>
  <si>
    <t>TR-M04-109 · FLOW-M04-019 · Ruta 2 · Plan · M04-RGL-027 · Figma: Ruta despeje 2. Plan.png</t>
  </si>
  <si>
    <t>M4-V67</t>
  </si>
  <si>
    <t>RD-02 · Simulación</t>
  </si>
  <si>
    <t>RD-02 · Simulación - Ingreso disponible para colchón</t>
  </si>
  <si>
    <t># Precondiciones
Given inicio sesion en la App
And se cumple la variante de la matriz "Ingreso disponible para colchón"
And el estado inicial / origen es "RD-02 Simulación"
And tengo la Ruta Despeje elegible y mi ingreso mensual neto canónico M05 es 1.000.000
And M05 entrega el outcome de protección prudencial "&lt;outcome&gt;"
And me encuentro en la vista "RD-02 Simulación"
# Pasos y validaciones
When presiono el boton "Calcular"
Then valido que la protección prudencial se muestra como "&lt;estado&gt;"
And valido que no se muestra un colchón automático de 50.000 calculado como 5% del ingreso
# Criterio de aceptación (matriz)
Then valido la obligación "No usar max(piso, ingreso×5%) como política vigente."
And valido la obligación "Preservar únicamente el principio de protección prudencial antes de afirmar sostenibilidad."
And valido el resultado "Protección prudencial: evaluable / no evaluable; sin monto anterior automático"
And valido el negativo/borde "No hardcodear en UX."
And valido el dato/estado "calculation · inputs prudenciales disponibles / suficiencia de protección / versión de política"
And valido la decisión/guardrail "D-M04-RESERVA-01; P4-CNT-022."
Examples:
  | outcome      | estado       |
  | evaluable    | evaluable    |
  | no evaluable | no evaluable |</t>
  </si>
  <si>
    <t>Obligación: No usar max(piso, ingreso×5%) como política vigente. Preservar únicamente el principio de protección prudencial antes de afirmar sostenibilidad.
Resultado: Protección prudencial: evaluable / no evaluable; sin monto anterior automático
Negativo/borde: No hardcodear en UX.</t>
  </si>
  <si>
    <t>TR-M04-110 · FLOW-M04-020 · Ruta 2 · Simulación · M04-RGL-024 · P4-CNT-022 · Figma: Flujo simulación 4.4 · Validación: TC-M04-037</t>
  </si>
  <si>
    <t>M4-V68</t>
  </si>
  <si>
    <t>RD-02 · Simulación - Ingreso/gastos/pagos obligatorios disponibles</t>
  </si>
  <si>
    <t># Precondiciones
Given inicio sesion en la App
And se cumple la variante de la matriz "Ingreso/gastos/pagos obligatorios disponibles"
And el estado inicial / origen es "RD-02 Simulación"
And tengo la Ruta Despeje elegible
And mis datos son ingreso 1.000.000, gastos 700.000 y pagos obligatorios 100.000
And el headroom canónico entregado por M05 para el período es 150.000
And me encuentro en la vista "RD-02 Simulación"
# Pasos y validaciones
When presiono el boton "Calcular"
Then valido que la simulación utiliza el headroom de 150.000
And valido que no se utiliza un espacio disponible de 200.000 calculado localmente
# Criterio de aceptación (matriz)
Then valido la obligación "Consumir headroom/capacidad residual canónica producida upstream; M04 no recalcula un presupuesto paralelo."
And valido el resultado "Headroom canónico consumido por Ruta/simulación"
And valido el negativo/borde "No crear presupuesto paralelo."
And valido el dato/estado "input M05 / cálculo consumidor M04 · headroom canónico / período / calidad / provenance"
And valido la decisión/guardrail "D-M05-K-01; P4-CNT-004."</t>
  </si>
  <si>
    <t>Obligación: Consumir headroom/capacidad residual canónica producida upstream; M04 no recalcula un presupuesto paralelo.
Resultado: Headroom canónico consumido por Ruta/simulación
Negativo/borde: No crear presupuesto paralelo.</t>
  </si>
  <si>
    <t>TR-M04-111 · FLOW-M04-020 · Ruta 2 · Simulación · M04-RGL-025 · P4-CNT-004 · Figma: Flujo simulación 4.4 · Validación: TC-M04-038</t>
  </si>
  <si>
    <t>M4-V69</t>
  </si>
  <si>
    <t>RD-02 · Simulación - Headroom válido y protección prudencial suficientemente evaluable</t>
  </si>
  <si>
    <t># Precondiciones
Given inicio sesion en la App
And se cumple la variante de la matriz "Headroom válido y protección prudencial suficientemente evaluable"
And el estado inicial / origen es "RD-02 Simulación"
And tengo la Ruta Despeje elegible con headroom canónico válido
And M05 entrega el outcome prudencial "&lt;outcome&gt;"
And me encuentro en la vista "RD-02 Simulación"
# Pasos y validaciones
When presiono el boton "Calcular"
Then valido que se muestra "&lt;resultado&gt;"
# Criterio de aceptación (matriz)
Then valido la obligación "distinguir positivo, 0/no recomendado y no evaluable."
And valido el resultado "solo positivo se presenta como recomendación sostenible; 0 se explica como resultado conocido."
And valido el negativo/borde "no ocultar 0 como si faltara cálculo ni reconstruir política M05."
And valido el dato/estado "calculation · headroom / protección prudencial / suficiencia / versión de política"
And valido la decisión/guardrail "D-M04-RESERVA-01; P4-CNT-022."
Examples:
  | outcome                      | resultado                                                                                       |
  | evaluable positivo de 40.000 | la recomendación de aporte de 40.000 y el boton "Ver simulación"                                |
  | evaluable igual a 0          | el plan seleccionado sin aporte y un mensaje de que por ahora no se recomienda aporte adicional |
  | no evaluable                 | un estado no evaluable sin monto máximo sostenible                                              |</t>
  </si>
  <si>
    <t>Obligación: distinguir positivo, 0/no recomendado y no evaluable.
Resultado: solo positivo se presenta como recomendación sostenible; 0 se explica como resultado conocido.
Negativo/borde: no ocultar 0 como si faltara cálculo ni reconstruir política M05.</t>
  </si>
  <si>
    <t>TR-M04-112 · FLOW-M04-020 · Ruta 2 · Simulación · M04-RGL-026 · P4-CNT-022 · Figma: Flujo simulación 4.4 · Validación: TC-M04-039, TC-M04-040</t>
  </si>
  <si>
    <t>M4-V70</t>
  </si>
  <si>
    <t>RD-02 · Simulación - Usuario ingresa aporte manual hipotético</t>
  </si>
  <si>
    <t># Precondiciones
Given inicio sesion en la App
And se cumple la variante de la matriz "Usuario ingresa aporte manual hipotético"
And el estado inicial / origen es "RD-02 Simulación"
And tengo la Ruta Despeje elegible y no activa
And me encuentro en la vista "RD-02 Simulación"
# Pasos y validaciones
When ingreso un aporte manual de "25.000"
And presiono el boton "Ver simulación"
Then valido que se muestra el escenario simulado identificado como manual/referencial
And valido que no se presenta como aporte sostenible ni recomendación de Walvy
When presiono el boton "Aceptar simulación"
Then valido que el escenario manual queda como planificación seleccionada
And valido que no se ejecutó ningún pago
And valido que la Ruta Despeje se mantiene no activa
# Criterio de aceptación (matriz)
Then valido la obligación "monto manual puede previsualizarse y aceptarse como planificación seleccionada."
And valido el resultado "escenario manual/referencial."
And valido el negativo/borde "no presentarlo como aporte sostenible o recomendación Walvy; no ejecutar pago ni activar Ruta."
And valido el dato/estado "debt_projection · additional_payment_amount / projection_method=manual"
And valido la decisión/guardrail "Aplicar P4-CNT-021; monto manual no prueba sostenibilidad."</t>
  </si>
  <si>
    <t>Obligación: monto manual puede previsualizarse y aceptarse como planificación seleccionada.
Resultado: escenario manual/referencial.
Negativo/borde: no presentarlo como aporte sostenible o recomendación Walvy; no ejecutar pago ni activar Ruta.</t>
  </si>
  <si>
    <t>TR-M04-113 · FLOW-M04-020 · Ruta 2 · Simulación · M04-RGL-032; M04-RGL-026 · P4-CNT-021 · Figma: Flujo simulación 4.4 · Validación: TC-M04-045; TC-M04-039, TC-M04-040</t>
  </si>
  <si>
    <t>M4-V71</t>
  </si>
  <si>
    <t>RD-02 · Simulación - Protección prudencial no evaluable o capacidad sostenible no demostrable</t>
  </si>
  <si>
    <t># Precondiciones
Given inicio sesion en la App
And se cumple la variante de la matriz "Protección prudencial no evaluable o capacidad sostenible no demostrable"
And el estado inicial / origen es "RD-02 Simulación"
And tengo la Ruta Despeje elegible
And M05 entrega el outcome prudencial "no evaluable"
And "&lt;inputs_proyeccion&gt;"
# Pasos y validaciones
When ingreso a la vista "RD-02 Simulación"
Then valido que se muestra un estado no evaluable comprensible
And valido que no se muestra el texto "puedes pagar" con un monto
And valido que el estado no evaluable no se muestra como 0
And valido que se ofrece "&lt;opcion&gt;"
# Criterio de aceptación (matriz)
Then valido la obligación "no evaluable debe ser visible y comprensible."
And valido el resultado "sin máximo sostenible; manual solo si puede proyectarse."
And valido el negativo/borde "no decir “puedes pagar X” ni tratar no evaluable como 0."
And valido el dato/estado "debt_projection · additional_payment_amount / projection_confidence_level / blocking_missing_fields"
And valido la decisión/guardrail "Aplicar P4-CNT-022; distinguir 0 conocido de no calculable."
Examples:
  | inputs_proyeccion                            | opcion                            |
  | existen inputs suficientes para proyectar    | la simulación manual opcional     |
  | no existen inputs suficientes para proyectar | completar la información faltante |</t>
  </si>
  <si>
    <t>Obligación: no evaluable debe ser visible y comprensible.
Resultado: sin máximo sostenible; manual solo si puede proyectarse.
Negativo/borde: no decir “puedes pagar X” ni tratar no evaluable como 0.</t>
  </si>
  <si>
    <t>TR-M04-114 · FLOW-M04-020 · Ruta 2 · Simulación · M04-RGL-026; M04-RGL-032 · P4-CNT-022 · Figma: Figma 4.4 · Validación: TC-M04-039, TC-M04-040; TC-M04-045</t>
  </si>
  <si>
    <t>M4-V72</t>
  </si>
  <si>
    <t>RD-02 · Simulación - Cambian saldos, mínimos, compromisos, headroom, cierre, ingreso, gasto relevante o versión de regla</t>
  </si>
  <si>
    <t># Precondiciones
Given inicio sesion en la App
And se cumple la variante de la matriz "Cambian saldos, mínimos, compromisos, headroom, cierre, ingreso, gasto relevante o versión de regla"
And el estado inicial / origen es "RD-02 Simulación"
And tengo la Ruta Despeje elegible con una proyección calculada en la vista "RD-02 Plan"
And registro la duración estimada mostrada
# Pasos y validaciones
When cambia "&lt;input&gt;"
And ingreso a la vista "RD-02 Plan"
Then valido que la proyección se recalculó con los nuevos datos
And valido que no se muestra la proyección anterior
# Criterio de aceptación (matriz)
Then valido la obligación "Invalidar/recalcular la proyección con snapshot, versión y supuestos; no reutilizar cálculo obsoleto."
And valido el resultado "Nueva proyección"
And valido el negativo/borde "No reutilizar proyección obsoleta."
And valido el dato/estado "debt_projection · timestamp de proyección / versión / supuestos / inputs fuente / evaluated_at"
And valido la decisión/guardrail "Aplicar P4-CNT-023; capacidad anterior reemplazada por headroom + gate prudencial cuando corresponda."
Examples:
  | input                            |
  | el saldo actual de una deuda     |
  | el pago mínimo de una deuda      |
  | el headroom canónico M05         |
  | el ingreso mensual canónico M05  |
  | el estado de cierre de una deuda |
  | la versión de regla vigente      |</t>
  </si>
  <si>
    <t>Obligación: Invalidar/recalcular la proyección con snapshot, versión y supuestos; no reutilizar cálculo obsoleto.
Resultado: Nueva proyección
Negativo/borde: No reutilizar proyección obsoleta.</t>
  </si>
  <si>
    <t>TR-M04-115 · FLOW-M04-020 · Ruta 2 · Simulación · M04-RGL-031 · P4-CNT-023 · Figma: Figma 4.4 + BDD · Validación: TC-M04-072</t>
  </si>
  <si>
    <t>M4-V73</t>
  </si>
  <si>
    <t>RD-02 · Simulación aceptada</t>
  </si>
  <si>
    <t>RD-02 · Simulación aceptada - Usuario acepta escenario</t>
  </si>
  <si>
    <t># Precondiciones
Given inicio sesion en la App
And se cumple la variante de la matriz "Usuario acepta escenario"
And el estado inicial / origen es "Simulación"
And tengo la Ruta Despeje elegible y no activa
And tengo en vista previa un escenario con aporte adicional de 40.000
# Pasos y validaciones
When presiono el boton "Aceptar simulación"
Then valido que me encuentro en la vista "RD-02 Plan" con el plan actualizado con el aporte de 40.000
When presiono nuevamente el boton "Aceptar simulación" sobre el mismo escenario
Then valido que el plan seleccionado no se duplica
And valido que no se ejecutó ningún pago ni transferencia
And valido que la Ruta Despeje se mantiene no activa
# Criterio de aceptación (matriz)
Then valido la obligación "aceptar selecciona el escenario de planificación de forma idempotente y preserva un rollback de un nivel."
And valido el resultado "RD-02 Plan actualizado."
And valido el negativo/borde "no pago, no transferencia, no activación/desactivación de Ruta, manual no se vuelve sostenible."
And valido el dato/estado "debt_projection / configuración seleccionada · projection_method / recommendation_status / assumptions/version/source refs / previous_selected_plan_ref"</t>
  </si>
  <si>
    <t>Obligación: aceptar selecciona el escenario de planificación de forma idempotente y preserva un rollback de un nivel.
Resultado: RD-02 Plan actualizado.
Negativo/borde: no pago, no transferencia, no activación/desactivación de Ruta, manual no se vuelve sostenible.</t>
  </si>
  <si>
    <t>TR-M04-116 · FLOW-M04-021 · Ruta 2 · Simulación aceptada · M04-RGL-032; M04-RGL-030, M04-RGL-036 · Figma: Aceptar simulación.png · Validación: TC-M04-046</t>
  </si>
  <si>
    <t>M4-V74</t>
  </si>
  <si>
    <t>RD-02 · Simulación aceptada - Escenario aceptado · rollback/restauración del plan anterior</t>
  </si>
  <si>
    <t># Precondiciones
Given inicio sesion en la App
And se cumple la variante de la matriz "Escenario aceptado · rollback/restauración del plan anterior"
And el estado inicial / origen es "Simulación"
And tengo un plan seleccionado en "RD-02 Plan" sin aporte adicional
And acepté una simulación con aporte adicional de 40.000
And "&lt;evento_posterior&gt;"
# Pasos y validaciones
When ingreso a la vista "RD-02 Plan"
Then valido que la opción "Volver al plan anterior" se muestra "&lt;rollback&gt;"
# Criterio de aceptación (matriz)
Then valido la obligación "rollback restaura únicamente el plan seleccionado inmediatamente anterior si sigue válido."
And valido el resultado "RD-02 recalculado con configuración previa."
And valido el negativo/borde "no historial navegable/redo; no restaura snapshots stale; no revierte pagos, cierres ni route_state."
And valido el dato/estado "debt_projection · selected plan / previous plan ref / rollback_status / projected_months_to_close / assumptions_used"
And valido la decisión/guardrail "D-RD02-SIM v1.0 · rollback un nivel; Seguir plan solo no invalida; cambios materiales sí. D-M04-ACT-01 se preserva."
Examples:
  | evento_posterior                            | rollback                                                                  |
  | no ocurrió ningún cambio posterior          | disponible y al presionarla se restaura el plan sin aporte adicional      |
  | presioné "Seguir plan"                      | disponible y la Ruta conserva su estado activo al restaurar               |
  | cambió el saldo de una deuda                | no disponible                                                             |
  | acepté otra simulación con aporte de 60.000 | disponible y restaura el plan con aporte de 40.000, no el plan sin aporte |</t>
  </si>
  <si>
    <t>Obligación: rollback restaura únicamente el plan seleccionado inmediatamente anterior si sigue válido.
Resultado: RD-02 recalculado con configuración previa.
Negativo/borde: no historial navegable/redo; no restaura snapshots stale; no revierte pagos, cierres ni route_state.</t>
  </si>
  <si>
    <t>TR-M04-117 · FLOW-M04-021 · Ruta 2 · Simulación aceptada · M04-RGL-030; M04-RGL-031 · Figma: Plan post-simulación · rollback por materializar en Figma · Validación: TC-M04-046; TC-M04-072</t>
  </si>
  <si>
    <t>M4-V75</t>
  </si>
  <si>
    <t>RD-02→RD-03 · Activación y avance</t>
  </si>
  <si>
    <t>RD-02→RD-03 · Activación y avance - Ruta elegible/disponible y usuario ejecuta el primer “Seguir plan” válido desde RD-02</t>
  </si>
  <si>
    <t># Precondiciones
Given inicio sesion en la App
And se cumple la variante de la matriz "Ruta elegible/disponible y usuario ejecuta el primer “Seguir plan” válido desde RD-02"
And el estado inicial / origen es "RD-02 Plan"
And tengo la Ruta Despeje "&lt;estado_ruta&gt;"
And me encuentro en la vista "RD-02 Plan"
# Pasos y validaciones
When presiono el boton "Seguir plan" en la vista RD-02
Then valido que "&lt;resultado&gt;"
# Criterio de aceptación (matriz)
Then valido la obligación "Persistir la transición route_eligibility_status=elegible→activa y functional_debt_state=ruta_activa, junto con el momento de inicio."
And valido la obligación "El evento es idempotente: usos posteriores de “Seguir plan” representan continuidad, no nuevas activaciones."
And valido el resultado "RD-03 / Ruta activa"
And valido el negativo/borde "No activar si route_activation_allowed=false."
And valido el negativo/borde "Reintentos/usos posteriores de “Seguir plan” no cambian el momento inicial ni generan otra activación."
And valido el dato/estado "debt · route_activation_allowed=true / route_eligibility_status: elegible→activa / functional_debt_state=ruta_activa / momento de activación persistido (sin imponer nombre físico)"
And valido la decisión/guardrail "D-M04-ACT-01 cerrada: elegible ≠ activa; activa con primer “Seguir plan” válido desde RD-02."
Examples:
  | estado_ruta                   | resultado                                                                         |
  | elegible y nunca activada     | me encuentro en "RD-03 Avance" con la Ruta activa y la fecha de inicio registrada |
  | activa desde una fecha previa | me encuentro en "RD-03 Avance" y la fecha de inicio de la Ruta no cambia          |
  | no elegible                   | la Ruta Despeje no se activa                                                      |</t>
  </si>
  <si>
    <t>Obligación: Persistir la transición route_eligibility_status=elegible→activa y functional_debt_state=ruta_activa, junto con el momento de inicio. El evento es idempotente: usos posteriores de “Seguir plan” representan continuidad, no nuevas activaciones.
Resultado: RD-03 / Ruta activa
Negativo/borde: No activar si route_activation_allowed=false. Reintentos/usos posteriores de “Seguir plan” no cambian el momento inicial ni generan otra activación.</t>
  </si>
  <si>
    <t>TR-M04-118 · FLOW-M04-022 · Ruta 2→3 · M04-RGL-033; M04-RGL-030 · Figma: Figma 4.4/4.5 · Validación: TC-M04-048, TC-M04-063</t>
  </si>
  <si>
    <t>M4-V76</t>
  </si>
  <si>
    <t>RD-02→RD-03 · Activación y avance - Existe Ruta activa según estado canónico</t>
  </si>
  <si>
    <t># Precondiciones
Given inicio sesion en la App
And se cumple la variante de la matriz "Existe Ruta activa según estado canónico"
And el estado inicial / origen es "RD-03 Avance"
And tengo la Ruta Despeje activa desde el 01-08-2026
# Pasos y validaciones
When ingreso a la vista "RD-03 Avance"
Then valido que se muestra el saldo actual de la deuda prioritaria
And valido que se muestran los pagos o compromisos registrados
And valido que se muestra el progreso estimado y la próxima acción
When salgo de la App y vuelvo a ingresar a "RD-03 Avance"
Then valido que la Ruta sigue activa con fecha de inicio 01-08-2026
# Criterio de aceptación (matriz)
Then valido la obligación "Mostrar avance con saldo, compromiso/pagos consumidos, progreso estimado y próxima acción; conservar el estado activo y el momento inicial en continuidad/retoma sin emitir una nueva activación."
And valido el resultado "RD-03"
And valido el negativo/borde "No reemitir activación ni reemplazar el momento inicial; usos posteriores de “Seguir plan” son continuidad."
And valido el dato/estado "debt / debt_projection · functional_debt_state / current_balance_amount / projected_months_to_close / priority_order"
And valido la decisión/guardrail "D-M04-ACT-01 cerrada: elegible ≠ activa; activa con primer “Seguir plan” válido desde RD-02."</t>
  </si>
  <si>
    <t>Obligación: Mostrar avance con saldo, compromiso/pagos consumidos, progreso estimado y próxima acción; conservar el estado activo y el momento inicial en continuidad/retoma sin emitir una nueva activación.
Resultado: RD-03
Negativo/borde: No reemitir activación ni reemplazar el momento inicial; usos posteriores de “Seguir plan” son continuidad.</t>
  </si>
  <si>
    <t>TR-M04-119 · FLOW-M04-022 · Ruta 2→3 · M04-RGL-033 · Figma: Ruta Despeje - 3. Avance*.png · Validación: TC-M04-048, TC-M04-063</t>
  </si>
  <si>
    <t>M4-V77</t>
  </si>
  <si>
    <t>RD-02→RD-03 · Activación y avance - Usuario consulta pagos recientes/historial</t>
  </si>
  <si>
    <t># Precondiciones
Given inicio sesion en la App
And se cumple la variante de la matriz "Usuario consulta pagos recientes/historial"
And el estado inicial / origen es "RD-03 Avance"
And tengo la Ruta Despeje activa
And me encuentro en la vista "RD-03 Avance"
# Pasos y validaciones
When presiono el boton "Ver historial" en la vista RD-03
Then valido que me encuentro en la vista "Pagos" de M06 con el historial de pagos
And valido que M04 no muestra un historial de pagos propio paralelo
# Criterio de aceptación (matriz)
Then valido la obligación "Derivar a M06/Pagos; M04 no crea historial operativo paralelo."
And valido el resultado "M06/Pagos"
And valido el negativo/borde "Clasificar como navegación, no señal producida."
And valido el dato/estado "debt_signal · payment history owner M06 / correlation reference"
And valido la decisión/guardrail "BC-M04-002 cerrada para producción/proyección M04; orquestación global fuera."</t>
  </si>
  <si>
    <t>Obligación: Derivar a M06/Pagos; M04 no crea historial operativo paralelo.
Resultado: M06/Pagos
Negativo/borde: Clasificar como navegación, no señal producida.</t>
  </si>
  <si>
    <t>TR-M04-120 · FLOW-M04-022 · Ruta 2→3 · M04-RGL-033; M04-RGL-016, M04-RGL-042 · Figma: Ruta Despeje - 3. Avance*.png · Validación: TC-M04-048, TC-M04-063</t>
  </si>
  <si>
    <t>M4-V78</t>
  </si>
  <si>
    <t>RD-02→RD-03 · Activación y avance - Usuario continúa a lectura estructural</t>
  </si>
  <si>
    <t># Precondiciones
Given inicio sesion en la App
And se cumple la variante de la matriz "Usuario continúa a lectura estructural"
And el estado inicial / origen es "RD-03 Avance"
And tengo la Ruta Despeje activa y la Presión final "Riesgo"
And me encuentro en la vista "RD-03 Avance"
# Pasos y validaciones
When presiono el boton "Ir a Perfil Financiero" en la vista RD-03
Then valido que me encuentro en la vista de Perfil Financiero
And valido que Perfil muestra el estado de Ruta activa y la Presión "Riesgo"
And valido que Perfil no muestra la Ruta Despeje completa embebida
# Criterio de aceptación (matriz)
Then valido la obligación "Navegar a Perfil conservando estado canónico; Perfil no embebe Ruta completa."
And valido el resultado "Perfil Financiero"
And valido el negativo/borde "No convertir navegación en señal accionable externa."
And valido el dato/estado "debt · functional_debt_state / pressure_evaluation_status"
And valido la decisión/guardrail "BC-M04-002 cerrada para producción/proyección M04; orquestación global fuera."</t>
  </si>
  <si>
    <t>Obligación: Navegar a Perfil conservando estado canónico; Perfil no embebe Ruta completa.
Resultado: Perfil Financiero
Negativo/borde: No convertir navegación en señal accionable externa.</t>
  </si>
  <si>
    <t>TR-M04-121 · FLOW-M04-022 · Ruta 2→3 · M04-RGL-033; M04-RGL-002, M04-RGL-039 · Figma: Ruta Despeje - 3. Avance*.png · Validación: TC-M04-048, TC-M04-063</t>
  </si>
  <si>
    <t>M4-V79</t>
  </si>
  <si>
    <t>RD-02→RD-03 · Activación y avance - Cierre/avance recalculado produce una next_suggested_debt nueva y vigente.</t>
  </si>
  <si>
    <t># Precondiciones
Given inicio sesion en la App
And se cumple la variante de la matriz "Cierre/avance recalculado produce una next_suggested_debt nueva y vigente."
And el estado inicial / origen es "RD-03 Avance"
And tengo la Ruta Despeje activa con las deudas "Tarjeta Banco B" y "Crédito Banco A"
And mi Foco del Mes actual es "Ordenar gastos"
And confirmé el cierre de la deuda "Tarjeta Banco B"
# Pasos y validaciones
When ingreso a la vista "RD-03 Avance"
Then valido que se sugiere revisar la siguiente deuda "Crédito Banco A"
And valido que la capacidad liberada se muestra como dato asociado a la sugerencia
And valido que mi Foco del Mes sigue siendo "Ordenar gastos"
# Criterio de aceptación (matriz)
Then valido la obligación "F7 recomienda revisar la siguiente deuda; capacidad liberada puede enriquecer el payload si es válida; no cambiar Foco del Mes."
And valido el resultado "RD-03"
And valido el negativo/borde "No usar semántica “Foco del Mes” como estado formal."
And valido el dato/estado "debt_projection · priority_order / next suggested debt reference"
And valido la decisión/guardrail "Ajustar materialización/copy sin reabrir regla. ID: GAP-COPY-M04-FOCO"</t>
  </si>
  <si>
    <t>Obligación: F7 recomienda revisar la siguiente deuda; capacidad liberada puede enriquecer el payload si es válida; no cambiar Foco del Mes.
Resultado: RD-03
Negativo/borde: No usar semántica “Foco del Mes” como estado formal.</t>
  </si>
  <si>
    <t>TR-M04-122 · FLOW-M04-022 · Ruta 2→3 · M04-RGL-035; M04-RGL-033 · Figma: Ruta Despeje - 3. Avance*.png · Validación: TC-M04-053; TC-M04-048, TC-M04-063</t>
  </si>
  <si>
    <t>M4-V80</t>
  </si>
  <si>
    <t>RD-02→RD-03 · Activación y avance - Figma muestra “Capacidad de ahorro a recuperar (estimado)”</t>
  </si>
  <si>
    <t># Precondiciones
Given inicio sesion en la App
And se cumple la variante de la matriz "Figma muestra “Capacidad de ahorro a recuperar (estimado)”"
And el estado inicial / origen es "RD-03 Avance"
And tengo la Ruta Despeje activa con capacidad recuperable calculada
# Pasos y validaciones
When ingreso a la vista "RD-03 Avance"
Then valido que el texto del monto indica capacidad recuperable o liberable asociada a la deuda
And valido que el texto no presenta el monto como ahorro general, ahorro realizado ni dinero movido
# Criterio de aceptación (matriz)
Then valido la obligación "La obligación documental exige capacidad recuperable/liberable por deuda, no capacidad de ahorro general M05."
And valido el resultado "RD-03 copy a revisar"
And valido el negativo/borde "No presentar como ahorro general."
And valido el dato/estado "debt_projection · recoverable capacity"
And valido la decisión/guardrail "Ajustar materialización/copy sin reabrir regla. ID: GAP-COPY-M04-CAPACIDAD"</t>
  </si>
  <si>
    <t>Obligación: La obligación documental exige capacidad recuperable/liberable por deuda, no capacidad de ahorro general M05.
Resultado: RD-03 copy a revisar
Negativo/borde: No presentar como ahorro general.</t>
  </si>
  <si>
    <t>TR-M04-123 · FLOW-M04-022 · Ruta 2→3 · M04-RGL-027 · Figma: Ruta Despeje - 3. Avance*.png · Validación: TC-M04-049</t>
  </si>
  <si>
    <t>M4-V81</t>
  </si>
  <si>
    <t>RD-02→RD-03 · Activación y avance - Figma muestra “Siguiente foco sugerido”</t>
  </si>
  <si>
    <t># Precondiciones
Given inicio sesion en la App
And se cumple la variante de la matriz "Figma muestra “Siguiente foco sugerido”"
And el estado inicial / origen es "RD-03 Avance"
And tengo la Ruta Despeje activa con una siguiente deuda sugerida
# Pasos y validaciones
When ingreso a la vista "RD-03 Avance"
Then valido que el texto presenta la sugerencia como próxima deuda o próximo paso
And valido que el texto no indica un cambio del Foco del Mes
# Criterio de aceptación (matriz)
Then valido la obligación "La obligación funcional debe mantenerse como próxima deuda/próximo paso salvo regla formal de Foco."
And valido el resultado "RD-03 copy a revisar"
And valido el negativo/borde "No inferir cambio de Foco del Mes."
And valido el dato/estado "debt_projection · next suggested debt reference"
And valido la decisión/guardrail "Ajustar materialización/copy sin reabrir regla. ID: GAP-COPY-M04-FOCO"</t>
  </si>
  <si>
    <t>Obligación: La obligación funcional debe mantenerse como próxima deuda/próximo paso salvo regla formal de Foco.
Resultado: RD-03 copy a revisar
Negativo/borde: No inferir cambio de Foco del Mes.</t>
  </si>
  <si>
    <t>TR-M04-124 · FLOW-M04-022 · Ruta 2→3 · M04-RGL-035 · Figma: Ruta Despeje - 3. Avance*.png · Validación: TC-M04-053</t>
  </si>
  <si>
    <t>M4-V82</t>
  </si>
  <si>
    <t>RD-03 · Cierre de deuda</t>
  </si>
  <si>
    <t>RD-03 · Cierre de deuda - possible_closure cambia false→true con closed=false.</t>
  </si>
  <si>
    <t># Precondiciones
Given inicio sesion en la App
And se cumple la variante de la matriz "possible_closure cambia false→true con closed=false."
And el estado inicial / origen es "RD-03 Avance"
And tengo la Ruta Despeje activa con la deuda "Tarjeta Banco B" no cerrada
And registré pagos que llevan el avance de la deuda al 100%
# Pasos y validaciones
When ingreso a la vista "RD-03 Avance"
Then valido que se muestra la situación "Posible deuda cerrada" con el boton "Confirmar cierre"
And valido que la deuda "Tarjeta Banco B" no se muestra como cerrada
When salgo y vuelvo a ingresar a la vista "RD-03 Avance" sin confirmar el cierre
Then valido que se muestra una única situación "Posible deuda cerrada" para la deuda
# Criterio de aceptación (matriz)
Then valido la obligación "Hacer nacer F6 una sola vez por instancia; solicitar confirmación funcional."
And valido la obligación "Persistencia true→true actualiza la misma situación, no crea otra."
And valido el resultado "RD-03 / modal cierre"
And valido el negativo/borde "No auto-cerrar por pago."
And valido el dato/estado "debt · debt_status / possible_closure / confirmation_status"
And valido la decisión/guardrail "BC-M04-002 cerrada para producción/proyección M04; orquestación global fuera."</t>
  </si>
  <si>
    <t>Obligación: Hacer nacer F6 una sola vez por instancia; solicitar confirmación funcional. Persistencia true→true actualiza la misma situación, no crea otra.
Resultado: RD-03 / modal cierre
Negativo/borde: No auto-cerrar por pago.</t>
  </si>
  <si>
    <t>TR-M04-125 · FLOW-M04-023 · Ruta 3 · Cierre · M04-RGL-034; M04-RGL-016 · Figma: Modal confirmar deuda cerrada · documental · Validación: TC-M04-050, TC-M04-051</t>
  </si>
  <si>
    <t>M4-V83</t>
  </si>
  <si>
    <t>RD-03 · Cierre de deuda - Usuario confirma cierre con evidencia funcional suficiente</t>
  </si>
  <si>
    <t># Precondiciones
Given inicio sesion en la App
And se cumple la variante de la matriz "Usuario confirma cierre con evidencia funcional suficiente"
And el estado inicial / origen es "RD-03 / modal cierre"
And tengo la deuda "Tarjeta Banco B" con la situación "Posible deuda cerrada" en la vista "RD-03 Avance"
# Pasos y validaciones
When presiono el boton "Confirmar cierre"
And confirmo el cierre en el modal de confirmación
Then valido que la deuda "Tarjeta Banco B" cambia al estado "Cerrada"
And valido que la deuda ya no se muestra dentro de las deudas activas del plan
And valido que la situación "Posible deuda cerrada" deja de mostrarse
# Criterio de aceptación (matriz)
Then valido la obligación "Cambiar deuda a cerrada en estado canónico y excluirla de deuda activa."
And valido el resultado "Deuda cerrada"
And valido el negativo/borde "No mantener como deuda activa."
And valido el dato/estado "debt · functional_debt_state=deuda_cerrada / debt_status=closed / route_eligibility_status=cerrada"
And valido la decisión/guardrail "FLOW-M04-023 cerrado visual y documentalmente; conservar secuencia aprobada."</t>
  </si>
  <si>
    <t>Obligación: Cambiar deuda a cerrada en estado canónico y excluirla de deuda activa.
Resultado: Deuda cerrada
Negativo/borde: No mantener como deuda activa.</t>
  </si>
  <si>
    <t>TR-M04-126 · FLOW-M04-023 · Ruta 3 · Cierre · M04-RGL-034 · Figma: Figma 4.5 · Ruta Despeje 3 Avance · cierre 100% → Confirmar cierre → modal → Continuar con el plan → RD-03 actualizado · Validación: TC-M04-050, TC-M04-051</t>
  </si>
  <si>
    <t>M4-V84</t>
  </si>
  <si>
    <t>RD-03 · Cierre de deuda - Deuda cerrada confirmada</t>
  </si>
  <si>
    <t># Precondiciones
Given inicio sesion en la App
And se cumple la variante de la matriz "Deuda cerrada confirmada"
And el estado inicial / origen es "RD-03"
And tengo la Ruta Despeje activa con las deudas "Tarjeta Banco B" (pago mínimo 30.000) y "Crédito Banco A"
And registro el orden, la duración estimada y la capacidad liberada mostrados antes del cierre
# Pasos y validaciones
When confirmo el cierre de la deuda "Tarjeta Banco B"
And ingreso a la vista "RD-03 Avance"
Then valido que el orden de prioridad se recalculó sin la deuda cerrada
And valido que la duración estimada se recalculó
And valido que se muestra la capacidad liberada de 30.000 asociada al siguiente paso del plan
And valido que no se ejecutó transferencia ni pago automático
# Criterio de aceptación (matriz)
Then valido la obligación "Recalcular capacidad liberada, orden, cronograma y siguiente deuda; no mover dinero automáticamente."
And valido el resultado "Ruta recalculada"
And valido el negativo/borde "No transferencia/pago automático."
And valido el dato/estado "debt_projection · snowball_transfer_amount / priority_order / projected_months_to_close / rule_version"</t>
  </si>
  <si>
    <t>Obligación: Recalcular capacidad liberada, orden, cronograma y siguiente deuda; no mover dinero automáticamente.
Resultado: Ruta recalculada
Negativo/borde: No transferencia/pago automático.</t>
  </si>
  <si>
    <t>TR-M04-127 · FLOW-M04-023 · Ruta 3 · Cierre · M04-RGL-029; M04-RGL-031, M04-RGL-035 · Figma: Documentado · Validación: TC-M04-052</t>
  </si>
  <si>
    <t>M4-V85</t>
  </si>
  <si>
    <t>RD-03 · Cierre de deuda - Cierre confirmado cambia el snapshot financiero</t>
  </si>
  <si>
    <t># Precondiciones
Given inicio sesion en la App
And se cumple la variante de la matriz "Cierre confirmado cambia el snapshot financiero"
And el estado inicial / origen es "RD-03"
And tengo 2 deudas confirmadas al día con cuotas de 300.000 y 250.000 y un ingreso neto canónico M05 de 1.000.000
And el headroom canónico M05 es K1 y la Presión final antes del cierre es "Riesgo" (C3·K1·D0)
# Pasos y validaciones
When confirmo el cierre de la deuda con cuota de 250.000
And M05 entrega el nuevo headroom canónico en banda K2
And ingreso a la vista "RD-03 Avance"
Then valido que la Presión final se reevaluó a "En Control" (C2·K2·D0)
And valido que la Salud de Deuda se reevaluó a "Sana"
And valido que no se conserva la Presión "Riesgo" previa al cierre
# Criterio de aceptación (matriz)
Then valido la obligación "Recalcular Presión y Salud con el nuevo snapshot; el resultado puede mejorar o empeorar según reglas vigentes."
And valido la obligación "No conservar estado obsoleto."
And valido el resultado "Nueva lectura de Presión/Salud"
And valido el negativo/borde "No conservar presión obsoleta después del cierre."
And valido el dato/estado "debt_signal / debt · Presión final / Salud / aging / evaluated_at / rule_version"
And valido la decisión/guardrail "Solo semántica de recálculo actualizada por P4-CNT-023; FLOW-M04-023 y destino visual permanecen fuera de perímetro."</t>
  </si>
  <si>
    <t>Obligación: Recalcular Presión y Salud con el nuevo snapshot; el resultado puede mejorar o empeorar según reglas vigentes. No conservar estado obsoleto.
Resultado: Nueva lectura de Presión/Salud
Negativo/borde: No conservar presión obsoleta después del cierre.</t>
  </si>
  <si>
    <t>TR-M04-128 · FLOW-M04-023 · Ruta 3 · Cierre · M04-RGL-038; M04-RGL-034, M04-RGL-037 · P4-CNT-023 · Figma: No inequívoco en Figma · Validación: TC-M04-050, TC-M04-051</t>
  </si>
  <si>
    <t>M4-V86</t>
  </si>
  <si>
    <t>RD-03 · Cierre de deuda - Cierre ya confirmado</t>
  </si>
  <si>
    <t># Precondiciones
Given inicio sesion en la App
And se cumple la variante de la matriz "Cierre ya confirmado"
And el estado inicial / origen es "RD-03"
And tengo la deuda "Tarjeta Banco B" con avance 100% y la situación "Posible deuda cerrada"
And me encuentro en la vista "RD-03 Avance"
# Pasos y validaciones
When presiono el boton "Confirmar cierre"
Then valido que se muestra el modal "¡Felicitaciones!"
When presiono el boton "Continuar con el plan" en el modal
Then valido que me encuentro en la vista "RD-03 Avance" actualizada
And valido que no se navegó a una pantalla distinta de RD-03
# Criterio de aceptación (matriz)
Then valido la obligación "Tras confirmar cierre, mostrar modal ¡Felicitaciones!; al seleccionar Continuar con el plan, retornar a RD-03 · Avance actualizado."
And valido el resultado "RD-03 · Avance actualizado"
And valido el negativo/borde "No omitir la confirmación funcional; no saltar el modal de cierre ni navegar a un postestado distinto de RD-03 · Avance actualizado."
And valido la decisión/guardrail "FLOW-M04-023 cerrado visual y documentalmente; conservar secuencia aprobada."</t>
  </si>
  <si>
    <t>Obligación: Tras confirmar cierre, mostrar modal ¡Felicitaciones!; al seleccionar Continuar con el plan, retornar a RD-03 · Avance actualizado.
Resultado: RD-03 · Avance actualizado
Negativo/borde: No omitir la confirmación funcional; no saltar el modal de cierre ni navegar a un postestado distinto de RD-03 · Avance actualizado.</t>
  </si>
  <si>
    <t>TR-M04-129 · FLOW-M04-023 · Ruta 3 · Cierre · M04-RGL-034 · Figma: Figma 4.5 · Ruta Despeje 3 Avance · cierre de deuda 100% / modal ¡Felicitaciones! / retorno RD-03 · Validación: TC-M04-051; TC-M04-050, TC-M04-052</t>
  </si>
  <si>
    <t>M4-V87</t>
  </si>
  <si>
    <t>Entrada directa / reingreso</t>
  </si>
  <si>
    <t>Entrada directa / reingreso - Existe deuda confirmada + datos mínimos + Presión final Riesgo; o existe Ruta activa previa</t>
  </si>
  <si>
    <t># Precondiciones
Given inicio sesion en la App
And se cumple la variante de la matriz "Existe deuda confirmada + datos mínimos + Presión final Riesgo; o existe Ruta activa previa"
And el estado inicial / origen es "Home/Perfil/reingreso"
And tengo una deuda confirmada con datos mínimos vigentes y Presión final "Riesgo" registrada previamente
And la Ruta Despeje está "&lt;estado_ruta&gt;"
And visualizo la pantalla "Home" de la vista Home
# Pasos y validaciones
When presiono el boton "&lt;cta&gt;" en la vista Home
Then valido que me encuentro en la vista "&lt;destino&gt;"
And valido que no se solicita repetir el Onboarding de Deudas
And valido que la deuda no se duplica
And valido que "&lt;estado_final&gt;"
# Criterio de aceptación (matriz)
Then valido la obligación "Con gate completo y sin Ruta activa, permitir entrada directa a RD-01 como elegible/disponible."
And valido la obligación "Si ya está activa, conservar estado y momento inicial; no reactivar."
And valido el resultado "RD-01 elegible / continuidad si ya activa"
And valido el negativo/borde "Gate o reingreso no crean activación nueva; no duplicar deuda/onboarding ni reactivar una Ruta existente."
And valido el dato/estado "debt · confirmation_status / minimum_data_ready / Presión final / elegibilidad / route_state / momento inicial"
And valido la decisión/guardrail "D-M04-ACT-01 cerrada: elegible ≠ activa; activa con primer “Seguir plan” válido desde RD-02. | Aplicar P4-CNT-018/P4-CNT-019/P4-CNT-020."
Examples:
  | estado_ruta                | cta       | destino                    | estado_final                                        |
  | elegible y no activa       | Ver plan  | RD-01 Resumen Ruta Despeje | la Ruta se mantiene elegible y no activa            |
  | activa desde el 01-08-2026 | Continuar | RD-03 Avance               | la Ruta sigue activa con fecha de inicio 01-08-2026 |</t>
  </si>
  <si>
    <t>Obligación: Con gate completo y sin Ruta activa, permitir entrada directa a RD-01 como elegible/disponible. Si ya está activa, conservar estado y momento inicial; no reactivar.
Resultado: RD-01 elegible / continuidad si ya activa
Negativo/borde: Gate o reingreso no crean activación nueva; no duplicar deuda/onboarding ni reactivar una Ruta existente.</t>
  </si>
  <si>
    <t>TR-M04-130 · FLOW-M04-024 · Entrada directa / reingreso · M04-RGL-003; M04-RGL-012, M04-RGL-014 · P4-CNT-018; P4-CNT-019; P4-CNT-020 · Figma: No conector Figma observado · Validación: TC-M04-070</t>
  </si>
  <si>
    <t>M4-V88</t>
  </si>
  <si>
    <t>Entrada directa / reingreso - Falta dato crítico/confirmación</t>
  </si>
  <si>
    <t># Precondiciones
Given inicio sesion en la App
And se cumple la variante de la matriz "Falta dato crítico/confirmación"
And el estado inicial / origen es "Home/Perfil/reingreso"
And tengo registrada la deuda "Crédito Banco A" sin el dato "Pago mínimo / cuota mensual"
And visualizo la pantalla "Home" de la vista Home
# Pasos y validaciones
When presiono el boton "Completar" en la vista Home
Then valido que me encuentro en la vista "OD-02 Revisión de deudas" con la deuda "Crédito Banco A"
And valido que no se reinicia la captura desde OD-01
And valido que la deuda "Crédito Banco A" aparece una sola vez
# Criterio de aceptación (matriz)
Then valido la obligación "Derivar a OD-02 completitud/revisión sin reiniciar captura ni duplicar deuda."
And valido el resultado "OD-02"
And valido el negativo/borde "No crear nueva instancia."
And valido el dato/estado "debt · data_completeness_status / confirmation_status / debt_id"</t>
  </si>
  <si>
    <t>Obligación: Derivar a OD-02 completitud/revisión sin reiniciar captura ni duplicar deuda.
Resultado: OD-02
Negativo/borde: No crear nueva instancia.</t>
  </si>
  <si>
    <t>TR-M04-131 · FLOW-M04-024 · Entrada directa / reingreso · M04-RGL-003; M04-RGL-012 · Figma: No conector Figma observado · Validación: TC-M04-070</t>
  </si>
  <si>
    <t>M4-V89</t>
  </si>
  <si>
    <t>Etiquetas funcionales MVP</t>
  </si>
  <si>
    <t>Etiquetas funcionales MVP - Existe dato/regla fuente que respalda una etiqueta MVP (OD-02)</t>
  </si>
  <si>
    <t># Precondiciones
Given inicio sesion en la App
And se cumple la variante de la matriz "Existe dato/regla fuente que respalda una etiqueta MVP"
And el estado inicial / origen es "OD-02"
And tengo una deuda con "&lt;soporte&gt;" para la etiqueta "Requiere revisión"
# Pasos y validaciones
When ingreso a la vista "OD-02 Revisión de deudas"
Then valido que la etiqueta "Requiere revisión" se muestra "&lt;visible&gt;" en la vista OD-02
And valido que la etiqueta no reemplaza la Presión, la validación ni el CTA principal de la vista
And valido que la deuda no muestra etiquetas sin regla o dato que las respalde
# Criterio de aceptación (matriz)
Then valido la obligación "Etiqueta sobre deuda detectada/recurrente/no planificada o que requiere revisión."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</si>
  <si>
    <t>Obligación: Etiqueta sobre deuda detectada/recurrente/no planificada o que requiere revisión. La etiqueta no reemplaza severidad, validación ni CTA dominante.
Resultado: Misma superficie
Negativo/borde: No mostrar etiqueta sin regla/dato; no sobreetiquetar.</t>
  </si>
  <si>
    <t>TR-M04-132 · FLOW-M04-007 · Onboarding 2 · Revisión · Figma: Figma cerrado · taxonomía functional_tag no observada inequívocamente</t>
  </si>
  <si>
    <t>M4-V90</t>
  </si>
  <si>
    <t>Etiquetas funcionales MVP - Existe dato/regla fuente que respalda una etiqueta MVP (RD-01)</t>
  </si>
  <si>
    <t># Precondiciones
Given inicio sesion en la App
And se cumple la variante de la matriz "Existe dato/regla fuente que respalda una etiqueta MVP"
And el estado inicial / origen es "RD-01"
And tengo una deuda con "&lt;soporte&gt;" para la etiqueta "Motivo de atención"
# Pasos y validaciones
When ingreso a la vista "RD-01 Resumen Ruta Despeje"
Then valido que la etiqueta "Motivo de atención" se muestra "&lt;visible&gt;" en la vista RD-01
And valido que la etiqueta no reemplaza la Presión, la validación ni el CTA principal de la vista
And valido que la deuda no muestra etiquetas sin regla o dato que las respalde
# Criterio de aceptación (matriz)
Then valido la obligación "Etiqueta que explica señal principal o motivo de atención."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</si>
  <si>
    <t>Obligación: Etiqueta que explica señal principal o motivo de atención. La etiqueta no reemplaza severidad, validación ni CTA dominante.
Resultado: Misma superficie
Negativo/borde: No mostrar etiqueta sin regla/dato; no sobreetiquetar.</t>
  </si>
  <si>
    <t>TR-M04-133 · FLOW-M04-016 · Ruta 1 · Resumen · Figma: Figma cerrado · taxonomía functional_tag no observada inequívocamente</t>
  </si>
  <si>
    <t>M4-V91</t>
  </si>
  <si>
    <t>Etiquetas funcionales MVP - Existe dato/regla fuente que respalda una etiqueta MVP (RD-02)</t>
  </si>
  <si>
    <t># Precondiciones
Given inicio sesion en la App
And se cumple la variante de la matriz "Existe dato/regla fuente que respalda una etiqueta MVP"
And el estado inicial / origen es "RD-02"
And tengo una deuda con "&lt;soporte&gt;" para la etiqueta "Deuda prioritaria"
# Pasos y validaciones
When ingreso a la vista "RD-02 Plan"
Then valido que la etiqueta "Deuda prioritaria" se muestra "&lt;visible&gt;" en la vista RD-02
And valido que la etiqueta no reemplaza la Presión, la validación ni el CTA principal de la vista
And valido que la deuda no muestra etiquetas sin regla o dato que las respalde
# Criterio de aceptación (matriz)
Then valido la obligación "Etiqueta sobre deuda prioritaria, siguiente deuda o capacidad recuperable."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</si>
  <si>
    <t>Obligación: Etiqueta sobre deuda prioritaria, siguiente deuda o capacidad recuperable. La etiqueta no reemplaza severidad, validación ni CTA dominante.
Resultado: Misma superficie
Negativo/borde: No mostrar etiqueta sin regla/dato; no sobreetiquetar.</t>
  </si>
  <si>
    <t>TR-M04-134 · FLOW-M04-019 · Ruta 2 · Plan · Figma: Figma cerrado · taxonomía functional_tag no observada inequívocamente</t>
  </si>
  <si>
    <t>M4-V92</t>
  </si>
  <si>
    <t>Etiquetas funcionales MVP - Existe dato/regla fuente que respalda una etiqueta MVP (DD-01)</t>
  </si>
  <si>
    <t># Precondiciones
Given inicio sesion en la App
And se cumple la variante de la matriz "Existe dato/regla fuente que respalda una etiqueta MVP"
And el estado inicial / origen es "DD-01"
And tengo una deuda con "&lt;soporte&gt;" para la etiqueta "Recurrente"
# Pasos y validaciones
When ingreso a la vista "DD-01 Detalle de deuda"
Then valido que la etiqueta "Recurrente" se muestra "&lt;visible&gt;" en la vista DD-01
And valido que la etiqueta no reemplaza la Presión, la validación ni el CTA principal de la vista
And valido que la deuda no muestra etiquetas sin regla o dato que las respalde
# Criterio de aceptación (matriz)
Then valido la obligación "Etiqueta de patrón, urgencia o recurrencia de deuda específica."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</si>
  <si>
    <t>Obligación: Etiqueta de patrón, urgencia o recurrencia de deuda específica. La etiqueta no reemplaza severidad, validación ni CTA dominante.
Resultado: Misma superficie
Negativo/borde: No mostrar etiqueta sin regla/dato; no sobreetiquetar.</t>
  </si>
  <si>
    <t>TR-M04-135 · FLOW-M04-017 · Detalle deuda · Figma: Figma cerrado · taxonomía functional_tag no observada inequívocamente</t>
  </si>
  <si>
    <t>M4-V93</t>
  </si>
  <si>
    <t>Etiquetas funcionales MVP - Existe dato/regla fuente que respalda una etiqueta MVP (Perfil/Home)</t>
  </si>
  <si>
    <t># Precondiciones
Given inicio sesion en la App
And se cumple la variante de la matriz "Existe dato/regla fuente que respalda una etiqueta MVP"
And el estado inicial / origen es "Perfil/Home"
And tengo una deuda con "&lt;soporte&gt;" para la etiqueta "Requiere revisión"
# Pasos y validaciones
When ingreso a la vista de Perfil Financiero
Then valido que la etiqueta "Requiere revisión" se muestra "&lt;visible&gt;" en la vista Perfil Financiero
And valido que la etiqueta no reemplaza la Presión, la validación ni el CTA principal de la vista
And valido que la deuda no muestra etiquetas sin regla o dato que las respalde
# Criterio de aceptación (matriz)
Then valido la obligación "Etiqueta resumida solo cuando exista regla/dato y sea pertinente en superficie consumidora."
And valido la obligación "La etiqueta no reemplaza severidad, validación ni CTA dominante."
And valido el resultado "Misma superficie"
And valido el negativo/borde "No mostrar etiqueta sin regla/dato; no sobreetiquetar."
And valido el dato/estado "functional_tag / functional_tag_assignment · tag_code / source_entity_type / source_rule_id / confidence_level / display_surface / tag_status"
And valido la decisión/guardrail "Ajustar materialización/copy sin reabrir regla. | familia única de Etiquetas funcionales MVP; no crear RGL por superficie. anterior TR-M04-039 se conserva solo como anchor histórico. ID: GAP-MAT-M04-TAGS"
Examples:
  | soporte                              | visible |
  | dato y regla fuente que la respaldan | visible |
  | sin dato ni regla fuente             | oculta  |</t>
  </si>
  <si>
    <t>Obligación: Etiqueta resumida solo cuando exista regla/dato y sea pertinente en superficie consumidora. La etiqueta no reemplaza severidad, validación ni CTA dominante.
Resultado: Misma superficie
Negativo/borde: No mostrar etiqueta sin regla/dato; no sobreetiquetar.</t>
  </si>
  <si>
    <t>TR-M04-136 · FLOW-M04-001 · Entrada contextual · Figma: Figma cerrado · taxonomía functional_tag no observada inequívocamente · Validación: TC-M04-057</t>
  </si>
  <si>
    <t>Total</t>
  </si>
  <si>
    <t>Nota: Plataforma Android. Todos los indicadores de este resumen son fórmulas sobre las hojas «Casos de Prueba» (columnas Sección, Tipo de Prueba y Estado de Ejecución) y «Registro de Defectos»; se actualizan automáticamente al cambiar el Estado de Ejecución desde su menú desplegable (Pendiente, Aprobado, Fallido, Bloqueado, No Aplica). Casos generados desde walvy_m4_casos_funcionales_kabeli.feature: M4-V01…M4-V93 = TR-M04-044…TR-M04-136 de la Matriz de Trazabilidad Cliente v1.0.</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</si>
</sst>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theme="1"/>
      <name val="Calibri"/>
    </font>
    <font>
      <b/>
      <sz val="16.0"/>
      <color rgb="FF1F4E78"/>
      <name val="Calibri"/>
    </font>
    <font>
      <b/>
      <sz val="11.0"/>
      <color theme="1"/>
      <name val="Calibri"/>
    </font>
    <font>
      <color theme="1"/>
      <name val="Calibri"/>
      <scheme val="minor"/>
    </font>
    <font>
      <b/>
      <sz val="11.0"/>
      <color rgb="FFFFFFFF"/>
      <name val="Calibri"/>
    </font>
    <font>
      <i/>
      <sz val="10.0"/>
      <color theme="1"/>
      <name val="Calibri"/>
    </font>
    <font>
      <sz val="11.0"/>
      <color theme="1"/>
      <name val="Calibri"/>
    </font>
    <font>
      <b/>
      <sz val="12.0"/>
      <color theme="1"/>
      <name val="Calibri"/>
    </font>
    <font>
      <i/>
      <sz val="9.0"/>
      <color rgb="FF808080"/>
      <name val="Calibri"/>
    </font>
  </fonts>
  <fills count="3">
    <fill>
      <patternFill patternType="none"/>
    </fill>
    <fill>
      <patternFill patternType="lightGray"/>
    </fill>
    <fill>
      <patternFill patternType="solid">
        <fgColor rgb="FF1F4E78"/>
        <bgColor rgb="FF1F4E78"/>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shrinkToFit="0" vertical="center" wrapText="1"/>
    </xf>
    <xf borderId="0" fillId="0" fontId="6" numFmtId="0" xfId="0" applyFont="1"/>
    <xf borderId="1" fillId="0" fontId="7" numFmtId="0" xfId="0" applyAlignment="1" applyBorder="1" applyFont="1">
      <alignment shrinkToFit="0" vertical="top" wrapText="1"/>
    </xf>
    <xf borderId="0" fillId="0" fontId="8" numFmtId="0" xfId="0" applyFont="1"/>
    <xf borderId="0" fillId="0" fontId="8" numFmtId="0" xfId="0" applyAlignment="1" applyFont="1">
      <alignment horizontal="center" shrinkToFit="0" vertical="center" wrapText="1"/>
    </xf>
    <xf borderId="0" fillId="0" fontId="8" numFmtId="9" xfId="0" applyAlignment="1" applyFont="1" applyNumberFormat="1">
      <alignment horizontal="center" shrinkToFit="0" vertical="center" wrapText="1"/>
    </xf>
    <xf borderId="0" fillId="0" fontId="7" numFmtId="0" xfId="0" applyAlignment="1" applyFont="1">
      <alignment horizontal="center" shrinkToFit="0" vertical="center" wrapText="1"/>
    </xf>
    <xf borderId="2" fillId="2" fontId="5" numFmtId="0" xfId="0" applyAlignment="1" applyBorder="1" applyFill="1" applyFont="1">
      <alignment horizontal="center" shrinkToFit="0" vertical="center" wrapText="1"/>
    </xf>
    <xf borderId="0" fillId="0" fontId="9" numFmtId="0" xfId="0" applyAlignment="1" applyFont="1">
      <alignment shrinkToFit="0" vertical="top" wrapText="1"/>
    </xf>
  </cellXfs>
  <cellStyles count="1">
    <cellStyle xfId="0" name="Normal" builtinId="0"/>
  </cellStyles>
  <dxfs count="4">
    <dxf>
      <font>
        <b/>
        <color rgb="FF006100"/>
      </font>
      <fill>
        <patternFill patternType="solid">
          <fgColor rgb="FFC6EFCE"/>
          <bgColor rgb="FFC6EFCE"/>
        </patternFill>
      </fill>
      <border/>
    </dxf>
    <dxf>
      <font>
        <b/>
        <color rgb="FF9C0006"/>
      </font>
      <fill>
        <patternFill patternType="solid">
          <fgColor rgb="FFFFC7CE"/>
          <bgColor rgb="FFFFC7CE"/>
        </patternFill>
      </fill>
      <border/>
    </dxf>
    <dxf>
      <font>
        <b/>
        <color rgb="FF9C5700"/>
      </font>
      <fill>
        <patternFill patternType="solid">
          <fgColor rgb="FFFFEB9C"/>
          <bgColor rgb="FFFFEB9C"/>
        </patternFill>
      </fill>
      <border/>
    </dxf>
    <dxf>
      <font>
        <b/>
        <color rgb="FF404040"/>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2.0"/>
    <col customWidth="1" min="3" max="8" width="14.0"/>
    <col customWidth="1" min="9" max="9" width="16.0"/>
    <col customWidth="1" min="10" max="13" width="14.0"/>
    <col customWidth="1" min="14" max="26" width="9.14"/>
  </cols>
  <sheetData>
    <row r="2">
      <c r="B2" s="2" t="s">
        <v>3</v>
      </c>
    </row>
    <row r="3">
      <c r="B3" s="6" t="s">
        <v>13</v>
      </c>
    </row>
    <row r="6">
      <c r="B6" s="3" t="s">
        <v>31</v>
      </c>
      <c r="C6" s="4" t="s">
        <v>35</v>
      </c>
    </row>
    <row r="7">
      <c r="B7" s="3" t="s">
        <v>39</v>
      </c>
      <c r="C7" s="4" t="s">
        <v>41</v>
      </c>
    </row>
    <row r="8">
      <c r="B8" s="3" t="s">
        <v>46</v>
      </c>
      <c r="C8" s="4" t="s">
        <v>50</v>
      </c>
    </row>
    <row r="9">
      <c r="B9" s="3" t="s">
        <v>52</v>
      </c>
      <c r="C9" s="4" t="s">
        <v>50</v>
      </c>
    </row>
    <row r="10">
      <c r="B10" s="3" t="s">
        <v>56</v>
      </c>
      <c r="C10" s="4" t="s">
        <v>58</v>
      </c>
    </row>
    <row r="11">
      <c r="B11" s="3" t="s">
        <v>62</v>
      </c>
      <c r="C11" s="4" t="s">
        <v>50</v>
      </c>
    </row>
    <row r="14">
      <c r="B14" s="8" t="s">
        <v>66</v>
      </c>
    </row>
    <row r="16">
      <c r="B16" s="9">
        <f>COUNTA('Casos de Prueba'!$A$2:$A$1000)</f>
        <v>93</v>
      </c>
      <c r="C16" s="9">
        <f>SUMPRODUCT(('Casos de Prueba'!$B$2:$B$1000&lt;&gt;"")/COUNTIF('Casos de Prueba'!$B$2:$B$1000,'Casos de Prueba'!$B$2:$B$1000&amp;""))</f>
        <v>20</v>
      </c>
      <c r="D16" s="9">
        <f>COUNTIF('Casos de Prueba'!$H$2:$H$1000,"Automatizable")</f>
        <v>90</v>
      </c>
      <c r="E16" s="9">
        <f>COUNTIF('Casos de Prueba'!$H$2:$H$1000,"Manual")</f>
        <v>3</v>
      </c>
      <c r="F16" s="9">
        <f>COUNTIF('Casos de Prueba'!$I$2:$I$1000,"Aprobado")</f>
        <v>0</v>
      </c>
      <c r="G16" s="9">
        <f>COUNTIF('Casos de Prueba'!$I$2:$I$1000,"Pendiente")</f>
        <v>93</v>
      </c>
      <c r="H16" s="9">
        <f>COUNTIF('Casos de Prueba'!$I$2:$I$1000,"No Aplica")</f>
        <v>0</v>
      </c>
      <c r="I16" s="9">
        <f>COUNTIF('Casos de Prueba'!$I$2:$I$1000,"Fallido")</f>
        <v>0</v>
      </c>
      <c r="J16" s="9">
        <f>COUNTA('Registro de Defectos'!$A$2:$A$1000)</f>
        <v>0</v>
      </c>
      <c r="K16" s="9">
        <f>COUNTIF('Casos de Prueba'!$I$2:$I$1000,"Bloqueado")</f>
        <v>0</v>
      </c>
      <c r="L16" s="10">
        <f>IF(B16=0,0,(B16-G16)/B16)</f>
        <v>0</v>
      </c>
      <c r="M16" s="10">
        <f>IF(B16=0,0,F16/B16)</f>
        <v>0</v>
      </c>
    </row>
    <row r="17">
      <c r="B17" s="11" t="s">
        <v>126</v>
      </c>
      <c r="C17" s="11" t="s">
        <v>130</v>
      </c>
      <c r="D17" s="11" t="s">
        <v>131</v>
      </c>
      <c r="E17" s="11" t="s">
        <v>132</v>
      </c>
      <c r="F17" s="11" t="s">
        <v>134</v>
      </c>
      <c r="G17" s="11" t="s">
        <v>5</v>
      </c>
      <c r="H17" s="11" t="s">
        <v>14</v>
      </c>
      <c r="I17" s="11" t="s">
        <v>136</v>
      </c>
      <c r="J17" s="11" t="s">
        <v>42</v>
      </c>
      <c r="K17" s="11" t="s">
        <v>137</v>
      </c>
      <c r="L17" s="11" t="s">
        <v>138</v>
      </c>
      <c r="M17" s="11" t="s">
        <v>139</v>
      </c>
    </row>
    <row r="20">
      <c r="B20" s="8" t="s">
        <v>141</v>
      </c>
    </row>
    <row r="21" ht="15.75" customHeight="1"/>
    <row r="22" ht="15.75" customHeight="1">
      <c r="B22" s="12" t="s">
        <v>61</v>
      </c>
      <c r="C22" s="12" t="s">
        <v>148</v>
      </c>
      <c r="D22" s="12" t="s">
        <v>134</v>
      </c>
      <c r="E22" s="12" t="s">
        <v>5</v>
      </c>
      <c r="F22" s="12" t="s">
        <v>14</v>
      </c>
      <c r="G22" s="12" t="s">
        <v>9</v>
      </c>
      <c r="H22" s="12" t="s">
        <v>11</v>
      </c>
      <c r="I22" s="12" t="s">
        <v>150</v>
      </c>
    </row>
    <row r="23" ht="15.75" customHeight="1">
      <c r="B23" s="4" t="s">
        <v>67</v>
      </c>
      <c r="C23" s="4">
        <f>COUNTIF('Casos de Prueba'!$B$2:$B$1000,$B23)</f>
        <v>4</v>
      </c>
      <c r="D23" s="4">
        <f>COUNTIFS('Casos de Prueba'!$B$2:$B$1000,$B23,'Casos de Prueba'!$I$2:$I$1000,"Aprobado")</f>
        <v>0</v>
      </c>
      <c r="E23" s="4">
        <f>COUNTIFS('Casos de Prueba'!$B$2:$B$1000,$B23,'Casos de Prueba'!$I$2:$I$1000,"Pendiente")</f>
        <v>4</v>
      </c>
      <c r="F23" s="4">
        <f>COUNTIFS('Casos de Prueba'!$B$2:$B$1000,$B23,'Casos de Prueba'!$I$2:$I$1000,"No Aplica")</f>
        <v>0</v>
      </c>
      <c r="G23" s="4">
        <f>COUNTIFS('Casos de Prueba'!$B$2:$B$1000,$B23,'Casos de Prueba'!$I$2:$I$1000,"Fallido")</f>
        <v>0</v>
      </c>
      <c r="H23" s="4">
        <f>COUNTIFS('Casos de Prueba'!$B$2:$B$1000,$B23,'Casos de Prueba'!$I$2:$I$1000,"Bloqueado")</f>
        <v>0</v>
      </c>
      <c r="I23" s="4" t="str">
        <f t="shared" ref="I23:I42" si="1">IF(C23=0,"—",IF(G23&gt;0,"Con fallos",IF(H23&gt;0,"Bloqueada",IF(E23=C23,"Pendiente",IF(D23+F23=C23,"Certificada","En ejecución")))))</f>
        <v>Pendiente</v>
      </c>
    </row>
    <row r="24" ht="15.75" customHeight="1">
      <c r="B24" s="4" t="s">
        <v>95</v>
      </c>
      <c r="C24" s="4">
        <f>COUNTIF('Casos de Prueba'!$B$2:$B$1000,$B24)</f>
        <v>3</v>
      </c>
      <c r="D24" s="4">
        <f>COUNTIFS('Casos de Prueba'!$B$2:$B$1000,$B24,'Casos de Prueba'!$I$2:$I$1000,"Aprobado")</f>
        <v>0</v>
      </c>
      <c r="E24" s="4">
        <f>COUNTIFS('Casos de Prueba'!$B$2:$B$1000,$B24,'Casos de Prueba'!$I$2:$I$1000,"Pendiente")</f>
        <v>3</v>
      </c>
      <c r="F24" s="4">
        <f>COUNTIFS('Casos de Prueba'!$B$2:$B$1000,$B24,'Casos de Prueba'!$I$2:$I$1000,"No Aplica")</f>
        <v>0</v>
      </c>
      <c r="G24" s="4">
        <f>COUNTIFS('Casos de Prueba'!$B$2:$B$1000,$B24,'Casos de Prueba'!$I$2:$I$1000,"Fallido")</f>
        <v>0</v>
      </c>
      <c r="H24" s="4">
        <f>COUNTIFS('Casos de Prueba'!$B$2:$B$1000,$B24,'Casos de Prueba'!$I$2:$I$1000,"Bloqueado")</f>
        <v>0</v>
      </c>
      <c r="I24" s="4" t="str">
        <f t="shared" si="1"/>
        <v>Pendiente</v>
      </c>
    </row>
    <row r="25" ht="15.75" customHeight="1">
      <c r="B25" s="4" t="s">
        <v>111</v>
      </c>
      <c r="C25" s="4">
        <f>COUNTIF('Casos de Prueba'!$B$2:$B$1000,$B25)</f>
        <v>3</v>
      </c>
      <c r="D25" s="4">
        <f>COUNTIFS('Casos de Prueba'!$B$2:$B$1000,$B25,'Casos de Prueba'!$I$2:$I$1000,"Aprobado")</f>
        <v>0</v>
      </c>
      <c r="E25" s="4">
        <f>COUNTIFS('Casos de Prueba'!$B$2:$B$1000,$B25,'Casos de Prueba'!$I$2:$I$1000,"Pendiente")</f>
        <v>3</v>
      </c>
      <c r="F25" s="4">
        <f>COUNTIFS('Casos de Prueba'!$B$2:$B$1000,$B25,'Casos de Prueba'!$I$2:$I$1000,"No Aplica")</f>
        <v>0</v>
      </c>
      <c r="G25" s="4">
        <f>COUNTIFS('Casos de Prueba'!$B$2:$B$1000,$B25,'Casos de Prueba'!$I$2:$I$1000,"Fallido")</f>
        <v>0</v>
      </c>
      <c r="H25" s="4">
        <f>COUNTIFS('Casos de Prueba'!$B$2:$B$1000,$B25,'Casos de Prueba'!$I$2:$I$1000,"Bloqueado")</f>
        <v>0</v>
      </c>
      <c r="I25" s="4" t="str">
        <f t="shared" si="1"/>
        <v>Pendiente</v>
      </c>
    </row>
    <row r="26" ht="15.75" customHeight="1">
      <c r="B26" s="4" t="s">
        <v>128</v>
      </c>
      <c r="C26" s="4">
        <f>COUNTIF('Casos de Prueba'!$B$2:$B$1000,$B26)</f>
        <v>4</v>
      </c>
      <c r="D26" s="4">
        <f>COUNTIFS('Casos de Prueba'!$B$2:$B$1000,$B26,'Casos de Prueba'!$I$2:$I$1000,"Aprobado")</f>
        <v>0</v>
      </c>
      <c r="E26" s="4">
        <f>COUNTIFS('Casos de Prueba'!$B$2:$B$1000,$B26,'Casos de Prueba'!$I$2:$I$1000,"Pendiente")</f>
        <v>4</v>
      </c>
      <c r="F26" s="4">
        <f>COUNTIFS('Casos de Prueba'!$B$2:$B$1000,$B26,'Casos de Prueba'!$I$2:$I$1000,"No Aplica")</f>
        <v>0</v>
      </c>
      <c r="G26" s="4">
        <f>COUNTIFS('Casos de Prueba'!$B$2:$B$1000,$B26,'Casos de Prueba'!$I$2:$I$1000,"Fallido")</f>
        <v>0</v>
      </c>
      <c r="H26" s="4">
        <f>COUNTIFS('Casos de Prueba'!$B$2:$B$1000,$B26,'Casos de Prueba'!$I$2:$I$1000,"Bloqueado")</f>
        <v>0</v>
      </c>
      <c r="I26" s="4" t="str">
        <f t="shared" si="1"/>
        <v>Pendiente</v>
      </c>
    </row>
    <row r="27" ht="15.75" customHeight="1">
      <c r="B27" s="4" t="s">
        <v>160</v>
      </c>
      <c r="C27" s="4">
        <f>COUNTIF('Casos de Prueba'!$B$2:$B$1000,$B27)</f>
        <v>1</v>
      </c>
      <c r="D27" s="4">
        <f>COUNTIFS('Casos de Prueba'!$B$2:$B$1000,$B27,'Casos de Prueba'!$I$2:$I$1000,"Aprobado")</f>
        <v>0</v>
      </c>
      <c r="E27" s="4">
        <f>COUNTIFS('Casos de Prueba'!$B$2:$B$1000,$B27,'Casos de Prueba'!$I$2:$I$1000,"Pendiente")</f>
        <v>1</v>
      </c>
      <c r="F27" s="4">
        <f>COUNTIFS('Casos de Prueba'!$B$2:$B$1000,$B27,'Casos de Prueba'!$I$2:$I$1000,"No Aplica")</f>
        <v>0</v>
      </c>
      <c r="G27" s="4">
        <f>COUNTIFS('Casos de Prueba'!$B$2:$B$1000,$B27,'Casos de Prueba'!$I$2:$I$1000,"Fallido")</f>
        <v>0</v>
      </c>
      <c r="H27" s="4">
        <f>COUNTIFS('Casos de Prueba'!$B$2:$B$1000,$B27,'Casos de Prueba'!$I$2:$I$1000,"Bloqueado")</f>
        <v>0</v>
      </c>
      <c r="I27" s="4" t="str">
        <f t="shared" si="1"/>
        <v>Pendiente</v>
      </c>
    </row>
    <row r="28" ht="15.75" customHeight="1">
      <c r="B28" s="4" t="s">
        <v>166</v>
      </c>
      <c r="C28" s="4">
        <f>COUNTIF('Casos de Prueba'!$B$2:$B$1000,$B28)</f>
        <v>11</v>
      </c>
      <c r="D28" s="4">
        <f>COUNTIFS('Casos de Prueba'!$B$2:$B$1000,$B28,'Casos de Prueba'!$I$2:$I$1000,"Aprobado")</f>
        <v>0</v>
      </c>
      <c r="E28" s="4">
        <f>COUNTIFS('Casos de Prueba'!$B$2:$B$1000,$B28,'Casos de Prueba'!$I$2:$I$1000,"Pendiente")</f>
        <v>11</v>
      </c>
      <c r="F28" s="4">
        <f>COUNTIFS('Casos de Prueba'!$B$2:$B$1000,$B28,'Casos de Prueba'!$I$2:$I$1000,"No Aplica")</f>
        <v>0</v>
      </c>
      <c r="G28" s="4">
        <f>COUNTIFS('Casos de Prueba'!$B$2:$B$1000,$B28,'Casos de Prueba'!$I$2:$I$1000,"Fallido")</f>
        <v>0</v>
      </c>
      <c r="H28" s="4">
        <f>COUNTIFS('Casos de Prueba'!$B$2:$B$1000,$B28,'Casos de Prueba'!$I$2:$I$1000,"Bloqueado")</f>
        <v>0</v>
      </c>
      <c r="I28" s="4" t="str">
        <f t="shared" si="1"/>
        <v>Pendiente</v>
      </c>
    </row>
    <row r="29" ht="15.75" customHeight="1">
      <c r="B29" s="4" t="s">
        <v>222</v>
      </c>
      <c r="C29" s="4">
        <f>COUNTIF('Casos de Prueba'!$B$2:$B$1000,$B29)</f>
        <v>3</v>
      </c>
      <c r="D29" s="4">
        <f>COUNTIFS('Casos de Prueba'!$B$2:$B$1000,$B29,'Casos de Prueba'!$I$2:$I$1000,"Aprobado")</f>
        <v>0</v>
      </c>
      <c r="E29" s="4">
        <f>COUNTIFS('Casos de Prueba'!$B$2:$B$1000,$B29,'Casos de Prueba'!$I$2:$I$1000,"Pendiente")</f>
        <v>3</v>
      </c>
      <c r="F29" s="4">
        <f>COUNTIFS('Casos de Prueba'!$B$2:$B$1000,$B29,'Casos de Prueba'!$I$2:$I$1000,"No Aplica")</f>
        <v>0</v>
      </c>
      <c r="G29" s="4">
        <f>COUNTIFS('Casos de Prueba'!$B$2:$B$1000,$B29,'Casos de Prueba'!$I$2:$I$1000,"Fallido")</f>
        <v>0</v>
      </c>
      <c r="H29" s="4">
        <f>COUNTIFS('Casos de Prueba'!$B$2:$B$1000,$B29,'Casos de Prueba'!$I$2:$I$1000,"Bloqueado")</f>
        <v>0</v>
      </c>
      <c r="I29" s="4" t="str">
        <f t="shared" si="1"/>
        <v>Pendiente</v>
      </c>
    </row>
    <row r="30" ht="15.75" customHeight="1">
      <c r="B30" s="4" t="s">
        <v>238</v>
      </c>
      <c r="C30" s="4">
        <f>COUNTIF('Casos de Prueba'!$B$2:$B$1000,$B30)</f>
        <v>4</v>
      </c>
      <c r="D30" s="4">
        <f>COUNTIFS('Casos de Prueba'!$B$2:$B$1000,$B30,'Casos de Prueba'!$I$2:$I$1000,"Aprobado")</f>
        <v>0</v>
      </c>
      <c r="E30" s="4">
        <f>COUNTIFS('Casos de Prueba'!$B$2:$B$1000,$B30,'Casos de Prueba'!$I$2:$I$1000,"Pendiente")</f>
        <v>4</v>
      </c>
      <c r="F30" s="4">
        <f>COUNTIFS('Casos de Prueba'!$B$2:$B$1000,$B30,'Casos de Prueba'!$I$2:$I$1000,"No Aplica")</f>
        <v>0</v>
      </c>
      <c r="G30" s="4">
        <f>COUNTIFS('Casos de Prueba'!$B$2:$B$1000,$B30,'Casos de Prueba'!$I$2:$I$1000,"Fallido")</f>
        <v>0</v>
      </c>
      <c r="H30" s="4">
        <f>COUNTIFS('Casos de Prueba'!$B$2:$B$1000,$B30,'Casos de Prueba'!$I$2:$I$1000,"Bloqueado")</f>
        <v>0</v>
      </c>
      <c r="I30" s="4" t="str">
        <f t="shared" si="1"/>
        <v>Pendiente</v>
      </c>
    </row>
    <row r="31" ht="15.75" customHeight="1">
      <c r="B31" s="4" t="s">
        <v>259</v>
      </c>
      <c r="C31" s="4">
        <f>COUNTIF('Casos de Prueba'!$B$2:$B$1000,$B31)</f>
        <v>7</v>
      </c>
      <c r="D31" s="4">
        <f>COUNTIFS('Casos de Prueba'!$B$2:$B$1000,$B31,'Casos de Prueba'!$I$2:$I$1000,"Aprobado")</f>
        <v>0</v>
      </c>
      <c r="E31" s="4">
        <f>COUNTIFS('Casos de Prueba'!$B$2:$B$1000,$B31,'Casos de Prueba'!$I$2:$I$1000,"Pendiente")</f>
        <v>7</v>
      </c>
      <c r="F31" s="4">
        <f>COUNTIFS('Casos de Prueba'!$B$2:$B$1000,$B31,'Casos de Prueba'!$I$2:$I$1000,"No Aplica")</f>
        <v>0</v>
      </c>
      <c r="G31" s="4">
        <f>COUNTIFS('Casos de Prueba'!$B$2:$B$1000,$B31,'Casos de Prueba'!$I$2:$I$1000,"Fallido")</f>
        <v>0</v>
      </c>
      <c r="H31" s="4">
        <f>COUNTIFS('Casos de Prueba'!$B$2:$B$1000,$B31,'Casos de Prueba'!$I$2:$I$1000,"Bloqueado")</f>
        <v>0</v>
      </c>
      <c r="I31" s="4" t="str">
        <f t="shared" si="1"/>
        <v>Pendiente</v>
      </c>
    </row>
    <row r="32" ht="15.75" customHeight="1">
      <c r="B32" s="4" t="s">
        <v>295</v>
      </c>
      <c r="C32" s="4">
        <f>COUNTIF('Casos de Prueba'!$B$2:$B$1000,$B32)</f>
        <v>9</v>
      </c>
      <c r="D32" s="4">
        <f>COUNTIFS('Casos de Prueba'!$B$2:$B$1000,$B32,'Casos de Prueba'!$I$2:$I$1000,"Aprobado")</f>
        <v>0</v>
      </c>
      <c r="E32" s="4">
        <f>COUNTIFS('Casos de Prueba'!$B$2:$B$1000,$B32,'Casos de Prueba'!$I$2:$I$1000,"Pendiente")</f>
        <v>9</v>
      </c>
      <c r="F32" s="4">
        <f>COUNTIFS('Casos de Prueba'!$B$2:$B$1000,$B32,'Casos de Prueba'!$I$2:$I$1000,"No Aplica")</f>
        <v>0</v>
      </c>
      <c r="G32" s="4">
        <f>COUNTIFS('Casos de Prueba'!$B$2:$B$1000,$B32,'Casos de Prueba'!$I$2:$I$1000,"Fallido")</f>
        <v>0</v>
      </c>
      <c r="H32" s="4">
        <f>COUNTIFS('Casos de Prueba'!$B$2:$B$1000,$B32,'Casos de Prueba'!$I$2:$I$1000,"Bloqueado")</f>
        <v>0</v>
      </c>
      <c r="I32" s="4" t="str">
        <f t="shared" si="1"/>
        <v>Pendiente</v>
      </c>
    </row>
    <row r="33" ht="15.75" customHeight="1">
      <c r="B33" s="4" t="s">
        <v>341</v>
      </c>
      <c r="C33" s="4">
        <f>COUNTIF('Casos de Prueba'!$B$2:$B$1000,$B33)</f>
        <v>3</v>
      </c>
      <c r="D33" s="4">
        <f>COUNTIFS('Casos de Prueba'!$B$2:$B$1000,$B33,'Casos de Prueba'!$I$2:$I$1000,"Aprobado")</f>
        <v>0</v>
      </c>
      <c r="E33" s="4">
        <f>COUNTIFS('Casos de Prueba'!$B$2:$B$1000,$B33,'Casos de Prueba'!$I$2:$I$1000,"Pendiente")</f>
        <v>3</v>
      </c>
      <c r="F33" s="4">
        <f>COUNTIFS('Casos de Prueba'!$B$2:$B$1000,$B33,'Casos de Prueba'!$I$2:$I$1000,"No Aplica")</f>
        <v>0</v>
      </c>
      <c r="G33" s="4">
        <f>COUNTIFS('Casos de Prueba'!$B$2:$B$1000,$B33,'Casos de Prueba'!$I$2:$I$1000,"Fallido")</f>
        <v>0</v>
      </c>
      <c r="H33" s="4">
        <f>COUNTIFS('Casos de Prueba'!$B$2:$B$1000,$B33,'Casos de Prueba'!$I$2:$I$1000,"Bloqueado")</f>
        <v>0</v>
      </c>
      <c r="I33" s="4" t="str">
        <f t="shared" si="1"/>
        <v>Pendiente</v>
      </c>
    </row>
    <row r="34" ht="15.75" customHeight="1">
      <c r="B34" s="4" t="s">
        <v>357</v>
      </c>
      <c r="C34" s="4">
        <f>COUNTIF('Casos de Prueba'!$B$2:$B$1000,$B34)</f>
        <v>4</v>
      </c>
      <c r="D34" s="4">
        <f>COUNTIFS('Casos de Prueba'!$B$2:$B$1000,$B34,'Casos de Prueba'!$I$2:$I$1000,"Aprobado")</f>
        <v>0</v>
      </c>
      <c r="E34" s="4">
        <f>COUNTIFS('Casos de Prueba'!$B$2:$B$1000,$B34,'Casos de Prueba'!$I$2:$I$1000,"Pendiente")</f>
        <v>4</v>
      </c>
      <c r="F34" s="4">
        <f>COUNTIFS('Casos de Prueba'!$B$2:$B$1000,$B34,'Casos de Prueba'!$I$2:$I$1000,"No Aplica")</f>
        <v>0</v>
      </c>
      <c r="G34" s="4">
        <f>COUNTIFS('Casos de Prueba'!$B$2:$B$1000,$B34,'Casos de Prueba'!$I$2:$I$1000,"Fallido")</f>
        <v>0</v>
      </c>
      <c r="H34" s="4">
        <f>COUNTIFS('Casos de Prueba'!$B$2:$B$1000,$B34,'Casos de Prueba'!$I$2:$I$1000,"Bloqueado")</f>
        <v>0</v>
      </c>
      <c r="I34" s="4" t="str">
        <f t="shared" si="1"/>
        <v>Pendiente</v>
      </c>
    </row>
    <row r="35" ht="15.75" customHeight="1">
      <c r="B35" s="4" t="s">
        <v>378</v>
      </c>
      <c r="C35" s="4">
        <f>COUNTIF('Casos de Prueba'!$B$2:$B$1000,$B35)</f>
        <v>4</v>
      </c>
      <c r="D35" s="4">
        <f>COUNTIFS('Casos de Prueba'!$B$2:$B$1000,$B35,'Casos de Prueba'!$I$2:$I$1000,"Aprobado")</f>
        <v>0</v>
      </c>
      <c r="E35" s="4">
        <f>COUNTIFS('Casos de Prueba'!$B$2:$B$1000,$B35,'Casos de Prueba'!$I$2:$I$1000,"Pendiente")</f>
        <v>4</v>
      </c>
      <c r="F35" s="4">
        <f>COUNTIFS('Casos de Prueba'!$B$2:$B$1000,$B35,'Casos de Prueba'!$I$2:$I$1000,"No Aplica")</f>
        <v>0</v>
      </c>
      <c r="G35" s="4">
        <f>COUNTIFS('Casos de Prueba'!$B$2:$B$1000,$B35,'Casos de Prueba'!$I$2:$I$1000,"Fallido")</f>
        <v>0</v>
      </c>
      <c r="H35" s="4">
        <f>COUNTIFS('Casos de Prueba'!$B$2:$B$1000,$B35,'Casos de Prueba'!$I$2:$I$1000,"Bloqueado")</f>
        <v>0</v>
      </c>
      <c r="I35" s="4" t="str">
        <f t="shared" si="1"/>
        <v>Pendiente</v>
      </c>
    </row>
    <row r="36" ht="15.75" customHeight="1">
      <c r="B36" s="4" t="s">
        <v>399</v>
      </c>
      <c r="C36" s="4">
        <f>COUNTIF('Casos de Prueba'!$B$2:$B$1000,$B36)</f>
        <v>6</v>
      </c>
      <c r="D36" s="4">
        <f>COUNTIFS('Casos de Prueba'!$B$2:$B$1000,$B36,'Casos de Prueba'!$I$2:$I$1000,"Aprobado")</f>
        <v>0</v>
      </c>
      <c r="E36" s="4">
        <f>COUNTIFS('Casos de Prueba'!$B$2:$B$1000,$B36,'Casos de Prueba'!$I$2:$I$1000,"Pendiente")</f>
        <v>6</v>
      </c>
      <c r="F36" s="4">
        <f>COUNTIFS('Casos de Prueba'!$B$2:$B$1000,$B36,'Casos de Prueba'!$I$2:$I$1000,"No Aplica")</f>
        <v>0</v>
      </c>
      <c r="G36" s="4">
        <f>COUNTIFS('Casos de Prueba'!$B$2:$B$1000,$B36,'Casos de Prueba'!$I$2:$I$1000,"Fallido")</f>
        <v>0</v>
      </c>
      <c r="H36" s="4">
        <f>COUNTIFS('Casos de Prueba'!$B$2:$B$1000,$B36,'Casos de Prueba'!$I$2:$I$1000,"Bloqueado")</f>
        <v>0</v>
      </c>
      <c r="I36" s="4" t="str">
        <f t="shared" si="1"/>
        <v>Pendiente</v>
      </c>
    </row>
    <row r="37" ht="15.75" customHeight="1">
      <c r="B37" s="4" t="s">
        <v>430</v>
      </c>
      <c r="C37" s="4">
        <f>COUNTIF('Casos de Prueba'!$B$2:$B$1000,$B37)</f>
        <v>6</v>
      </c>
      <c r="D37" s="4">
        <f>COUNTIFS('Casos de Prueba'!$B$2:$B$1000,$B37,'Casos de Prueba'!$I$2:$I$1000,"Aprobado")</f>
        <v>0</v>
      </c>
      <c r="E37" s="4">
        <f>COUNTIFS('Casos de Prueba'!$B$2:$B$1000,$B37,'Casos de Prueba'!$I$2:$I$1000,"Pendiente")</f>
        <v>6</v>
      </c>
      <c r="F37" s="4">
        <f>COUNTIFS('Casos de Prueba'!$B$2:$B$1000,$B37,'Casos de Prueba'!$I$2:$I$1000,"No Aplica")</f>
        <v>0</v>
      </c>
      <c r="G37" s="4">
        <f>COUNTIFS('Casos de Prueba'!$B$2:$B$1000,$B37,'Casos de Prueba'!$I$2:$I$1000,"Fallido")</f>
        <v>0</v>
      </c>
      <c r="H37" s="4">
        <f>COUNTIFS('Casos de Prueba'!$B$2:$B$1000,$B37,'Casos de Prueba'!$I$2:$I$1000,"Bloqueado")</f>
        <v>0</v>
      </c>
      <c r="I37" s="4" t="str">
        <f t="shared" si="1"/>
        <v>Pendiente</v>
      </c>
    </row>
    <row r="38" ht="15.75" customHeight="1">
      <c r="B38" s="4" t="s">
        <v>461</v>
      </c>
      <c r="C38" s="4">
        <f>COUNTIF('Casos de Prueba'!$B$2:$B$1000,$B38)</f>
        <v>2</v>
      </c>
      <c r="D38" s="4">
        <f>COUNTIFS('Casos de Prueba'!$B$2:$B$1000,$B38,'Casos de Prueba'!$I$2:$I$1000,"Aprobado")</f>
        <v>0</v>
      </c>
      <c r="E38" s="4">
        <f>COUNTIFS('Casos de Prueba'!$B$2:$B$1000,$B38,'Casos de Prueba'!$I$2:$I$1000,"Pendiente")</f>
        <v>2</v>
      </c>
      <c r="F38" s="4">
        <f>COUNTIFS('Casos de Prueba'!$B$2:$B$1000,$B38,'Casos de Prueba'!$I$2:$I$1000,"No Aplica")</f>
        <v>0</v>
      </c>
      <c r="G38" s="4">
        <f>COUNTIFS('Casos de Prueba'!$B$2:$B$1000,$B38,'Casos de Prueba'!$I$2:$I$1000,"Fallido")</f>
        <v>0</v>
      </c>
      <c r="H38" s="4">
        <f>COUNTIFS('Casos de Prueba'!$B$2:$B$1000,$B38,'Casos de Prueba'!$I$2:$I$1000,"Bloqueado")</f>
        <v>0</v>
      </c>
      <c r="I38" s="4" t="str">
        <f t="shared" si="1"/>
        <v>Pendiente</v>
      </c>
    </row>
    <row r="39" ht="15.75" customHeight="1">
      <c r="B39" s="4" t="s">
        <v>472</v>
      </c>
      <c r="C39" s="4">
        <f>COUNTIF('Casos de Prueba'!$B$2:$B$1000,$B39)</f>
        <v>7</v>
      </c>
      <c r="D39" s="4">
        <f>COUNTIFS('Casos de Prueba'!$B$2:$B$1000,$B39,'Casos de Prueba'!$I$2:$I$1000,"Aprobado")</f>
        <v>0</v>
      </c>
      <c r="E39" s="4">
        <f>COUNTIFS('Casos de Prueba'!$B$2:$B$1000,$B39,'Casos de Prueba'!$I$2:$I$1000,"Pendiente")</f>
        <v>7</v>
      </c>
      <c r="F39" s="4">
        <f>COUNTIFS('Casos de Prueba'!$B$2:$B$1000,$B39,'Casos de Prueba'!$I$2:$I$1000,"No Aplica")</f>
        <v>0</v>
      </c>
      <c r="G39" s="4">
        <f>COUNTIFS('Casos de Prueba'!$B$2:$B$1000,$B39,'Casos de Prueba'!$I$2:$I$1000,"Fallido")</f>
        <v>0</v>
      </c>
      <c r="H39" s="4">
        <f>COUNTIFS('Casos de Prueba'!$B$2:$B$1000,$B39,'Casos de Prueba'!$I$2:$I$1000,"Bloqueado")</f>
        <v>0</v>
      </c>
      <c r="I39" s="4" t="str">
        <f t="shared" si="1"/>
        <v>Pendiente</v>
      </c>
    </row>
    <row r="40" ht="15.75" customHeight="1">
      <c r="B40" s="4" t="s">
        <v>508</v>
      </c>
      <c r="C40" s="4">
        <f>COUNTIF('Casos de Prueba'!$B$2:$B$1000,$B40)</f>
        <v>5</v>
      </c>
      <c r="D40" s="4">
        <f>COUNTIFS('Casos de Prueba'!$B$2:$B$1000,$B40,'Casos de Prueba'!$I$2:$I$1000,"Aprobado")</f>
        <v>0</v>
      </c>
      <c r="E40" s="4">
        <f>COUNTIFS('Casos de Prueba'!$B$2:$B$1000,$B40,'Casos de Prueba'!$I$2:$I$1000,"Pendiente")</f>
        <v>5</v>
      </c>
      <c r="F40" s="4">
        <f>COUNTIFS('Casos de Prueba'!$B$2:$B$1000,$B40,'Casos de Prueba'!$I$2:$I$1000,"No Aplica")</f>
        <v>0</v>
      </c>
      <c r="G40" s="4">
        <f>COUNTIFS('Casos de Prueba'!$B$2:$B$1000,$B40,'Casos de Prueba'!$I$2:$I$1000,"Fallido")</f>
        <v>0</v>
      </c>
      <c r="H40" s="4">
        <f>COUNTIFS('Casos de Prueba'!$B$2:$B$1000,$B40,'Casos de Prueba'!$I$2:$I$1000,"Bloqueado")</f>
        <v>0</v>
      </c>
      <c r="I40" s="4" t="str">
        <f t="shared" si="1"/>
        <v>Pendiente</v>
      </c>
    </row>
    <row r="41" ht="15.75" customHeight="1">
      <c r="B41" s="4" t="s">
        <v>534</v>
      </c>
      <c r="C41" s="4">
        <f>COUNTIF('Casos de Prueba'!$B$2:$B$1000,$B41)</f>
        <v>2</v>
      </c>
      <c r="D41" s="4">
        <f>COUNTIFS('Casos de Prueba'!$B$2:$B$1000,$B41,'Casos de Prueba'!$I$2:$I$1000,"Aprobado")</f>
        <v>0</v>
      </c>
      <c r="E41" s="4">
        <f>COUNTIFS('Casos de Prueba'!$B$2:$B$1000,$B41,'Casos de Prueba'!$I$2:$I$1000,"Pendiente")</f>
        <v>2</v>
      </c>
      <c r="F41" s="4">
        <f>COUNTIFS('Casos de Prueba'!$B$2:$B$1000,$B41,'Casos de Prueba'!$I$2:$I$1000,"No Aplica")</f>
        <v>0</v>
      </c>
      <c r="G41" s="4">
        <f>COUNTIFS('Casos de Prueba'!$B$2:$B$1000,$B41,'Casos de Prueba'!$I$2:$I$1000,"Fallido")</f>
        <v>0</v>
      </c>
      <c r="H41" s="4">
        <f>COUNTIFS('Casos de Prueba'!$B$2:$B$1000,$B41,'Casos de Prueba'!$I$2:$I$1000,"Bloqueado")</f>
        <v>0</v>
      </c>
      <c r="I41" s="4" t="str">
        <f t="shared" si="1"/>
        <v>Pendiente</v>
      </c>
    </row>
    <row r="42" ht="15.75" customHeight="1">
      <c r="B42" s="4" t="s">
        <v>545</v>
      </c>
      <c r="C42" s="4">
        <f>COUNTIF('Casos de Prueba'!$B$2:$B$1000,$B42)</f>
        <v>5</v>
      </c>
      <c r="D42" s="4">
        <f>COUNTIFS('Casos de Prueba'!$B$2:$B$1000,$B42,'Casos de Prueba'!$I$2:$I$1000,"Aprobado")</f>
        <v>0</v>
      </c>
      <c r="E42" s="4">
        <f>COUNTIFS('Casos de Prueba'!$B$2:$B$1000,$B42,'Casos de Prueba'!$I$2:$I$1000,"Pendiente")</f>
        <v>5</v>
      </c>
      <c r="F42" s="4">
        <f>COUNTIFS('Casos de Prueba'!$B$2:$B$1000,$B42,'Casos de Prueba'!$I$2:$I$1000,"No Aplica")</f>
        <v>0</v>
      </c>
      <c r="G42" s="4">
        <f>COUNTIFS('Casos de Prueba'!$B$2:$B$1000,$B42,'Casos de Prueba'!$I$2:$I$1000,"Fallido")</f>
        <v>0</v>
      </c>
      <c r="H42" s="4">
        <f>COUNTIFS('Casos de Prueba'!$B$2:$B$1000,$B42,'Casos de Prueba'!$I$2:$I$1000,"Bloqueado")</f>
        <v>0</v>
      </c>
      <c r="I42" s="4" t="str">
        <f t="shared" si="1"/>
        <v>Pendiente</v>
      </c>
    </row>
    <row r="43" ht="15.75" customHeight="1">
      <c r="B43" s="12" t="s">
        <v>570</v>
      </c>
      <c r="C43" s="12">
        <f t="shared" ref="C43:H43" si="2">SUM(C23:C42)</f>
        <v>93</v>
      </c>
      <c r="D43" s="12">
        <f t="shared" si="2"/>
        <v>0</v>
      </c>
      <c r="E43" s="12">
        <f t="shared" si="2"/>
        <v>93</v>
      </c>
      <c r="F43" s="12">
        <f t="shared" si="2"/>
        <v>0</v>
      </c>
      <c r="G43" s="12">
        <f t="shared" si="2"/>
        <v>0</v>
      </c>
      <c r="H43" s="12">
        <f t="shared" si="2"/>
        <v>0</v>
      </c>
      <c r="I43" s="12" t="str">
        <f>IF(G43&gt;0,"Con fallos",IF(H43&gt;0,"Bloqueada",IF(E43=C43,"Pendiente",IF(D43+F43=C43,"Certificada","En ejecución"))))</f>
        <v>Pendiente</v>
      </c>
    </row>
    <row r="44" ht="15.75" customHeight="1"/>
    <row r="45" ht="15.75" customHeight="1"/>
    <row r="46" ht="48.0" customHeight="1">
      <c r="B46" s="13" t="s">
        <v>571</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46:M4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44.0"/>
    <col customWidth="1" min="4" max="4" width="16.0"/>
    <col customWidth="1" min="5" max="5" width="60.0"/>
    <col customWidth="1" min="6" max="6" width="40.0"/>
    <col customWidth="1" min="7" max="7" width="13.14"/>
    <col customWidth="1" min="8" max="9" width="15.0"/>
    <col customWidth="1" min="10" max="10" width="16.0"/>
    <col customWidth="1" min="11" max="11" width="12.0"/>
    <col customWidth="1" min="12" max="12" width="20.0"/>
    <col customWidth="1" min="13" max="13" width="16.0"/>
    <col customWidth="1" min="14" max="26" width="9.14"/>
  </cols>
  <sheetData>
    <row r="1">
      <c r="A1" s="5" t="s">
        <v>1</v>
      </c>
      <c r="B1" s="5" t="s">
        <v>21</v>
      </c>
      <c r="C1" s="5" t="s">
        <v>24</v>
      </c>
      <c r="D1" s="5" t="s">
        <v>27</v>
      </c>
      <c r="E1" s="5" t="s">
        <v>29</v>
      </c>
      <c r="F1" s="5" t="s">
        <v>30</v>
      </c>
      <c r="G1" s="5" t="s">
        <v>33</v>
      </c>
      <c r="H1" s="5" t="s">
        <v>36</v>
      </c>
      <c r="I1" s="5" t="s">
        <v>38</v>
      </c>
      <c r="J1" s="5" t="s">
        <v>40</v>
      </c>
      <c r="K1" s="5" t="s">
        <v>42</v>
      </c>
      <c r="L1" s="5" t="s">
        <v>45</v>
      </c>
      <c r="M1" s="5" t="s">
        <v>48</v>
      </c>
    </row>
    <row r="2">
      <c r="A2" s="7" t="s">
        <v>57</v>
      </c>
      <c r="B2" s="7" t="s">
        <v>67</v>
      </c>
      <c r="C2" s="7" t="s">
        <v>69</v>
      </c>
      <c r="D2" s="7" t="s">
        <v>59</v>
      </c>
      <c r="E2" s="7" t="s">
        <v>71</v>
      </c>
      <c r="F2" s="7" t="s">
        <v>73</v>
      </c>
      <c r="G2" s="7" t="s">
        <v>19</v>
      </c>
      <c r="H2" s="7" t="s">
        <v>43</v>
      </c>
      <c r="I2" s="7" t="s">
        <v>5</v>
      </c>
      <c r="J2" s="7"/>
      <c r="K2" s="7"/>
      <c r="L2" s="7" t="s">
        <v>77</v>
      </c>
      <c r="M2" s="7" t="s">
        <v>78</v>
      </c>
    </row>
    <row r="3">
      <c r="A3" s="7" t="s">
        <v>79</v>
      </c>
      <c r="B3" s="7" t="s">
        <v>67</v>
      </c>
      <c r="C3" s="7" t="s">
        <v>80</v>
      </c>
      <c r="D3" s="7" t="s">
        <v>53</v>
      </c>
      <c r="E3" s="7" t="s">
        <v>81</v>
      </c>
      <c r="F3" s="7" t="s">
        <v>82</v>
      </c>
      <c r="G3" s="7" t="s">
        <v>19</v>
      </c>
      <c r="H3" s="7" t="s">
        <v>43</v>
      </c>
      <c r="I3" s="7" t="s">
        <v>5</v>
      </c>
      <c r="J3" s="7"/>
      <c r="K3" s="7"/>
      <c r="L3" s="7" t="s">
        <v>83</v>
      </c>
      <c r="M3" s="7" t="s">
        <v>78</v>
      </c>
    </row>
    <row r="4">
      <c r="A4" s="7" t="s">
        <v>84</v>
      </c>
      <c r="B4" s="7" t="s">
        <v>67</v>
      </c>
      <c r="C4" s="7" t="s">
        <v>85</v>
      </c>
      <c r="D4" s="7" t="s">
        <v>53</v>
      </c>
      <c r="E4" s="7" t="s">
        <v>86</v>
      </c>
      <c r="F4" s="7" t="s">
        <v>87</v>
      </c>
      <c r="G4" s="7" t="s">
        <v>19</v>
      </c>
      <c r="H4" s="7" t="s">
        <v>43</v>
      </c>
      <c r="I4" s="7" t="s">
        <v>5</v>
      </c>
      <c r="J4" s="7"/>
      <c r="K4" s="7"/>
      <c r="L4" s="7" t="s">
        <v>88</v>
      </c>
      <c r="M4" s="7" t="s">
        <v>78</v>
      </c>
    </row>
    <row r="5">
      <c r="A5" s="7" t="s">
        <v>89</v>
      </c>
      <c r="B5" s="7" t="s">
        <v>67</v>
      </c>
      <c r="C5" s="7" t="s">
        <v>90</v>
      </c>
      <c r="D5" s="7" t="s">
        <v>53</v>
      </c>
      <c r="E5" s="7" t="s">
        <v>91</v>
      </c>
      <c r="F5" s="7" t="s">
        <v>92</v>
      </c>
      <c r="G5" s="7" t="s">
        <v>22</v>
      </c>
      <c r="H5" s="7" t="s">
        <v>43</v>
      </c>
      <c r="I5" s="7" t="s">
        <v>5</v>
      </c>
      <c r="J5" s="7"/>
      <c r="K5" s="7"/>
      <c r="L5" s="7" t="s">
        <v>93</v>
      </c>
      <c r="M5" s="7" t="s">
        <v>78</v>
      </c>
    </row>
    <row r="6">
      <c r="A6" s="7" t="s">
        <v>94</v>
      </c>
      <c r="B6" s="7" t="s">
        <v>95</v>
      </c>
      <c r="C6" s="7" t="s">
        <v>96</v>
      </c>
      <c r="D6" s="7" t="s">
        <v>53</v>
      </c>
      <c r="E6" s="7" t="s">
        <v>97</v>
      </c>
      <c r="F6" s="7" t="s">
        <v>98</v>
      </c>
      <c r="G6" s="7" t="s">
        <v>19</v>
      </c>
      <c r="H6" s="7" t="s">
        <v>43</v>
      </c>
      <c r="I6" s="7" t="s">
        <v>5</v>
      </c>
      <c r="J6" s="7"/>
      <c r="K6" s="7"/>
      <c r="L6" s="7" t="s">
        <v>99</v>
      </c>
      <c r="M6" s="7" t="s">
        <v>78</v>
      </c>
    </row>
    <row r="7">
      <c r="A7" s="7" t="s">
        <v>100</v>
      </c>
      <c r="B7" s="7" t="s">
        <v>95</v>
      </c>
      <c r="C7" s="7" t="s">
        <v>101</v>
      </c>
      <c r="D7" s="7" t="s">
        <v>53</v>
      </c>
      <c r="E7" s="7" t="s">
        <v>102</v>
      </c>
      <c r="F7" s="7" t="s">
        <v>103</v>
      </c>
      <c r="G7" s="7" t="s">
        <v>19</v>
      </c>
      <c r="H7" s="7" t="s">
        <v>43</v>
      </c>
      <c r="I7" s="7" t="s">
        <v>5</v>
      </c>
      <c r="J7" s="7"/>
      <c r="K7" s="7"/>
      <c r="L7" s="7" t="s">
        <v>104</v>
      </c>
      <c r="M7" s="7" t="s">
        <v>78</v>
      </c>
    </row>
    <row r="8">
      <c r="A8" s="7" t="s">
        <v>105</v>
      </c>
      <c r="B8" s="7" t="s">
        <v>95</v>
      </c>
      <c r="C8" s="7" t="s">
        <v>106</v>
      </c>
      <c r="D8" s="7" t="s">
        <v>53</v>
      </c>
      <c r="E8" s="7" t="s">
        <v>107</v>
      </c>
      <c r="F8" s="7" t="s">
        <v>108</v>
      </c>
      <c r="G8" s="7" t="s">
        <v>22</v>
      </c>
      <c r="H8" s="7" t="s">
        <v>43</v>
      </c>
      <c r="I8" s="7" t="s">
        <v>5</v>
      </c>
      <c r="J8" s="7"/>
      <c r="K8" s="7"/>
      <c r="L8" s="7" t="s">
        <v>109</v>
      </c>
      <c r="M8" s="7" t="s">
        <v>78</v>
      </c>
    </row>
    <row r="9">
      <c r="A9" s="7" t="s">
        <v>110</v>
      </c>
      <c r="B9" s="7" t="s">
        <v>111</v>
      </c>
      <c r="C9" s="7" t="s">
        <v>112</v>
      </c>
      <c r="D9" s="7" t="s">
        <v>53</v>
      </c>
      <c r="E9" s="7" t="s">
        <v>113</v>
      </c>
      <c r="F9" s="7" t="s">
        <v>114</v>
      </c>
      <c r="G9" s="7" t="s">
        <v>19</v>
      </c>
      <c r="H9" s="7" t="s">
        <v>43</v>
      </c>
      <c r="I9" s="7" t="s">
        <v>5</v>
      </c>
      <c r="J9" s="7"/>
      <c r="K9" s="7"/>
      <c r="L9" s="7" t="s">
        <v>115</v>
      </c>
      <c r="M9" s="7" t="s">
        <v>78</v>
      </c>
    </row>
    <row r="10">
      <c r="A10" s="7" t="s">
        <v>116</v>
      </c>
      <c r="B10" s="7" t="s">
        <v>111</v>
      </c>
      <c r="C10" s="7" t="s">
        <v>117</v>
      </c>
      <c r="D10" s="7" t="s">
        <v>53</v>
      </c>
      <c r="E10" s="7" t="s">
        <v>118</v>
      </c>
      <c r="F10" s="7" t="s">
        <v>119</v>
      </c>
      <c r="G10" s="7" t="s">
        <v>22</v>
      </c>
      <c r="H10" s="7" t="s">
        <v>43</v>
      </c>
      <c r="I10" s="7" t="s">
        <v>5</v>
      </c>
      <c r="J10" s="7"/>
      <c r="K10" s="7"/>
      <c r="L10" s="7" t="s">
        <v>120</v>
      </c>
      <c r="M10" s="7" t="s">
        <v>78</v>
      </c>
    </row>
    <row r="11">
      <c r="A11" s="7" t="s">
        <v>121</v>
      </c>
      <c r="B11" s="7" t="s">
        <v>111</v>
      </c>
      <c r="C11" s="7" t="s">
        <v>122</v>
      </c>
      <c r="D11" s="7" t="s">
        <v>53</v>
      </c>
      <c r="E11" s="7" t="s">
        <v>123</v>
      </c>
      <c r="F11" s="7" t="s">
        <v>124</v>
      </c>
      <c r="G11" s="7" t="s">
        <v>19</v>
      </c>
      <c r="H11" s="7" t="s">
        <v>43</v>
      </c>
      <c r="I11" s="7" t="s">
        <v>5</v>
      </c>
      <c r="J11" s="7"/>
      <c r="K11" s="7"/>
      <c r="L11" s="7" t="s">
        <v>125</v>
      </c>
      <c r="M11" s="7" t="s">
        <v>78</v>
      </c>
    </row>
    <row r="12">
      <c r="A12" s="7" t="s">
        <v>127</v>
      </c>
      <c r="B12" s="7" t="s">
        <v>128</v>
      </c>
      <c r="C12" s="7" t="s">
        <v>129</v>
      </c>
      <c r="D12" s="7" t="s">
        <v>53</v>
      </c>
      <c r="E12" s="7" t="s">
        <v>133</v>
      </c>
      <c r="F12" s="7" t="s">
        <v>135</v>
      </c>
      <c r="G12" s="7" t="s">
        <v>19</v>
      </c>
      <c r="H12" s="7" t="s">
        <v>43</v>
      </c>
      <c r="I12" s="7" t="s">
        <v>5</v>
      </c>
      <c r="J12" s="7"/>
      <c r="K12" s="7"/>
      <c r="L12" s="7" t="s">
        <v>140</v>
      </c>
      <c r="M12" s="7" t="s">
        <v>78</v>
      </c>
    </row>
    <row r="13">
      <c r="A13" s="7" t="s">
        <v>142</v>
      </c>
      <c r="B13" s="7" t="s">
        <v>128</v>
      </c>
      <c r="C13" s="7" t="s">
        <v>143</v>
      </c>
      <c r="D13" s="7" t="s">
        <v>53</v>
      </c>
      <c r="E13" s="7" t="s">
        <v>144</v>
      </c>
      <c r="F13" s="7" t="s">
        <v>145</v>
      </c>
      <c r="G13" s="7" t="s">
        <v>19</v>
      </c>
      <c r="H13" s="7" t="s">
        <v>43</v>
      </c>
      <c r="I13" s="7" t="s">
        <v>5</v>
      </c>
      <c r="J13" s="7"/>
      <c r="K13" s="7"/>
      <c r="L13" s="7" t="s">
        <v>146</v>
      </c>
      <c r="M13" s="7" t="s">
        <v>78</v>
      </c>
    </row>
    <row r="14">
      <c r="A14" s="7" t="s">
        <v>147</v>
      </c>
      <c r="B14" s="7" t="s">
        <v>128</v>
      </c>
      <c r="C14" s="7" t="s">
        <v>149</v>
      </c>
      <c r="D14" s="7" t="s">
        <v>53</v>
      </c>
      <c r="E14" s="7" t="s">
        <v>151</v>
      </c>
      <c r="F14" s="7" t="s">
        <v>152</v>
      </c>
      <c r="G14" s="7" t="s">
        <v>19</v>
      </c>
      <c r="H14" s="7" t="s">
        <v>43</v>
      </c>
      <c r="I14" s="7" t="s">
        <v>5</v>
      </c>
      <c r="J14" s="7"/>
      <c r="K14" s="7"/>
      <c r="L14" s="7" t="s">
        <v>153</v>
      </c>
      <c r="M14" s="7" t="s">
        <v>78</v>
      </c>
    </row>
    <row r="15">
      <c r="A15" s="7" t="s">
        <v>154</v>
      </c>
      <c r="B15" s="7" t="s">
        <v>128</v>
      </c>
      <c r="C15" s="7" t="s">
        <v>155</v>
      </c>
      <c r="D15" s="7" t="s">
        <v>59</v>
      </c>
      <c r="E15" s="7" t="s">
        <v>156</v>
      </c>
      <c r="F15" s="7" t="s">
        <v>157</v>
      </c>
      <c r="G15" s="7" t="s">
        <v>19</v>
      </c>
      <c r="H15" s="7" t="s">
        <v>43</v>
      </c>
      <c r="I15" s="7" t="s">
        <v>5</v>
      </c>
      <c r="J15" s="7"/>
      <c r="K15" s="7"/>
      <c r="L15" s="7" t="s">
        <v>158</v>
      </c>
      <c r="M15" s="7" t="s">
        <v>78</v>
      </c>
    </row>
    <row r="16">
      <c r="A16" s="7" t="s">
        <v>159</v>
      </c>
      <c r="B16" s="7" t="s">
        <v>160</v>
      </c>
      <c r="C16" s="7" t="s">
        <v>161</v>
      </c>
      <c r="D16" s="7" t="s">
        <v>53</v>
      </c>
      <c r="E16" s="7" t="s">
        <v>162</v>
      </c>
      <c r="F16" s="7" t="s">
        <v>163</v>
      </c>
      <c r="G16" s="7" t="s">
        <v>19</v>
      </c>
      <c r="H16" s="7" t="s">
        <v>43</v>
      </c>
      <c r="I16" s="7" t="s">
        <v>5</v>
      </c>
      <c r="J16" s="7"/>
      <c r="K16" s="7"/>
      <c r="L16" s="7" t="s">
        <v>164</v>
      </c>
      <c r="M16" s="7" t="s">
        <v>78</v>
      </c>
    </row>
    <row r="17">
      <c r="A17" s="7" t="s">
        <v>165</v>
      </c>
      <c r="B17" s="7" t="s">
        <v>166</v>
      </c>
      <c r="C17" s="7" t="s">
        <v>167</v>
      </c>
      <c r="D17" s="7" t="s">
        <v>53</v>
      </c>
      <c r="E17" s="7" t="s">
        <v>168</v>
      </c>
      <c r="F17" s="7" t="s">
        <v>169</v>
      </c>
      <c r="G17" s="7" t="s">
        <v>19</v>
      </c>
      <c r="H17" s="7" t="s">
        <v>43</v>
      </c>
      <c r="I17" s="7" t="s">
        <v>5</v>
      </c>
      <c r="J17" s="7"/>
      <c r="K17" s="7"/>
      <c r="L17" s="7" t="s">
        <v>170</v>
      </c>
      <c r="M17" s="7" t="s">
        <v>78</v>
      </c>
    </row>
    <row r="18">
      <c r="A18" s="7" t="s">
        <v>171</v>
      </c>
      <c r="B18" s="7" t="s">
        <v>166</v>
      </c>
      <c r="C18" s="7" t="s">
        <v>172</v>
      </c>
      <c r="D18" s="7" t="s">
        <v>53</v>
      </c>
      <c r="E18" s="7" t="s">
        <v>173</v>
      </c>
      <c r="F18" s="7" t="s">
        <v>174</v>
      </c>
      <c r="G18" s="7" t="s">
        <v>19</v>
      </c>
      <c r="H18" s="7" t="s">
        <v>43</v>
      </c>
      <c r="I18" s="7" t="s">
        <v>5</v>
      </c>
      <c r="J18" s="7"/>
      <c r="K18" s="7"/>
      <c r="L18" s="7" t="s">
        <v>175</v>
      </c>
      <c r="M18" s="7" t="s">
        <v>78</v>
      </c>
    </row>
    <row r="19">
      <c r="A19" s="7" t="s">
        <v>176</v>
      </c>
      <c r="B19" s="7" t="s">
        <v>166</v>
      </c>
      <c r="C19" s="7" t="s">
        <v>177</v>
      </c>
      <c r="D19" s="7" t="s">
        <v>53</v>
      </c>
      <c r="E19" s="7" t="s">
        <v>178</v>
      </c>
      <c r="F19" s="7" t="s">
        <v>179</v>
      </c>
      <c r="G19" s="7" t="s">
        <v>19</v>
      </c>
      <c r="H19" s="7" t="s">
        <v>43</v>
      </c>
      <c r="I19" s="7" t="s">
        <v>5</v>
      </c>
      <c r="J19" s="7"/>
      <c r="K19" s="7"/>
      <c r="L19" s="7" t="s">
        <v>180</v>
      </c>
      <c r="M19" s="7" t="s">
        <v>78</v>
      </c>
    </row>
    <row r="20">
      <c r="A20" s="7" t="s">
        <v>181</v>
      </c>
      <c r="B20" s="7" t="s">
        <v>166</v>
      </c>
      <c r="C20" s="7" t="s">
        <v>182</v>
      </c>
      <c r="D20" s="7" t="s">
        <v>53</v>
      </c>
      <c r="E20" s="7" t="s">
        <v>183</v>
      </c>
      <c r="F20" s="7" t="s">
        <v>184</v>
      </c>
      <c r="G20" s="7" t="s">
        <v>22</v>
      </c>
      <c r="H20" s="7" t="s">
        <v>43</v>
      </c>
      <c r="I20" s="7" t="s">
        <v>5</v>
      </c>
      <c r="J20" s="7"/>
      <c r="K20" s="7"/>
      <c r="L20" s="7" t="s">
        <v>185</v>
      </c>
      <c r="M20" s="7" t="s">
        <v>78</v>
      </c>
    </row>
    <row r="21" ht="15.75" customHeight="1">
      <c r="A21" s="7" t="s">
        <v>186</v>
      </c>
      <c r="B21" s="7" t="s">
        <v>166</v>
      </c>
      <c r="C21" s="7" t="s">
        <v>187</v>
      </c>
      <c r="D21" s="7" t="s">
        <v>59</v>
      </c>
      <c r="E21" s="7" t="s">
        <v>188</v>
      </c>
      <c r="F21" s="7" t="s">
        <v>189</v>
      </c>
      <c r="G21" s="7" t="s">
        <v>22</v>
      </c>
      <c r="H21" s="7" t="s">
        <v>43</v>
      </c>
      <c r="I21" s="7" t="s">
        <v>5</v>
      </c>
      <c r="J21" s="7"/>
      <c r="K21" s="7"/>
      <c r="L21" s="7" t="s">
        <v>190</v>
      </c>
      <c r="M21" s="7" t="s">
        <v>78</v>
      </c>
    </row>
    <row r="22" ht="15.75" customHeight="1">
      <c r="A22" s="7" t="s">
        <v>191</v>
      </c>
      <c r="B22" s="7" t="s">
        <v>166</v>
      </c>
      <c r="C22" s="7" t="s">
        <v>192</v>
      </c>
      <c r="D22" s="7" t="s">
        <v>53</v>
      </c>
      <c r="E22" s="7" t="s">
        <v>193</v>
      </c>
      <c r="F22" s="7" t="s">
        <v>194</v>
      </c>
      <c r="G22" s="7" t="s">
        <v>22</v>
      </c>
      <c r="H22" s="7" t="s">
        <v>43</v>
      </c>
      <c r="I22" s="7" t="s">
        <v>5</v>
      </c>
      <c r="J22" s="7"/>
      <c r="K22" s="7"/>
      <c r="L22" s="7" t="s">
        <v>195</v>
      </c>
      <c r="M22" s="7" t="s">
        <v>78</v>
      </c>
    </row>
    <row r="23" ht="15.75" customHeight="1">
      <c r="A23" s="7" t="s">
        <v>196</v>
      </c>
      <c r="B23" s="7" t="s">
        <v>166</v>
      </c>
      <c r="C23" s="7" t="s">
        <v>197</v>
      </c>
      <c r="D23" s="7" t="s">
        <v>53</v>
      </c>
      <c r="E23" s="7" t="s">
        <v>198</v>
      </c>
      <c r="F23" s="7" t="s">
        <v>199</v>
      </c>
      <c r="G23" s="7" t="s">
        <v>19</v>
      </c>
      <c r="H23" s="7" t="s">
        <v>43</v>
      </c>
      <c r="I23" s="7" t="s">
        <v>5</v>
      </c>
      <c r="J23" s="7"/>
      <c r="K23" s="7"/>
      <c r="L23" s="7" t="s">
        <v>200</v>
      </c>
      <c r="M23" s="7" t="s">
        <v>78</v>
      </c>
    </row>
    <row r="24" ht="15.75" customHeight="1">
      <c r="A24" s="7" t="s">
        <v>201</v>
      </c>
      <c r="B24" s="7" t="s">
        <v>166</v>
      </c>
      <c r="C24" s="7" t="s">
        <v>202</v>
      </c>
      <c r="D24" s="7" t="s">
        <v>53</v>
      </c>
      <c r="E24" s="7" t="s">
        <v>203</v>
      </c>
      <c r="F24" s="7" t="s">
        <v>204</v>
      </c>
      <c r="G24" s="7" t="s">
        <v>19</v>
      </c>
      <c r="H24" s="7" t="s">
        <v>43</v>
      </c>
      <c r="I24" s="7" t="s">
        <v>5</v>
      </c>
      <c r="J24" s="7"/>
      <c r="K24" s="7"/>
      <c r="L24" s="7" t="s">
        <v>205</v>
      </c>
      <c r="M24" s="7" t="s">
        <v>78</v>
      </c>
    </row>
    <row r="25" ht="15.75" customHeight="1">
      <c r="A25" s="7" t="s">
        <v>206</v>
      </c>
      <c r="B25" s="7" t="s">
        <v>166</v>
      </c>
      <c r="C25" s="7" t="s">
        <v>207</v>
      </c>
      <c r="D25" s="7" t="s">
        <v>53</v>
      </c>
      <c r="E25" s="7" t="s">
        <v>208</v>
      </c>
      <c r="F25" s="7" t="s">
        <v>209</v>
      </c>
      <c r="G25" s="7" t="s">
        <v>19</v>
      </c>
      <c r="H25" s="7" t="s">
        <v>43</v>
      </c>
      <c r="I25" s="7" t="s">
        <v>5</v>
      </c>
      <c r="J25" s="7"/>
      <c r="K25" s="7"/>
      <c r="L25" s="7" t="s">
        <v>210</v>
      </c>
      <c r="M25" s="7" t="s">
        <v>78</v>
      </c>
    </row>
    <row r="26" ht="15.75" customHeight="1">
      <c r="A26" s="7" t="s">
        <v>211</v>
      </c>
      <c r="B26" s="7" t="s">
        <v>166</v>
      </c>
      <c r="C26" s="7" t="s">
        <v>212</v>
      </c>
      <c r="D26" s="7" t="s">
        <v>53</v>
      </c>
      <c r="E26" s="7" t="s">
        <v>213</v>
      </c>
      <c r="F26" s="7" t="s">
        <v>214</v>
      </c>
      <c r="G26" s="7" t="s">
        <v>19</v>
      </c>
      <c r="H26" s="7" t="s">
        <v>43</v>
      </c>
      <c r="I26" s="7" t="s">
        <v>5</v>
      </c>
      <c r="J26" s="7"/>
      <c r="K26" s="7"/>
      <c r="L26" s="7" t="s">
        <v>215</v>
      </c>
      <c r="M26" s="7" t="s">
        <v>78</v>
      </c>
    </row>
    <row r="27" ht="15.75" customHeight="1">
      <c r="A27" s="7" t="s">
        <v>216</v>
      </c>
      <c r="B27" s="7" t="s">
        <v>166</v>
      </c>
      <c r="C27" s="7" t="s">
        <v>217</v>
      </c>
      <c r="D27" s="7" t="s">
        <v>53</v>
      </c>
      <c r="E27" s="7" t="s">
        <v>218</v>
      </c>
      <c r="F27" s="7" t="s">
        <v>219</v>
      </c>
      <c r="G27" s="7" t="s">
        <v>22</v>
      </c>
      <c r="H27" s="7" t="s">
        <v>43</v>
      </c>
      <c r="I27" s="7" t="s">
        <v>5</v>
      </c>
      <c r="J27" s="7"/>
      <c r="K27" s="7"/>
      <c r="L27" s="7" t="s">
        <v>220</v>
      </c>
      <c r="M27" s="7" t="s">
        <v>78</v>
      </c>
    </row>
    <row r="28" ht="15.75" customHeight="1">
      <c r="A28" s="7" t="s">
        <v>221</v>
      </c>
      <c r="B28" s="7" t="s">
        <v>222</v>
      </c>
      <c r="C28" s="7" t="s">
        <v>223</v>
      </c>
      <c r="D28" s="7" t="s">
        <v>53</v>
      </c>
      <c r="E28" s="7" t="s">
        <v>224</v>
      </c>
      <c r="F28" s="7" t="s">
        <v>225</v>
      </c>
      <c r="G28" s="7" t="s">
        <v>19</v>
      </c>
      <c r="H28" s="7" t="s">
        <v>43</v>
      </c>
      <c r="I28" s="7" t="s">
        <v>5</v>
      </c>
      <c r="J28" s="7"/>
      <c r="K28" s="7"/>
      <c r="L28" s="7" t="s">
        <v>226</v>
      </c>
      <c r="M28" s="7" t="s">
        <v>78</v>
      </c>
    </row>
    <row r="29" ht="15.75" customHeight="1">
      <c r="A29" s="7" t="s">
        <v>227</v>
      </c>
      <c r="B29" s="7" t="s">
        <v>222</v>
      </c>
      <c r="C29" s="7" t="s">
        <v>228</v>
      </c>
      <c r="D29" s="7" t="s">
        <v>59</v>
      </c>
      <c r="E29" s="7" t="s">
        <v>229</v>
      </c>
      <c r="F29" s="7" t="s">
        <v>230</v>
      </c>
      <c r="G29" s="7" t="s">
        <v>19</v>
      </c>
      <c r="H29" s="7" t="s">
        <v>43</v>
      </c>
      <c r="I29" s="7" t="s">
        <v>5</v>
      </c>
      <c r="J29" s="7"/>
      <c r="K29" s="7"/>
      <c r="L29" s="7" t="s">
        <v>231</v>
      </c>
      <c r="M29" s="7" t="s">
        <v>78</v>
      </c>
    </row>
    <row r="30" ht="15.75" customHeight="1">
      <c r="A30" s="7" t="s">
        <v>232</v>
      </c>
      <c r="B30" s="7" t="s">
        <v>222</v>
      </c>
      <c r="C30" s="7" t="s">
        <v>233</v>
      </c>
      <c r="D30" s="7" t="s">
        <v>59</v>
      </c>
      <c r="E30" s="7" t="s">
        <v>234</v>
      </c>
      <c r="F30" s="7" t="s">
        <v>235</v>
      </c>
      <c r="G30" s="7" t="s">
        <v>19</v>
      </c>
      <c r="H30" s="7" t="s">
        <v>43</v>
      </c>
      <c r="I30" s="7" t="s">
        <v>5</v>
      </c>
      <c r="J30" s="7"/>
      <c r="K30" s="7"/>
      <c r="L30" s="7" t="s">
        <v>236</v>
      </c>
      <c r="M30" s="7" t="s">
        <v>78</v>
      </c>
    </row>
    <row r="31" ht="15.75" customHeight="1">
      <c r="A31" s="7" t="s">
        <v>237</v>
      </c>
      <c r="B31" s="7" t="s">
        <v>238</v>
      </c>
      <c r="C31" s="7" t="s">
        <v>239</v>
      </c>
      <c r="D31" s="7" t="s">
        <v>53</v>
      </c>
      <c r="E31" s="7" t="s">
        <v>240</v>
      </c>
      <c r="F31" s="7" t="s">
        <v>241</v>
      </c>
      <c r="G31" s="7" t="s">
        <v>19</v>
      </c>
      <c r="H31" s="7" t="s">
        <v>43</v>
      </c>
      <c r="I31" s="7" t="s">
        <v>5</v>
      </c>
      <c r="J31" s="7"/>
      <c r="K31" s="7"/>
      <c r="L31" s="7" t="s">
        <v>242</v>
      </c>
      <c r="M31" s="7" t="s">
        <v>78</v>
      </c>
    </row>
    <row r="32" ht="15.75" customHeight="1">
      <c r="A32" s="7" t="s">
        <v>243</v>
      </c>
      <c r="B32" s="7" t="s">
        <v>238</v>
      </c>
      <c r="C32" s="7" t="s">
        <v>244</v>
      </c>
      <c r="D32" s="7" t="s">
        <v>53</v>
      </c>
      <c r="E32" s="7" t="s">
        <v>245</v>
      </c>
      <c r="F32" s="7" t="s">
        <v>246</v>
      </c>
      <c r="G32" s="7" t="s">
        <v>22</v>
      </c>
      <c r="H32" s="7" t="s">
        <v>43</v>
      </c>
      <c r="I32" s="7" t="s">
        <v>5</v>
      </c>
      <c r="J32" s="7"/>
      <c r="K32" s="7"/>
      <c r="L32" s="7" t="s">
        <v>247</v>
      </c>
      <c r="M32" s="7" t="s">
        <v>78</v>
      </c>
    </row>
    <row r="33" ht="15.75" customHeight="1">
      <c r="A33" s="7" t="s">
        <v>248</v>
      </c>
      <c r="B33" s="7" t="s">
        <v>238</v>
      </c>
      <c r="C33" s="7" t="s">
        <v>249</v>
      </c>
      <c r="D33" s="7" t="s">
        <v>53</v>
      </c>
      <c r="E33" s="7" t="s">
        <v>250</v>
      </c>
      <c r="F33" s="7" t="s">
        <v>251</v>
      </c>
      <c r="G33" s="7" t="s">
        <v>19</v>
      </c>
      <c r="H33" s="7" t="s">
        <v>43</v>
      </c>
      <c r="I33" s="7" t="s">
        <v>5</v>
      </c>
      <c r="J33" s="7"/>
      <c r="K33" s="7"/>
      <c r="L33" s="7" t="s">
        <v>252</v>
      </c>
      <c r="M33" s="7" t="s">
        <v>78</v>
      </c>
    </row>
    <row r="34" ht="15.75" customHeight="1">
      <c r="A34" s="7" t="s">
        <v>253</v>
      </c>
      <c r="B34" s="7" t="s">
        <v>238</v>
      </c>
      <c r="C34" s="7" t="s">
        <v>254</v>
      </c>
      <c r="D34" s="7" t="s">
        <v>53</v>
      </c>
      <c r="E34" s="7" t="s">
        <v>255</v>
      </c>
      <c r="F34" s="7" t="s">
        <v>256</v>
      </c>
      <c r="G34" s="7" t="s">
        <v>19</v>
      </c>
      <c r="H34" s="7" t="s">
        <v>43</v>
      </c>
      <c r="I34" s="7" t="s">
        <v>5</v>
      </c>
      <c r="J34" s="7"/>
      <c r="K34" s="7"/>
      <c r="L34" s="7" t="s">
        <v>257</v>
      </c>
      <c r="M34" s="7" t="s">
        <v>78</v>
      </c>
    </row>
    <row r="35" ht="15.75" customHeight="1">
      <c r="A35" s="7" t="s">
        <v>258</v>
      </c>
      <c r="B35" s="7" t="s">
        <v>259</v>
      </c>
      <c r="C35" s="7" t="s">
        <v>260</v>
      </c>
      <c r="D35" s="7" t="s">
        <v>59</v>
      </c>
      <c r="E35" s="7" t="s">
        <v>261</v>
      </c>
      <c r="F35" s="7" t="s">
        <v>262</v>
      </c>
      <c r="G35" s="7" t="s">
        <v>19</v>
      </c>
      <c r="H35" s="7" t="s">
        <v>43</v>
      </c>
      <c r="I35" s="7" t="s">
        <v>5</v>
      </c>
      <c r="J35" s="7"/>
      <c r="K35" s="7"/>
      <c r="L35" s="7" t="s">
        <v>263</v>
      </c>
      <c r="M35" s="7" t="s">
        <v>78</v>
      </c>
    </row>
    <row r="36" ht="15.75" customHeight="1">
      <c r="A36" s="7" t="s">
        <v>264</v>
      </c>
      <c r="B36" s="7" t="s">
        <v>259</v>
      </c>
      <c r="C36" s="7" t="s">
        <v>265</v>
      </c>
      <c r="D36" s="7" t="s">
        <v>59</v>
      </c>
      <c r="E36" s="7" t="s">
        <v>266</v>
      </c>
      <c r="F36" s="7" t="s">
        <v>267</v>
      </c>
      <c r="G36" s="7" t="s">
        <v>19</v>
      </c>
      <c r="H36" s="7" t="s">
        <v>43</v>
      </c>
      <c r="I36" s="7" t="s">
        <v>5</v>
      </c>
      <c r="J36" s="7"/>
      <c r="K36" s="7"/>
      <c r="L36" s="7" t="s">
        <v>268</v>
      </c>
      <c r="M36" s="7" t="s">
        <v>78</v>
      </c>
    </row>
    <row r="37" ht="15.75" customHeight="1">
      <c r="A37" s="7" t="s">
        <v>269</v>
      </c>
      <c r="B37" s="7" t="s">
        <v>259</v>
      </c>
      <c r="C37" s="7" t="s">
        <v>270</v>
      </c>
      <c r="D37" s="7" t="s">
        <v>53</v>
      </c>
      <c r="E37" s="7" t="s">
        <v>271</v>
      </c>
      <c r="F37" s="7" t="s">
        <v>272</v>
      </c>
      <c r="G37" s="7" t="s">
        <v>19</v>
      </c>
      <c r="H37" s="7" t="s">
        <v>43</v>
      </c>
      <c r="I37" s="7" t="s">
        <v>5</v>
      </c>
      <c r="J37" s="7"/>
      <c r="K37" s="7"/>
      <c r="L37" s="7" t="s">
        <v>273</v>
      </c>
      <c r="M37" s="7" t="s">
        <v>78</v>
      </c>
    </row>
    <row r="38" ht="15.75" customHeight="1">
      <c r="A38" s="7" t="s">
        <v>274</v>
      </c>
      <c r="B38" s="7" t="s">
        <v>259</v>
      </c>
      <c r="C38" s="7" t="s">
        <v>275</v>
      </c>
      <c r="D38" s="7" t="s">
        <v>53</v>
      </c>
      <c r="E38" s="7" t="s">
        <v>276</v>
      </c>
      <c r="F38" s="7" t="s">
        <v>277</v>
      </c>
      <c r="G38" s="7" t="s">
        <v>22</v>
      </c>
      <c r="H38" s="7" t="s">
        <v>43</v>
      </c>
      <c r="I38" s="7" t="s">
        <v>5</v>
      </c>
      <c r="J38" s="7"/>
      <c r="K38" s="7"/>
      <c r="L38" s="7" t="s">
        <v>278</v>
      </c>
      <c r="M38" s="7" t="s">
        <v>78</v>
      </c>
    </row>
    <row r="39" ht="15.75" customHeight="1">
      <c r="A39" s="7" t="s">
        <v>279</v>
      </c>
      <c r="B39" s="7" t="s">
        <v>259</v>
      </c>
      <c r="C39" s="7" t="s">
        <v>280</v>
      </c>
      <c r="D39" s="7" t="s">
        <v>59</v>
      </c>
      <c r="E39" s="7" t="s">
        <v>281</v>
      </c>
      <c r="F39" s="7" t="s">
        <v>282</v>
      </c>
      <c r="G39" s="7" t="s">
        <v>19</v>
      </c>
      <c r="H39" s="7" t="s">
        <v>43</v>
      </c>
      <c r="I39" s="7" t="s">
        <v>5</v>
      </c>
      <c r="J39" s="7"/>
      <c r="K39" s="7"/>
      <c r="L39" s="7" t="s">
        <v>283</v>
      </c>
      <c r="M39" s="7" t="s">
        <v>78</v>
      </c>
    </row>
    <row r="40" ht="15.75" customHeight="1">
      <c r="A40" s="7" t="s">
        <v>284</v>
      </c>
      <c r="B40" s="7" t="s">
        <v>259</v>
      </c>
      <c r="C40" s="7" t="s">
        <v>285</v>
      </c>
      <c r="D40" s="7" t="s">
        <v>59</v>
      </c>
      <c r="E40" s="7" t="s">
        <v>286</v>
      </c>
      <c r="F40" s="7" t="s">
        <v>287</v>
      </c>
      <c r="G40" s="7" t="s">
        <v>19</v>
      </c>
      <c r="H40" s="7" t="s">
        <v>43</v>
      </c>
      <c r="I40" s="7" t="s">
        <v>5</v>
      </c>
      <c r="J40" s="7"/>
      <c r="K40" s="7"/>
      <c r="L40" s="7" t="s">
        <v>288</v>
      </c>
      <c r="M40" s="7" t="s">
        <v>78</v>
      </c>
    </row>
    <row r="41" ht="15.75" customHeight="1">
      <c r="A41" s="7" t="s">
        <v>289</v>
      </c>
      <c r="B41" s="7" t="s">
        <v>259</v>
      </c>
      <c r="C41" s="7" t="s">
        <v>290</v>
      </c>
      <c r="D41" s="7" t="s">
        <v>53</v>
      </c>
      <c r="E41" s="7" t="s">
        <v>291</v>
      </c>
      <c r="F41" s="7" t="s">
        <v>292</v>
      </c>
      <c r="G41" s="7" t="s">
        <v>19</v>
      </c>
      <c r="H41" s="7" t="s">
        <v>43</v>
      </c>
      <c r="I41" s="7" t="s">
        <v>5</v>
      </c>
      <c r="J41" s="7"/>
      <c r="K41" s="7"/>
      <c r="L41" s="7" t="s">
        <v>293</v>
      </c>
      <c r="M41" s="7" t="s">
        <v>78</v>
      </c>
    </row>
    <row r="42" ht="15.75" customHeight="1">
      <c r="A42" s="7" t="s">
        <v>294</v>
      </c>
      <c r="B42" s="7" t="s">
        <v>295</v>
      </c>
      <c r="C42" s="7" t="s">
        <v>296</v>
      </c>
      <c r="D42" s="7" t="s">
        <v>59</v>
      </c>
      <c r="E42" s="7" t="s">
        <v>297</v>
      </c>
      <c r="F42" s="7" t="s">
        <v>298</v>
      </c>
      <c r="G42" s="7" t="s">
        <v>19</v>
      </c>
      <c r="H42" s="7" t="s">
        <v>43</v>
      </c>
      <c r="I42" s="7" t="s">
        <v>5</v>
      </c>
      <c r="J42" s="7"/>
      <c r="K42" s="7"/>
      <c r="L42" s="7" t="s">
        <v>299</v>
      </c>
      <c r="M42" s="7" t="s">
        <v>78</v>
      </c>
    </row>
    <row r="43" ht="15.75" customHeight="1">
      <c r="A43" s="7" t="s">
        <v>300</v>
      </c>
      <c r="B43" s="7" t="s">
        <v>295</v>
      </c>
      <c r="C43" s="7" t="s">
        <v>301</v>
      </c>
      <c r="D43" s="7" t="s">
        <v>59</v>
      </c>
      <c r="E43" s="7" t="s">
        <v>302</v>
      </c>
      <c r="F43" s="7" t="s">
        <v>303</v>
      </c>
      <c r="G43" s="7" t="s">
        <v>19</v>
      </c>
      <c r="H43" s="7" t="s">
        <v>43</v>
      </c>
      <c r="I43" s="7" t="s">
        <v>5</v>
      </c>
      <c r="J43" s="7"/>
      <c r="K43" s="7"/>
      <c r="L43" s="7" t="s">
        <v>304</v>
      </c>
      <c r="M43" s="7" t="s">
        <v>78</v>
      </c>
    </row>
    <row r="44" ht="15.75" customHeight="1">
      <c r="A44" s="7" t="s">
        <v>305</v>
      </c>
      <c r="B44" s="7" t="s">
        <v>295</v>
      </c>
      <c r="C44" s="7" t="s">
        <v>306</v>
      </c>
      <c r="D44" s="7" t="s">
        <v>59</v>
      </c>
      <c r="E44" s="7" t="s">
        <v>307</v>
      </c>
      <c r="F44" s="7" t="s">
        <v>308</v>
      </c>
      <c r="G44" s="7" t="s">
        <v>19</v>
      </c>
      <c r="H44" s="7" t="s">
        <v>43</v>
      </c>
      <c r="I44" s="7" t="s">
        <v>5</v>
      </c>
      <c r="J44" s="7"/>
      <c r="K44" s="7"/>
      <c r="L44" s="7" t="s">
        <v>309</v>
      </c>
      <c r="M44" s="7" t="s">
        <v>78</v>
      </c>
    </row>
    <row r="45" ht="15.75" customHeight="1">
      <c r="A45" s="7" t="s">
        <v>310</v>
      </c>
      <c r="B45" s="7" t="s">
        <v>295</v>
      </c>
      <c r="C45" s="7" t="s">
        <v>311</v>
      </c>
      <c r="D45" s="7" t="s">
        <v>59</v>
      </c>
      <c r="E45" s="7" t="s">
        <v>312</v>
      </c>
      <c r="F45" s="7" t="s">
        <v>313</v>
      </c>
      <c r="G45" s="7" t="s">
        <v>19</v>
      </c>
      <c r="H45" s="7" t="s">
        <v>43</v>
      </c>
      <c r="I45" s="7" t="s">
        <v>5</v>
      </c>
      <c r="J45" s="7"/>
      <c r="K45" s="7"/>
      <c r="L45" s="7" t="s">
        <v>314</v>
      </c>
      <c r="M45" s="7" t="s">
        <v>78</v>
      </c>
    </row>
    <row r="46" ht="15.75" customHeight="1">
      <c r="A46" s="7" t="s">
        <v>315</v>
      </c>
      <c r="B46" s="7" t="s">
        <v>295</v>
      </c>
      <c r="C46" s="7" t="s">
        <v>316</v>
      </c>
      <c r="D46" s="7" t="s">
        <v>59</v>
      </c>
      <c r="E46" s="7" t="s">
        <v>317</v>
      </c>
      <c r="F46" s="7" t="s">
        <v>318</v>
      </c>
      <c r="G46" s="7" t="s">
        <v>19</v>
      </c>
      <c r="H46" s="7" t="s">
        <v>43</v>
      </c>
      <c r="I46" s="7" t="s">
        <v>5</v>
      </c>
      <c r="J46" s="7"/>
      <c r="K46" s="7"/>
      <c r="L46" s="7" t="s">
        <v>319</v>
      </c>
      <c r="M46" s="7" t="s">
        <v>78</v>
      </c>
    </row>
    <row r="47" ht="15.75" customHeight="1">
      <c r="A47" s="7" t="s">
        <v>320</v>
      </c>
      <c r="B47" s="7" t="s">
        <v>295</v>
      </c>
      <c r="C47" s="7" t="s">
        <v>321</v>
      </c>
      <c r="D47" s="7" t="s">
        <v>59</v>
      </c>
      <c r="E47" s="7" t="s">
        <v>322</v>
      </c>
      <c r="F47" s="7" t="s">
        <v>323</v>
      </c>
      <c r="G47" s="7" t="s">
        <v>19</v>
      </c>
      <c r="H47" s="7" t="s">
        <v>43</v>
      </c>
      <c r="I47" s="7" t="s">
        <v>5</v>
      </c>
      <c r="J47" s="7"/>
      <c r="K47" s="7"/>
      <c r="L47" s="7" t="s">
        <v>324</v>
      </c>
      <c r="M47" s="7" t="s">
        <v>78</v>
      </c>
    </row>
    <row r="48" ht="15.75" customHeight="1">
      <c r="A48" s="7" t="s">
        <v>325</v>
      </c>
      <c r="B48" s="7" t="s">
        <v>295</v>
      </c>
      <c r="C48" s="7" t="s">
        <v>326</v>
      </c>
      <c r="D48" s="7" t="s">
        <v>59</v>
      </c>
      <c r="E48" s="7" t="s">
        <v>327</v>
      </c>
      <c r="F48" s="7" t="s">
        <v>328</v>
      </c>
      <c r="G48" s="7" t="s">
        <v>19</v>
      </c>
      <c r="H48" s="7" t="s">
        <v>43</v>
      </c>
      <c r="I48" s="7" t="s">
        <v>5</v>
      </c>
      <c r="J48" s="7"/>
      <c r="K48" s="7"/>
      <c r="L48" s="7" t="s">
        <v>329</v>
      </c>
      <c r="M48" s="7" t="s">
        <v>78</v>
      </c>
    </row>
    <row r="49" ht="15.75" customHeight="1">
      <c r="A49" s="7" t="s">
        <v>330</v>
      </c>
      <c r="B49" s="7" t="s">
        <v>295</v>
      </c>
      <c r="C49" s="7" t="s">
        <v>331</v>
      </c>
      <c r="D49" s="7" t="s">
        <v>59</v>
      </c>
      <c r="E49" s="7" t="s">
        <v>332</v>
      </c>
      <c r="F49" s="7" t="s">
        <v>333</v>
      </c>
      <c r="G49" s="7" t="s">
        <v>19</v>
      </c>
      <c r="H49" s="7" t="s">
        <v>43</v>
      </c>
      <c r="I49" s="7" t="s">
        <v>5</v>
      </c>
      <c r="J49" s="7"/>
      <c r="K49" s="7"/>
      <c r="L49" s="7" t="s">
        <v>334</v>
      </c>
      <c r="M49" s="7" t="s">
        <v>78</v>
      </c>
    </row>
    <row r="50" ht="15.75" customHeight="1">
      <c r="A50" s="7" t="s">
        <v>335</v>
      </c>
      <c r="B50" s="7" t="s">
        <v>295</v>
      </c>
      <c r="C50" s="7" t="s">
        <v>336</v>
      </c>
      <c r="D50" s="7" t="s">
        <v>59</v>
      </c>
      <c r="E50" s="7" t="s">
        <v>337</v>
      </c>
      <c r="F50" s="7" t="s">
        <v>338</v>
      </c>
      <c r="G50" s="7" t="s">
        <v>19</v>
      </c>
      <c r="H50" s="7" t="s">
        <v>43</v>
      </c>
      <c r="I50" s="7" t="s">
        <v>5</v>
      </c>
      <c r="J50" s="7"/>
      <c r="K50" s="7"/>
      <c r="L50" s="7" t="s">
        <v>339</v>
      </c>
      <c r="M50" s="7" t="s">
        <v>78</v>
      </c>
    </row>
    <row r="51" ht="15.75" customHeight="1">
      <c r="A51" s="7" t="s">
        <v>340</v>
      </c>
      <c r="B51" s="7" t="s">
        <v>341</v>
      </c>
      <c r="C51" s="7" t="s">
        <v>342</v>
      </c>
      <c r="D51" s="7" t="s">
        <v>53</v>
      </c>
      <c r="E51" s="7" t="s">
        <v>343</v>
      </c>
      <c r="F51" s="7" t="s">
        <v>344</v>
      </c>
      <c r="G51" s="7" t="s">
        <v>19</v>
      </c>
      <c r="H51" s="7" t="s">
        <v>43</v>
      </c>
      <c r="I51" s="7" t="s">
        <v>5</v>
      </c>
      <c r="J51" s="7"/>
      <c r="K51" s="7"/>
      <c r="L51" s="7" t="s">
        <v>345</v>
      </c>
      <c r="M51" s="7" t="s">
        <v>78</v>
      </c>
    </row>
    <row r="52" ht="15.75" customHeight="1">
      <c r="A52" s="7" t="s">
        <v>346</v>
      </c>
      <c r="B52" s="7" t="s">
        <v>341</v>
      </c>
      <c r="C52" s="7" t="s">
        <v>347</v>
      </c>
      <c r="D52" s="7" t="s">
        <v>53</v>
      </c>
      <c r="E52" s="7" t="s">
        <v>348</v>
      </c>
      <c r="F52" s="7" t="s">
        <v>349</v>
      </c>
      <c r="G52" s="7" t="s">
        <v>19</v>
      </c>
      <c r="H52" s="7" t="s">
        <v>43</v>
      </c>
      <c r="I52" s="7" t="s">
        <v>5</v>
      </c>
      <c r="J52" s="7"/>
      <c r="K52" s="7"/>
      <c r="L52" s="7" t="s">
        <v>350</v>
      </c>
      <c r="M52" s="7" t="s">
        <v>78</v>
      </c>
    </row>
    <row r="53" ht="15.75" customHeight="1">
      <c r="A53" s="7" t="s">
        <v>351</v>
      </c>
      <c r="B53" s="7" t="s">
        <v>341</v>
      </c>
      <c r="C53" s="7" t="s">
        <v>352</v>
      </c>
      <c r="D53" s="7" t="s">
        <v>53</v>
      </c>
      <c r="E53" s="7" t="s">
        <v>353</v>
      </c>
      <c r="F53" s="7" t="s">
        <v>354</v>
      </c>
      <c r="G53" s="7" t="s">
        <v>19</v>
      </c>
      <c r="H53" s="7" t="s">
        <v>43</v>
      </c>
      <c r="I53" s="7" t="s">
        <v>5</v>
      </c>
      <c r="J53" s="7"/>
      <c r="K53" s="7"/>
      <c r="L53" s="7" t="s">
        <v>355</v>
      </c>
      <c r="M53" s="7" t="s">
        <v>78</v>
      </c>
    </row>
    <row r="54" ht="15.75" customHeight="1">
      <c r="A54" s="7" t="s">
        <v>356</v>
      </c>
      <c r="B54" s="7" t="s">
        <v>357</v>
      </c>
      <c r="C54" s="7" t="s">
        <v>358</v>
      </c>
      <c r="D54" s="7" t="s">
        <v>53</v>
      </c>
      <c r="E54" s="7" t="s">
        <v>359</v>
      </c>
      <c r="F54" s="7" t="s">
        <v>360</v>
      </c>
      <c r="G54" s="7" t="s">
        <v>22</v>
      </c>
      <c r="H54" s="7" t="s">
        <v>43</v>
      </c>
      <c r="I54" s="7" t="s">
        <v>5</v>
      </c>
      <c r="J54" s="7"/>
      <c r="K54" s="7"/>
      <c r="L54" s="7" t="s">
        <v>361</v>
      </c>
      <c r="M54" s="7" t="s">
        <v>78</v>
      </c>
    </row>
    <row r="55" ht="15.75" customHeight="1">
      <c r="A55" s="7" t="s">
        <v>362</v>
      </c>
      <c r="B55" s="7" t="s">
        <v>357</v>
      </c>
      <c r="C55" s="7" t="s">
        <v>363</v>
      </c>
      <c r="D55" s="7" t="s">
        <v>53</v>
      </c>
      <c r="E55" s="7" t="s">
        <v>364</v>
      </c>
      <c r="F55" s="7" t="s">
        <v>365</v>
      </c>
      <c r="G55" s="7" t="s">
        <v>22</v>
      </c>
      <c r="H55" s="7" t="s">
        <v>43</v>
      </c>
      <c r="I55" s="7" t="s">
        <v>5</v>
      </c>
      <c r="J55" s="7"/>
      <c r="K55" s="7"/>
      <c r="L55" s="7" t="s">
        <v>366</v>
      </c>
      <c r="M55" s="7" t="s">
        <v>78</v>
      </c>
    </row>
    <row r="56" ht="15.75" customHeight="1">
      <c r="A56" s="7" t="s">
        <v>367</v>
      </c>
      <c r="B56" s="7" t="s">
        <v>357</v>
      </c>
      <c r="C56" s="7" t="s">
        <v>368</v>
      </c>
      <c r="D56" s="7" t="s">
        <v>53</v>
      </c>
      <c r="E56" s="7" t="s">
        <v>369</v>
      </c>
      <c r="F56" s="7" t="s">
        <v>370</v>
      </c>
      <c r="G56" s="7" t="s">
        <v>19</v>
      </c>
      <c r="H56" s="7" t="s">
        <v>43</v>
      </c>
      <c r="I56" s="7" t="s">
        <v>5</v>
      </c>
      <c r="J56" s="7"/>
      <c r="K56" s="7"/>
      <c r="L56" s="7" t="s">
        <v>371</v>
      </c>
      <c r="M56" s="7" t="s">
        <v>78</v>
      </c>
    </row>
    <row r="57" ht="15.75" customHeight="1">
      <c r="A57" s="7" t="s">
        <v>372</v>
      </c>
      <c r="B57" s="7" t="s">
        <v>357</v>
      </c>
      <c r="C57" s="7" t="s">
        <v>373</v>
      </c>
      <c r="D57" s="7" t="s">
        <v>53</v>
      </c>
      <c r="E57" s="7" t="s">
        <v>374</v>
      </c>
      <c r="F57" s="7" t="s">
        <v>375</v>
      </c>
      <c r="G57" s="7" t="s">
        <v>22</v>
      </c>
      <c r="H57" s="7" t="s">
        <v>43</v>
      </c>
      <c r="I57" s="7" t="s">
        <v>5</v>
      </c>
      <c r="J57" s="7"/>
      <c r="K57" s="7"/>
      <c r="L57" s="7" t="s">
        <v>376</v>
      </c>
      <c r="M57" s="7" t="s">
        <v>78</v>
      </c>
    </row>
    <row r="58" ht="15.75" customHeight="1">
      <c r="A58" s="7" t="s">
        <v>377</v>
      </c>
      <c r="B58" s="7" t="s">
        <v>378</v>
      </c>
      <c r="C58" s="7" t="s">
        <v>379</v>
      </c>
      <c r="D58" s="7" t="s">
        <v>53</v>
      </c>
      <c r="E58" s="7" t="s">
        <v>380</v>
      </c>
      <c r="F58" s="7" t="s">
        <v>381</v>
      </c>
      <c r="G58" s="7" t="s">
        <v>19</v>
      </c>
      <c r="H58" s="7" t="s">
        <v>43</v>
      </c>
      <c r="I58" s="7" t="s">
        <v>5</v>
      </c>
      <c r="J58" s="7"/>
      <c r="K58" s="7"/>
      <c r="L58" s="7" t="s">
        <v>382</v>
      </c>
      <c r="M58" s="7" t="s">
        <v>78</v>
      </c>
    </row>
    <row r="59" ht="15.75" customHeight="1">
      <c r="A59" s="7" t="s">
        <v>383</v>
      </c>
      <c r="B59" s="7" t="s">
        <v>378</v>
      </c>
      <c r="C59" s="7" t="s">
        <v>384</v>
      </c>
      <c r="D59" s="7" t="s">
        <v>53</v>
      </c>
      <c r="E59" s="7" t="s">
        <v>385</v>
      </c>
      <c r="F59" s="7" t="s">
        <v>386</v>
      </c>
      <c r="G59" s="7" t="s">
        <v>22</v>
      </c>
      <c r="H59" s="7" t="s">
        <v>43</v>
      </c>
      <c r="I59" s="7" t="s">
        <v>5</v>
      </c>
      <c r="J59" s="7"/>
      <c r="K59" s="7"/>
      <c r="L59" s="7" t="s">
        <v>387</v>
      </c>
      <c r="M59" s="7" t="s">
        <v>78</v>
      </c>
    </row>
    <row r="60" ht="15.75" customHeight="1">
      <c r="A60" s="7" t="s">
        <v>388</v>
      </c>
      <c r="B60" s="7" t="s">
        <v>378</v>
      </c>
      <c r="C60" s="7" t="s">
        <v>389</v>
      </c>
      <c r="D60" s="7" t="s">
        <v>53</v>
      </c>
      <c r="E60" s="7" t="s">
        <v>390</v>
      </c>
      <c r="F60" s="7" t="s">
        <v>391</v>
      </c>
      <c r="G60" s="7" t="s">
        <v>22</v>
      </c>
      <c r="H60" s="7" t="s">
        <v>43</v>
      </c>
      <c r="I60" s="7" t="s">
        <v>5</v>
      </c>
      <c r="J60" s="7"/>
      <c r="K60" s="7"/>
      <c r="L60" s="7" t="s">
        <v>392</v>
      </c>
      <c r="M60" s="7" t="s">
        <v>78</v>
      </c>
    </row>
    <row r="61" ht="15.75" customHeight="1">
      <c r="A61" s="7" t="s">
        <v>393</v>
      </c>
      <c r="B61" s="7" t="s">
        <v>378</v>
      </c>
      <c r="C61" s="7" t="s">
        <v>394</v>
      </c>
      <c r="D61" s="7" t="s">
        <v>53</v>
      </c>
      <c r="E61" s="7" t="s">
        <v>395</v>
      </c>
      <c r="F61" s="7" t="s">
        <v>396</v>
      </c>
      <c r="G61" s="7" t="s">
        <v>22</v>
      </c>
      <c r="H61" s="7" t="s">
        <v>43</v>
      </c>
      <c r="I61" s="7" t="s">
        <v>5</v>
      </c>
      <c r="J61" s="7"/>
      <c r="K61" s="7"/>
      <c r="L61" s="7" t="s">
        <v>397</v>
      </c>
      <c r="M61" s="7" t="s">
        <v>78</v>
      </c>
    </row>
    <row r="62" ht="15.75" customHeight="1">
      <c r="A62" s="7" t="s">
        <v>398</v>
      </c>
      <c r="B62" s="7" t="s">
        <v>399</v>
      </c>
      <c r="C62" s="7" t="s">
        <v>400</v>
      </c>
      <c r="D62" s="7" t="s">
        <v>53</v>
      </c>
      <c r="E62" s="7" t="s">
        <v>401</v>
      </c>
      <c r="F62" s="7" t="s">
        <v>402</v>
      </c>
      <c r="G62" s="7" t="s">
        <v>19</v>
      </c>
      <c r="H62" s="7" t="s">
        <v>43</v>
      </c>
      <c r="I62" s="7" t="s">
        <v>5</v>
      </c>
      <c r="J62" s="7"/>
      <c r="K62" s="7"/>
      <c r="L62" s="7" t="s">
        <v>403</v>
      </c>
      <c r="M62" s="7" t="s">
        <v>78</v>
      </c>
    </row>
    <row r="63" ht="15.75" customHeight="1">
      <c r="A63" s="7" t="s">
        <v>404</v>
      </c>
      <c r="B63" s="7" t="s">
        <v>399</v>
      </c>
      <c r="C63" s="7" t="s">
        <v>405</v>
      </c>
      <c r="D63" s="7" t="s">
        <v>59</v>
      </c>
      <c r="E63" s="7" t="s">
        <v>406</v>
      </c>
      <c r="F63" s="7" t="s">
        <v>407</v>
      </c>
      <c r="G63" s="7" t="s">
        <v>19</v>
      </c>
      <c r="H63" s="7" t="s">
        <v>43</v>
      </c>
      <c r="I63" s="7" t="s">
        <v>5</v>
      </c>
      <c r="J63" s="7"/>
      <c r="K63" s="7"/>
      <c r="L63" s="7" t="s">
        <v>408</v>
      </c>
      <c r="M63" s="7" t="s">
        <v>78</v>
      </c>
    </row>
    <row r="64" ht="15.75" customHeight="1">
      <c r="A64" s="7" t="s">
        <v>409</v>
      </c>
      <c r="B64" s="7" t="s">
        <v>399</v>
      </c>
      <c r="C64" s="7" t="s">
        <v>410</v>
      </c>
      <c r="D64" s="7" t="s">
        <v>53</v>
      </c>
      <c r="E64" s="7" t="s">
        <v>411</v>
      </c>
      <c r="F64" s="7" t="s">
        <v>412</v>
      </c>
      <c r="G64" s="7" t="s">
        <v>19</v>
      </c>
      <c r="H64" s="7" t="s">
        <v>43</v>
      </c>
      <c r="I64" s="7" t="s">
        <v>5</v>
      </c>
      <c r="J64" s="7"/>
      <c r="K64" s="7"/>
      <c r="L64" s="7" t="s">
        <v>413</v>
      </c>
      <c r="M64" s="7" t="s">
        <v>78</v>
      </c>
    </row>
    <row r="65" ht="15.75" customHeight="1">
      <c r="A65" s="7" t="s">
        <v>414</v>
      </c>
      <c r="B65" s="7" t="s">
        <v>399</v>
      </c>
      <c r="C65" s="7" t="s">
        <v>415</v>
      </c>
      <c r="D65" s="7" t="s">
        <v>53</v>
      </c>
      <c r="E65" s="7" t="s">
        <v>416</v>
      </c>
      <c r="F65" s="7" t="s">
        <v>417</v>
      </c>
      <c r="G65" s="7" t="s">
        <v>19</v>
      </c>
      <c r="H65" s="7" t="s">
        <v>43</v>
      </c>
      <c r="I65" s="7" t="s">
        <v>5</v>
      </c>
      <c r="J65" s="7"/>
      <c r="K65" s="7"/>
      <c r="L65" s="7" t="s">
        <v>418</v>
      </c>
      <c r="M65" s="7" t="s">
        <v>78</v>
      </c>
    </row>
    <row r="66" ht="15.75" customHeight="1">
      <c r="A66" s="7" t="s">
        <v>419</v>
      </c>
      <c r="B66" s="7" t="s">
        <v>399</v>
      </c>
      <c r="C66" s="7" t="s">
        <v>420</v>
      </c>
      <c r="D66" s="7" t="s">
        <v>53</v>
      </c>
      <c r="E66" s="7" t="s">
        <v>421</v>
      </c>
      <c r="F66" s="7" t="s">
        <v>422</v>
      </c>
      <c r="G66" s="7" t="s">
        <v>22</v>
      </c>
      <c r="H66" s="7" t="s">
        <v>43</v>
      </c>
      <c r="I66" s="7" t="s">
        <v>5</v>
      </c>
      <c r="J66" s="7"/>
      <c r="K66" s="7"/>
      <c r="L66" s="7" t="s">
        <v>423</v>
      </c>
      <c r="M66" s="7" t="s">
        <v>78</v>
      </c>
    </row>
    <row r="67" ht="15.75" customHeight="1">
      <c r="A67" s="7" t="s">
        <v>424</v>
      </c>
      <c r="B67" s="7" t="s">
        <v>399</v>
      </c>
      <c r="C67" s="7" t="s">
        <v>425</v>
      </c>
      <c r="D67" s="7" t="s">
        <v>53</v>
      </c>
      <c r="E67" s="7" t="s">
        <v>426</v>
      </c>
      <c r="F67" s="7" t="s">
        <v>427</v>
      </c>
      <c r="G67" s="7" t="s">
        <v>25</v>
      </c>
      <c r="H67" s="7" t="s">
        <v>47</v>
      </c>
      <c r="I67" s="7" t="s">
        <v>5</v>
      </c>
      <c r="J67" s="7"/>
      <c r="K67" s="7"/>
      <c r="L67" s="7" t="s">
        <v>428</v>
      </c>
      <c r="M67" s="7" t="s">
        <v>78</v>
      </c>
    </row>
    <row r="68" ht="15.75" customHeight="1">
      <c r="A68" s="7" t="s">
        <v>429</v>
      </c>
      <c r="B68" s="7" t="s">
        <v>430</v>
      </c>
      <c r="C68" s="7" t="s">
        <v>431</v>
      </c>
      <c r="D68" s="7" t="s">
        <v>59</v>
      </c>
      <c r="E68" s="7" t="s">
        <v>432</v>
      </c>
      <c r="F68" s="7" t="s">
        <v>433</v>
      </c>
      <c r="G68" s="7" t="s">
        <v>19</v>
      </c>
      <c r="H68" s="7" t="s">
        <v>43</v>
      </c>
      <c r="I68" s="7" t="s">
        <v>5</v>
      </c>
      <c r="J68" s="7"/>
      <c r="K68" s="7"/>
      <c r="L68" s="7" t="s">
        <v>434</v>
      </c>
      <c r="M68" s="7" t="s">
        <v>78</v>
      </c>
    </row>
    <row r="69" ht="15.75" customHeight="1">
      <c r="A69" s="7" t="s">
        <v>435</v>
      </c>
      <c r="B69" s="7" t="s">
        <v>430</v>
      </c>
      <c r="C69" s="7" t="s">
        <v>436</v>
      </c>
      <c r="D69" s="7" t="s">
        <v>53</v>
      </c>
      <c r="E69" s="7" t="s">
        <v>437</v>
      </c>
      <c r="F69" s="7" t="s">
        <v>438</v>
      </c>
      <c r="G69" s="7" t="s">
        <v>19</v>
      </c>
      <c r="H69" s="7" t="s">
        <v>43</v>
      </c>
      <c r="I69" s="7" t="s">
        <v>5</v>
      </c>
      <c r="J69" s="7"/>
      <c r="K69" s="7"/>
      <c r="L69" s="7" t="s">
        <v>439</v>
      </c>
      <c r="M69" s="7" t="s">
        <v>78</v>
      </c>
    </row>
    <row r="70" ht="15.75" customHeight="1">
      <c r="A70" s="7" t="s">
        <v>440</v>
      </c>
      <c r="B70" s="7" t="s">
        <v>430</v>
      </c>
      <c r="C70" s="7" t="s">
        <v>441</v>
      </c>
      <c r="D70" s="7" t="s">
        <v>59</v>
      </c>
      <c r="E70" s="7" t="s">
        <v>442</v>
      </c>
      <c r="F70" s="7" t="s">
        <v>443</v>
      </c>
      <c r="G70" s="7" t="s">
        <v>19</v>
      </c>
      <c r="H70" s="7" t="s">
        <v>43</v>
      </c>
      <c r="I70" s="7" t="s">
        <v>5</v>
      </c>
      <c r="J70" s="7"/>
      <c r="K70" s="7"/>
      <c r="L70" s="7" t="s">
        <v>444</v>
      </c>
      <c r="M70" s="7" t="s">
        <v>78</v>
      </c>
    </row>
    <row r="71" ht="15.75" customHeight="1">
      <c r="A71" s="7" t="s">
        <v>445</v>
      </c>
      <c r="B71" s="7" t="s">
        <v>430</v>
      </c>
      <c r="C71" s="7" t="s">
        <v>446</v>
      </c>
      <c r="D71" s="7" t="s">
        <v>53</v>
      </c>
      <c r="E71" s="7" t="s">
        <v>447</v>
      </c>
      <c r="F71" s="7" t="s">
        <v>448</v>
      </c>
      <c r="G71" s="7" t="s">
        <v>19</v>
      </c>
      <c r="H71" s="7" t="s">
        <v>43</v>
      </c>
      <c r="I71" s="7" t="s">
        <v>5</v>
      </c>
      <c r="J71" s="7"/>
      <c r="K71" s="7"/>
      <c r="L71" s="7" t="s">
        <v>449</v>
      </c>
      <c r="M71" s="7" t="s">
        <v>78</v>
      </c>
    </row>
    <row r="72" ht="15.75" customHeight="1">
      <c r="A72" s="7" t="s">
        <v>450</v>
      </c>
      <c r="B72" s="7" t="s">
        <v>430</v>
      </c>
      <c r="C72" s="7" t="s">
        <v>451</v>
      </c>
      <c r="D72" s="7" t="s">
        <v>59</v>
      </c>
      <c r="E72" s="7" t="s">
        <v>452</v>
      </c>
      <c r="F72" s="7" t="s">
        <v>453</v>
      </c>
      <c r="G72" s="7" t="s">
        <v>19</v>
      </c>
      <c r="H72" s="7" t="s">
        <v>43</v>
      </c>
      <c r="I72" s="7" t="s">
        <v>5</v>
      </c>
      <c r="J72" s="7"/>
      <c r="K72" s="7"/>
      <c r="L72" s="7" t="s">
        <v>454</v>
      </c>
      <c r="M72" s="7" t="s">
        <v>78</v>
      </c>
    </row>
    <row r="73" ht="15.75" customHeight="1">
      <c r="A73" s="7" t="s">
        <v>455</v>
      </c>
      <c r="B73" s="7" t="s">
        <v>430</v>
      </c>
      <c r="C73" s="7" t="s">
        <v>456</v>
      </c>
      <c r="D73" s="7" t="s">
        <v>59</v>
      </c>
      <c r="E73" s="7" t="s">
        <v>457</v>
      </c>
      <c r="F73" s="7" t="s">
        <v>458</v>
      </c>
      <c r="G73" s="7" t="s">
        <v>19</v>
      </c>
      <c r="H73" s="7" t="s">
        <v>43</v>
      </c>
      <c r="I73" s="7" t="s">
        <v>5</v>
      </c>
      <c r="J73" s="7"/>
      <c r="K73" s="7"/>
      <c r="L73" s="7" t="s">
        <v>459</v>
      </c>
      <c r="M73" s="7" t="s">
        <v>78</v>
      </c>
    </row>
    <row r="74" ht="15.75" customHeight="1">
      <c r="A74" s="7" t="s">
        <v>460</v>
      </c>
      <c r="B74" s="7" t="s">
        <v>461</v>
      </c>
      <c r="C74" s="7" t="s">
        <v>462</v>
      </c>
      <c r="D74" s="7" t="s">
        <v>53</v>
      </c>
      <c r="E74" s="7" t="s">
        <v>463</v>
      </c>
      <c r="F74" s="7" t="s">
        <v>464</v>
      </c>
      <c r="G74" s="7" t="s">
        <v>19</v>
      </c>
      <c r="H74" s="7" t="s">
        <v>43</v>
      </c>
      <c r="I74" s="7" t="s">
        <v>5</v>
      </c>
      <c r="J74" s="7"/>
      <c r="K74" s="7"/>
      <c r="L74" s="7" t="s">
        <v>465</v>
      </c>
      <c r="M74" s="7" t="s">
        <v>78</v>
      </c>
    </row>
    <row r="75" ht="15.75" customHeight="1">
      <c r="A75" s="7" t="s">
        <v>466</v>
      </c>
      <c r="B75" s="7" t="s">
        <v>461</v>
      </c>
      <c r="C75" s="7" t="s">
        <v>467</v>
      </c>
      <c r="D75" s="7" t="s">
        <v>59</v>
      </c>
      <c r="E75" s="7" t="s">
        <v>468</v>
      </c>
      <c r="F75" s="7" t="s">
        <v>469</v>
      </c>
      <c r="G75" s="7" t="s">
        <v>19</v>
      </c>
      <c r="H75" s="7" t="s">
        <v>43</v>
      </c>
      <c r="I75" s="7" t="s">
        <v>5</v>
      </c>
      <c r="J75" s="7"/>
      <c r="K75" s="7"/>
      <c r="L75" s="7" t="s">
        <v>470</v>
      </c>
      <c r="M75" s="7" t="s">
        <v>78</v>
      </c>
    </row>
    <row r="76" ht="15.75" customHeight="1">
      <c r="A76" s="7" t="s">
        <v>471</v>
      </c>
      <c r="B76" s="7" t="s">
        <v>472</v>
      </c>
      <c r="C76" s="7" t="s">
        <v>473</v>
      </c>
      <c r="D76" s="7" t="s">
        <v>59</v>
      </c>
      <c r="E76" s="7" t="s">
        <v>474</v>
      </c>
      <c r="F76" s="7" t="s">
        <v>475</v>
      </c>
      <c r="G76" s="7" t="s">
        <v>19</v>
      </c>
      <c r="H76" s="7" t="s">
        <v>43</v>
      </c>
      <c r="I76" s="7" t="s">
        <v>5</v>
      </c>
      <c r="J76" s="7"/>
      <c r="K76" s="7"/>
      <c r="L76" s="7" t="s">
        <v>476</v>
      </c>
      <c r="M76" s="7" t="s">
        <v>78</v>
      </c>
    </row>
    <row r="77" ht="15.75" customHeight="1">
      <c r="A77" s="7" t="s">
        <v>477</v>
      </c>
      <c r="B77" s="7" t="s">
        <v>472</v>
      </c>
      <c r="C77" s="7" t="s">
        <v>478</v>
      </c>
      <c r="D77" s="7" t="s">
        <v>53</v>
      </c>
      <c r="E77" s="7" t="s">
        <v>479</v>
      </c>
      <c r="F77" s="7" t="s">
        <v>480</v>
      </c>
      <c r="G77" s="7" t="s">
        <v>19</v>
      </c>
      <c r="H77" s="7" t="s">
        <v>43</v>
      </c>
      <c r="I77" s="7" t="s">
        <v>5</v>
      </c>
      <c r="J77" s="7"/>
      <c r="K77" s="7"/>
      <c r="L77" s="7" t="s">
        <v>481</v>
      </c>
      <c r="M77" s="7" t="s">
        <v>78</v>
      </c>
    </row>
    <row r="78" ht="15.75" customHeight="1">
      <c r="A78" s="7" t="s">
        <v>482</v>
      </c>
      <c r="B78" s="7" t="s">
        <v>472</v>
      </c>
      <c r="C78" s="7" t="s">
        <v>483</v>
      </c>
      <c r="D78" s="7" t="s">
        <v>53</v>
      </c>
      <c r="E78" s="7" t="s">
        <v>484</v>
      </c>
      <c r="F78" s="7" t="s">
        <v>485</v>
      </c>
      <c r="G78" s="7" t="s">
        <v>22</v>
      </c>
      <c r="H78" s="7" t="s">
        <v>43</v>
      </c>
      <c r="I78" s="7" t="s">
        <v>5</v>
      </c>
      <c r="J78" s="7"/>
      <c r="K78" s="7"/>
      <c r="L78" s="7" t="s">
        <v>486</v>
      </c>
      <c r="M78" s="7" t="s">
        <v>78</v>
      </c>
    </row>
    <row r="79" ht="15.75" customHeight="1">
      <c r="A79" s="7" t="s">
        <v>487</v>
      </c>
      <c r="B79" s="7" t="s">
        <v>472</v>
      </c>
      <c r="C79" s="7" t="s">
        <v>488</v>
      </c>
      <c r="D79" s="7" t="s">
        <v>53</v>
      </c>
      <c r="E79" s="7" t="s">
        <v>489</v>
      </c>
      <c r="F79" s="7" t="s">
        <v>490</v>
      </c>
      <c r="G79" s="7" t="s">
        <v>22</v>
      </c>
      <c r="H79" s="7" t="s">
        <v>43</v>
      </c>
      <c r="I79" s="7" t="s">
        <v>5</v>
      </c>
      <c r="J79" s="7"/>
      <c r="K79" s="7"/>
      <c r="L79" s="7" t="s">
        <v>491</v>
      </c>
      <c r="M79" s="7" t="s">
        <v>78</v>
      </c>
    </row>
    <row r="80" ht="15.75" customHeight="1">
      <c r="A80" s="7" t="s">
        <v>492</v>
      </c>
      <c r="B80" s="7" t="s">
        <v>472</v>
      </c>
      <c r="C80" s="7" t="s">
        <v>493</v>
      </c>
      <c r="D80" s="7" t="s">
        <v>53</v>
      </c>
      <c r="E80" s="7" t="s">
        <v>494</v>
      </c>
      <c r="F80" s="7" t="s">
        <v>495</v>
      </c>
      <c r="G80" s="7" t="s">
        <v>19</v>
      </c>
      <c r="H80" s="7" t="s">
        <v>43</v>
      </c>
      <c r="I80" s="7" t="s">
        <v>5</v>
      </c>
      <c r="J80" s="7"/>
      <c r="K80" s="7"/>
      <c r="L80" s="7" t="s">
        <v>496</v>
      </c>
      <c r="M80" s="7" t="s">
        <v>78</v>
      </c>
    </row>
    <row r="81" ht="15.75" customHeight="1">
      <c r="A81" s="7" t="s">
        <v>497</v>
      </c>
      <c r="B81" s="7" t="s">
        <v>472</v>
      </c>
      <c r="C81" s="7" t="s">
        <v>498</v>
      </c>
      <c r="D81" s="7" t="s">
        <v>53</v>
      </c>
      <c r="E81" s="7" t="s">
        <v>499</v>
      </c>
      <c r="F81" s="7" t="s">
        <v>500</v>
      </c>
      <c r="G81" s="7" t="s">
        <v>25</v>
      </c>
      <c r="H81" s="7" t="s">
        <v>47</v>
      </c>
      <c r="I81" s="7" t="s">
        <v>5</v>
      </c>
      <c r="J81" s="7"/>
      <c r="K81" s="7"/>
      <c r="L81" s="7" t="s">
        <v>501</v>
      </c>
      <c r="M81" s="7" t="s">
        <v>78</v>
      </c>
    </row>
    <row r="82" ht="15.75" customHeight="1">
      <c r="A82" s="7" t="s">
        <v>502</v>
      </c>
      <c r="B82" s="7" t="s">
        <v>472</v>
      </c>
      <c r="C82" s="7" t="s">
        <v>503</v>
      </c>
      <c r="D82" s="7" t="s">
        <v>53</v>
      </c>
      <c r="E82" s="7" t="s">
        <v>504</v>
      </c>
      <c r="F82" s="7" t="s">
        <v>505</v>
      </c>
      <c r="G82" s="7" t="s">
        <v>25</v>
      </c>
      <c r="H82" s="7" t="s">
        <v>47</v>
      </c>
      <c r="I82" s="7" t="s">
        <v>5</v>
      </c>
      <c r="J82" s="7"/>
      <c r="K82" s="7"/>
      <c r="L82" s="7" t="s">
        <v>506</v>
      </c>
      <c r="M82" s="7" t="s">
        <v>78</v>
      </c>
    </row>
    <row r="83" ht="15.75" customHeight="1">
      <c r="A83" s="7" t="s">
        <v>507</v>
      </c>
      <c r="B83" s="7" t="s">
        <v>508</v>
      </c>
      <c r="C83" s="7" t="s">
        <v>509</v>
      </c>
      <c r="D83" s="7" t="s">
        <v>53</v>
      </c>
      <c r="E83" s="7" t="s">
        <v>510</v>
      </c>
      <c r="F83" s="7" t="s">
        <v>511</v>
      </c>
      <c r="G83" s="7" t="s">
        <v>19</v>
      </c>
      <c r="H83" s="7" t="s">
        <v>43</v>
      </c>
      <c r="I83" s="7" t="s">
        <v>5</v>
      </c>
      <c r="J83" s="7"/>
      <c r="K83" s="7"/>
      <c r="L83" s="7" t="s">
        <v>512</v>
      </c>
      <c r="M83" s="7" t="s">
        <v>78</v>
      </c>
    </row>
    <row r="84" ht="15.75" customHeight="1">
      <c r="A84" s="7" t="s">
        <v>513</v>
      </c>
      <c r="B84" s="7" t="s">
        <v>508</v>
      </c>
      <c r="C84" s="7" t="s">
        <v>514</v>
      </c>
      <c r="D84" s="7" t="s">
        <v>53</v>
      </c>
      <c r="E84" s="7" t="s">
        <v>515</v>
      </c>
      <c r="F84" s="7" t="s">
        <v>516</v>
      </c>
      <c r="G84" s="7" t="s">
        <v>19</v>
      </c>
      <c r="H84" s="7" t="s">
        <v>43</v>
      </c>
      <c r="I84" s="7" t="s">
        <v>5</v>
      </c>
      <c r="J84" s="7"/>
      <c r="K84" s="7"/>
      <c r="L84" s="7" t="s">
        <v>517</v>
      </c>
      <c r="M84" s="7" t="s">
        <v>78</v>
      </c>
    </row>
    <row r="85" ht="15.75" customHeight="1">
      <c r="A85" s="7" t="s">
        <v>518</v>
      </c>
      <c r="B85" s="7" t="s">
        <v>508</v>
      </c>
      <c r="C85" s="7" t="s">
        <v>519</v>
      </c>
      <c r="D85" s="7" t="s">
        <v>53</v>
      </c>
      <c r="E85" s="7" t="s">
        <v>520</v>
      </c>
      <c r="F85" s="7" t="s">
        <v>521</v>
      </c>
      <c r="G85" s="7" t="s">
        <v>19</v>
      </c>
      <c r="H85" s="7" t="s">
        <v>43</v>
      </c>
      <c r="I85" s="7" t="s">
        <v>5</v>
      </c>
      <c r="J85" s="7"/>
      <c r="K85" s="7"/>
      <c r="L85" s="7" t="s">
        <v>522</v>
      </c>
      <c r="M85" s="7" t="s">
        <v>78</v>
      </c>
    </row>
    <row r="86" ht="15.75" customHeight="1">
      <c r="A86" s="7" t="s">
        <v>523</v>
      </c>
      <c r="B86" s="7" t="s">
        <v>508</v>
      </c>
      <c r="C86" s="7" t="s">
        <v>524</v>
      </c>
      <c r="D86" s="7" t="s">
        <v>53</v>
      </c>
      <c r="E86" s="7" t="s">
        <v>525</v>
      </c>
      <c r="F86" s="7" t="s">
        <v>526</v>
      </c>
      <c r="G86" s="7" t="s">
        <v>19</v>
      </c>
      <c r="H86" s="7" t="s">
        <v>43</v>
      </c>
      <c r="I86" s="7" t="s">
        <v>5</v>
      </c>
      <c r="J86" s="7"/>
      <c r="K86" s="7"/>
      <c r="L86" s="7" t="s">
        <v>527</v>
      </c>
      <c r="M86" s="7" t="s">
        <v>78</v>
      </c>
    </row>
    <row r="87" ht="15.75" customHeight="1">
      <c r="A87" s="7" t="s">
        <v>528</v>
      </c>
      <c r="B87" s="7" t="s">
        <v>508</v>
      </c>
      <c r="C87" s="7" t="s">
        <v>529</v>
      </c>
      <c r="D87" s="7" t="s">
        <v>53</v>
      </c>
      <c r="E87" s="7" t="s">
        <v>530</v>
      </c>
      <c r="F87" s="7" t="s">
        <v>531</v>
      </c>
      <c r="G87" s="7" t="s">
        <v>19</v>
      </c>
      <c r="H87" s="7" t="s">
        <v>43</v>
      </c>
      <c r="I87" s="7" t="s">
        <v>5</v>
      </c>
      <c r="J87" s="7"/>
      <c r="K87" s="7"/>
      <c r="L87" s="7" t="s">
        <v>532</v>
      </c>
      <c r="M87" s="7" t="s">
        <v>78</v>
      </c>
    </row>
    <row r="88" ht="15.75" customHeight="1">
      <c r="A88" s="7" t="s">
        <v>533</v>
      </c>
      <c r="B88" s="7" t="s">
        <v>534</v>
      </c>
      <c r="C88" s="7" t="s">
        <v>535</v>
      </c>
      <c r="D88" s="7" t="s">
        <v>59</v>
      </c>
      <c r="E88" s="7" t="s">
        <v>536</v>
      </c>
      <c r="F88" s="7" t="s">
        <v>537</v>
      </c>
      <c r="G88" s="7" t="s">
        <v>19</v>
      </c>
      <c r="H88" s="7" t="s">
        <v>43</v>
      </c>
      <c r="I88" s="7" t="s">
        <v>5</v>
      </c>
      <c r="J88" s="7"/>
      <c r="K88" s="7"/>
      <c r="L88" s="7" t="s">
        <v>538</v>
      </c>
      <c r="M88" s="7" t="s">
        <v>78</v>
      </c>
    </row>
    <row r="89" ht="15.75" customHeight="1">
      <c r="A89" s="7" t="s">
        <v>539</v>
      </c>
      <c r="B89" s="7" t="s">
        <v>534</v>
      </c>
      <c r="C89" s="7" t="s">
        <v>540</v>
      </c>
      <c r="D89" s="7" t="s">
        <v>53</v>
      </c>
      <c r="E89" s="7" t="s">
        <v>541</v>
      </c>
      <c r="F89" s="7" t="s">
        <v>542</v>
      </c>
      <c r="G89" s="7" t="s">
        <v>19</v>
      </c>
      <c r="H89" s="7" t="s">
        <v>43</v>
      </c>
      <c r="I89" s="7" t="s">
        <v>5</v>
      </c>
      <c r="J89" s="7"/>
      <c r="K89" s="7"/>
      <c r="L89" s="7" t="s">
        <v>543</v>
      </c>
      <c r="M89" s="7" t="s">
        <v>78</v>
      </c>
    </row>
    <row r="90" ht="15.75" customHeight="1">
      <c r="A90" s="7" t="s">
        <v>544</v>
      </c>
      <c r="B90" s="7" t="s">
        <v>545</v>
      </c>
      <c r="C90" s="7" t="s">
        <v>546</v>
      </c>
      <c r="D90" s="7" t="s">
        <v>59</v>
      </c>
      <c r="E90" s="7" t="s">
        <v>547</v>
      </c>
      <c r="F90" s="7" t="s">
        <v>548</v>
      </c>
      <c r="G90" s="7" t="s">
        <v>22</v>
      </c>
      <c r="H90" s="7" t="s">
        <v>43</v>
      </c>
      <c r="I90" s="7" t="s">
        <v>5</v>
      </c>
      <c r="J90" s="7"/>
      <c r="K90" s="7"/>
      <c r="L90" s="7" t="s">
        <v>549</v>
      </c>
      <c r="M90" s="7" t="s">
        <v>78</v>
      </c>
    </row>
    <row r="91" ht="15.75" customHeight="1">
      <c r="A91" s="7" t="s">
        <v>550</v>
      </c>
      <c r="B91" s="7" t="s">
        <v>545</v>
      </c>
      <c r="C91" s="7" t="s">
        <v>551</v>
      </c>
      <c r="D91" s="7" t="s">
        <v>59</v>
      </c>
      <c r="E91" s="7" t="s">
        <v>552</v>
      </c>
      <c r="F91" s="7" t="s">
        <v>553</v>
      </c>
      <c r="G91" s="7" t="s">
        <v>22</v>
      </c>
      <c r="H91" s="7" t="s">
        <v>43</v>
      </c>
      <c r="I91" s="7" t="s">
        <v>5</v>
      </c>
      <c r="J91" s="7"/>
      <c r="K91" s="7"/>
      <c r="L91" s="7" t="s">
        <v>554</v>
      </c>
      <c r="M91" s="7" t="s">
        <v>78</v>
      </c>
    </row>
    <row r="92" ht="15.75" customHeight="1">
      <c r="A92" s="7" t="s">
        <v>555</v>
      </c>
      <c r="B92" s="7" t="s">
        <v>545</v>
      </c>
      <c r="C92" s="7" t="s">
        <v>556</v>
      </c>
      <c r="D92" s="7" t="s">
        <v>59</v>
      </c>
      <c r="E92" s="7" t="s">
        <v>557</v>
      </c>
      <c r="F92" s="7" t="s">
        <v>558</v>
      </c>
      <c r="G92" s="7" t="s">
        <v>22</v>
      </c>
      <c r="H92" s="7" t="s">
        <v>43</v>
      </c>
      <c r="I92" s="7" t="s">
        <v>5</v>
      </c>
      <c r="J92" s="7"/>
      <c r="K92" s="7"/>
      <c r="L92" s="7" t="s">
        <v>559</v>
      </c>
      <c r="M92" s="7" t="s">
        <v>78</v>
      </c>
    </row>
    <row r="93" ht="15.75" customHeight="1">
      <c r="A93" s="7" t="s">
        <v>560</v>
      </c>
      <c r="B93" s="7" t="s">
        <v>545</v>
      </c>
      <c r="C93" s="7" t="s">
        <v>561</v>
      </c>
      <c r="D93" s="7" t="s">
        <v>59</v>
      </c>
      <c r="E93" s="7" t="s">
        <v>562</v>
      </c>
      <c r="F93" s="7" t="s">
        <v>563</v>
      </c>
      <c r="G93" s="7" t="s">
        <v>22</v>
      </c>
      <c r="H93" s="7" t="s">
        <v>43</v>
      </c>
      <c r="I93" s="7" t="s">
        <v>5</v>
      </c>
      <c r="J93" s="7"/>
      <c r="K93" s="7"/>
      <c r="L93" s="7" t="s">
        <v>564</v>
      </c>
      <c r="M93" s="7" t="s">
        <v>78</v>
      </c>
    </row>
    <row r="94" ht="15.75" customHeight="1">
      <c r="A94" s="7" t="s">
        <v>565</v>
      </c>
      <c r="B94" s="7" t="s">
        <v>545</v>
      </c>
      <c r="C94" s="7" t="s">
        <v>566</v>
      </c>
      <c r="D94" s="7" t="s">
        <v>59</v>
      </c>
      <c r="E94" s="7" t="s">
        <v>567</v>
      </c>
      <c r="F94" s="7" t="s">
        <v>568</v>
      </c>
      <c r="G94" s="7" t="s">
        <v>22</v>
      </c>
      <c r="H94" s="7" t="s">
        <v>43</v>
      </c>
      <c r="I94" s="7" t="s">
        <v>5</v>
      </c>
      <c r="J94" s="7"/>
      <c r="K94" s="7"/>
      <c r="L94" s="7" t="s">
        <v>569</v>
      </c>
      <c r="M94" s="7" t="s">
        <v>78</v>
      </c>
    </row>
    <row r="95" ht="15.75" customHeight="1">
      <c r="G95" s="4"/>
      <c r="H95" s="4"/>
      <c r="I95" s="4"/>
    </row>
    <row r="96" ht="15.75" customHeight="1">
      <c r="G96" s="4"/>
      <c r="H96" s="4"/>
      <c r="I96" s="4"/>
    </row>
    <row r="97" ht="15.75" customHeight="1">
      <c r="G97" s="4"/>
      <c r="H97" s="4"/>
      <c r="I97" s="4"/>
    </row>
    <row r="98" ht="15.75" customHeight="1">
      <c r="G98" s="4"/>
      <c r="H98" s="4"/>
      <c r="I98" s="4"/>
    </row>
    <row r="99" ht="15.75" customHeight="1">
      <c r="G99" s="4"/>
      <c r="H99" s="4"/>
      <c r="I99" s="4"/>
    </row>
    <row r="100" ht="15.75" customHeight="1">
      <c r="G100" s="4"/>
      <c r="H100" s="4"/>
      <c r="I100" s="4"/>
    </row>
    <row r="101" ht="15.75" customHeight="1">
      <c r="G101" s="4"/>
      <c r="H101" s="4"/>
      <c r="I101" s="4"/>
    </row>
    <row r="102" ht="15.75" customHeight="1">
      <c r="G102" s="4"/>
      <c r="H102" s="4"/>
      <c r="I102" s="4"/>
    </row>
    <row r="103" ht="15.75" customHeight="1">
      <c r="G103" s="4"/>
      <c r="H103" s="4"/>
      <c r="I103" s="4"/>
    </row>
    <row r="104" ht="15.75" customHeight="1">
      <c r="G104" s="4"/>
      <c r="H104" s="4"/>
      <c r="I104" s="4"/>
    </row>
    <row r="105" ht="15.75" customHeight="1">
      <c r="G105" s="4"/>
      <c r="H105" s="4"/>
      <c r="I105" s="4"/>
    </row>
    <row r="106" ht="15.75" customHeight="1">
      <c r="G106" s="4"/>
      <c r="H106" s="4"/>
      <c r="I106" s="4"/>
    </row>
    <row r="107" ht="15.75" customHeight="1">
      <c r="G107" s="4"/>
      <c r="H107" s="4"/>
      <c r="I107" s="4"/>
    </row>
    <row r="108" ht="15.75" customHeight="1">
      <c r="G108" s="4"/>
      <c r="H108" s="4"/>
      <c r="I108" s="4"/>
    </row>
    <row r="109" ht="15.75" customHeight="1">
      <c r="G109" s="4"/>
      <c r="H109" s="4"/>
      <c r="I109" s="4"/>
    </row>
    <row r="110" ht="15.75" customHeight="1">
      <c r="G110" s="4"/>
      <c r="H110" s="4"/>
      <c r="I110" s="4"/>
    </row>
    <row r="111" ht="15.75" customHeight="1">
      <c r="G111" s="4"/>
      <c r="H111" s="4"/>
      <c r="I111" s="4"/>
    </row>
    <row r="112" ht="15.75" customHeight="1">
      <c r="G112" s="4"/>
      <c r="H112" s="4"/>
      <c r="I112" s="4"/>
    </row>
    <row r="113" ht="15.75" customHeight="1">
      <c r="G113" s="4"/>
      <c r="H113" s="4"/>
      <c r="I113" s="4"/>
    </row>
    <row r="114" ht="15.75" customHeight="1">
      <c r="G114" s="4"/>
      <c r="H114" s="4"/>
      <c r="I114" s="4"/>
    </row>
    <row r="115" ht="15.75" customHeight="1">
      <c r="G115" s="4"/>
      <c r="H115" s="4"/>
      <c r="I115" s="4"/>
    </row>
    <row r="116" ht="15.75" customHeight="1">
      <c r="G116" s="4"/>
      <c r="H116" s="4"/>
      <c r="I116" s="4"/>
    </row>
    <row r="117" ht="15.75" customHeight="1">
      <c r="G117" s="4"/>
      <c r="H117" s="4"/>
      <c r="I117" s="4"/>
    </row>
    <row r="118" ht="15.75" customHeight="1">
      <c r="G118" s="4"/>
      <c r="H118" s="4"/>
      <c r="I118" s="4"/>
    </row>
    <row r="119" ht="15.75" customHeight="1">
      <c r="G119" s="4"/>
      <c r="H119" s="4"/>
      <c r="I119" s="4"/>
    </row>
    <row r="120" ht="15.75" customHeight="1">
      <c r="G120" s="4"/>
      <c r="H120" s="4"/>
      <c r="I120" s="4"/>
    </row>
    <row r="121" ht="15.75" customHeight="1">
      <c r="G121" s="4"/>
      <c r="H121" s="4"/>
      <c r="I121" s="4"/>
    </row>
    <row r="122" ht="15.75" customHeight="1">
      <c r="G122" s="4"/>
      <c r="H122" s="4"/>
      <c r="I122" s="4"/>
    </row>
    <row r="123" ht="15.75" customHeight="1">
      <c r="G123" s="4"/>
      <c r="H123" s="4"/>
      <c r="I123" s="4"/>
    </row>
    <row r="124" ht="15.75" customHeight="1">
      <c r="G124" s="4"/>
      <c r="H124" s="4"/>
      <c r="I124" s="4"/>
    </row>
    <row r="125" ht="15.75" customHeight="1">
      <c r="G125" s="4"/>
      <c r="H125" s="4"/>
      <c r="I125" s="4"/>
    </row>
    <row r="126" ht="15.75" customHeight="1">
      <c r="G126" s="4"/>
      <c r="H126" s="4"/>
      <c r="I126" s="4"/>
    </row>
    <row r="127" ht="15.75" customHeight="1">
      <c r="G127" s="4"/>
      <c r="H127" s="4"/>
      <c r="I127" s="4"/>
    </row>
    <row r="128" ht="15.75" customHeight="1">
      <c r="G128" s="4"/>
      <c r="H128" s="4"/>
      <c r="I128" s="4"/>
    </row>
    <row r="129" ht="15.75" customHeight="1">
      <c r="G129" s="4"/>
      <c r="H129" s="4"/>
      <c r="I129" s="4"/>
    </row>
    <row r="130" ht="15.75" customHeight="1">
      <c r="G130" s="4"/>
      <c r="H130" s="4"/>
      <c r="I130" s="4"/>
    </row>
    <row r="131" ht="15.75" customHeight="1">
      <c r="G131" s="4"/>
      <c r="H131" s="4"/>
      <c r="I131" s="4"/>
    </row>
    <row r="132" ht="15.75" customHeight="1">
      <c r="G132" s="4"/>
      <c r="H132" s="4"/>
      <c r="I132" s="4"/>
    </row>
    <row r="133" ht="15.75" customHeight="1">
      <c r="G133" s="4"/>
      <c r="H133" s="4"/>
      <c r="I133" s="4"/>
    </row>
    <row r="134" ht="15.75" customHeight="1">
      <c r="G134" s="4"/>
      <c r="H134" s="4"/>
      <c r="I134" s="4"/>
    </row>
    <row r="135" ht="15.75" customHeight="1">
      <c r="G135" s="4"/>
      <c r="H135" s="4"/>
      <c r="I135" s="4"/>
    </row>
    <row r="136" ht="15.75" customHeight="1">
      <c r="G136" s="4"/>
      <c r="H136" s="4"/>
      <c r="I136" s="4"/>
    </row>
    <row r="137" ht="15.75" customHeight="1">
      <c r="G137" s="4"/>
      <c r="H137" s="4"/>
      <c r="I137" s="4"/>
    </row>
    <row r="138" ht="15.75" customHeight="1">
      <c r="G138" s="4"/>
      <c r="H138" s="4"/>
      <c r="I138" s="4"/>
    </row>
    <row r="139" ht="15.75" customHeight="1">
      <c r="G139" s="4"/>
      <c r="H139" s="4"/>
      <c r="I139" s="4"/>
    </row>
    <row r="140" ht="15.75" customHeight="1">
      <c r="G140" s="4"/>
      <c r="H140" s="4"/>
      <c r="I140" s="4"/>
    </row>
    <row r="141" ht="15.75" customHeight="1">
      <c r="G141" s="4"/>
      <c r="H141" s="4"/>
      <c r="I141" s="4"/>
    </row>
    <row r="142" ht="15.75" customHeight="1">
      <c r="G142" s="4"/>
      <c r="H142" s="4"/>
      <c r="I142" s="4"/>
    </row>
    <row r="143" ht="15.75" customHeight="1">
      <c r="G143" s="4"/>
      <c r="H143" s="4"/>
      <c r="I143" s="4"/>
    </row>
    <row r="144" ht="15.75" customHeight="1">
      <c r="G144" s="4"/>
      <c r="H144" s="4"/>
      <c r="I144" s="4"/>
    </row>
    <row r="145" ht="15.75" customHeight="1">
      <c r="G145" s="4"/>
      <c r="H145" s="4"/>
      <c r="I145" s="4"/>
    </row>
    <row r="146" ht="15.75" customHeight="1">
      <c r="G146" s="4"/>
      <c r="H146" s="4"/>
      <c r="I146" s="4"/>
    </row>
    <row r="147" ht="15.75" customHeight="1">
      <c r="G147" s="4"/>
      <c r="H147" s="4"/>
      <c r="I147" s="4"/>
    </row>
    <row r="148" ht="15.75" customHeight="1">
      <c r="G148" s="4"/>
      <c r="H148" s="4"/>
      <c r="I148" s="4"/>
    </row>
    <row r="149" ht="15.75" customHeight="1">
      <c r="G149" s="4"/>
      <c r="H149" s="4"/>
      <c r="I149" s="4"/>
    </row>
    <row r="150" ht="15.75" customHeight="1">
      <c r="G150" s="4"/>
      <c r="H150" s="4"/>
      <c r="I150" s="4"/>
    </row>
    <row r="151" ht="15.75" customHeight="1">
      <c r="G151" s="4"/>
      <c r="H151" s="4"/>
      <c r="I151" s="4"/>
    </row>
    <row r="152" ht="15.75" customHeight="1">
      <c r="G152" s="4"/>
      <c r="H152" s="4"/>
      <c r="I152" s="4"/>
    </row>
    <row r="153" ht="15.75" customHeight="1">
      <c r="G153" s="4"/>
      <c r="H153" s="4"/>
      <c r="I153" s="4"/>
    </row>
    <row r="154" ht="15.75" customHeight="1">
      <c r="G154" s="4"/>
      <c r="H154" s="4"/>
      <c r="I154" s="4"/>
    </row>
    <row r="155" ht="15.75" customHeight="1">
      <c r="G155" s="4"/>
      <c r="H155" s="4"/>
      <c r="I155" s="4"/>
    </row>
    <row r="156" ht="15.75" customHeight="1">
      <c r="G156" s="4"/>
      <c r="H156" s="4"/>
      <c r="I156" s="4"/>
    </row>
    <row r="157" ht="15.75" customHeight="1">
      <c r="G157" s="4"/>
      <c r="H157" s="4"/>
      <c r="I157" s="4"/>
    </row>
    <row r="158" ht="15.75" customHeight="1">
      <c r="G158" s="4"/>
      <c r="H158" s="4"/>
      <c r="I158" s="4"/>
    </row>
    <row r="159" ht="15.75" customHeight="1">
      <c r="G159" s="4"/>
      <c r="H159" s="4"/>
      <c r="I159" s="4"/>
    </row>
    <row r="160" ht="15.75" customHeight="1">
      <c r="G160" s="4"/>
      <c r="H160" s="4"/>
      <c r="I160" s="4"/>
    </row>
    <row r="161" ht="15.75" customHeight="1">
      <c r="G161" s="4"/>
      <c r="H161" s="4"/>
      <c r="I161" s="4"/>
    </row>
    <row r="162" ht="15.75" customHeight="1">
      <c r="G162" s="4"/>
      <c r="H162" s="4"/>
      <c r="I162" s="4"/>
    </row>
    <row r="163" ht="15.75" customHeight="1">
      <c r="G163" s="4"/>
      <c r="H163" s="4"/>
      <c r="I163" s="4"/>
    </row>
    <row r="164" ht="15.75" customHeight="1">
      <c r="G164" s="4"/>
      <c r="H164" s="4"/>
      <c r="I164" s="4"/>
    </row>
    <row r="165" ht="15.75" customHeight="1">
      <c r="G165" s="4"/>
      <c r="H165" s="4"/>
      <c r="I165" s="4"/>
    </row>
    <row r="166" ht="15.75" customHeight="1">
      <c r="G166" s="4"/>
      <c r="H166" s="4"/>
      <c r="I166" s="4"/>
    </row>
    <row r="167" ht="15.75" customHeight="1">
      <c r="G167" s="4"/>
      <c r="H167" s="4"/>
      <c r="I167" s="4"/>
    </row>
    <row r="168" ht="15.75" customHeight="1">
      <c r="G168" s="4"/>
      <c r="H168" s="4"/>
      <c r="I168" s="4"/>
    </row>
    <row r="169" ht="15.75" customHeight="1">
      <c r="G169" s="4"/>
      <c r="H169" s="4"/>
      <c r="I169" s="4"/>
    </row>
    <row r="170" ht="15.75" customHeight="1">
      <c r="G170" s="4"/>
      <c r="H170" s="4"/>
      <c r="I170" s="4"/>
    </row>
    <row r="171" ht="15.75" customHeight="1">
      <c r="G171" s="4"/>
      <c r="H171" s="4"/>
      <c r="I171" s="4"/>
    </row>
    <row r="172" ht="15.75" customHeight="1">
      <c r="G172" s="4"/>
      <c r="H172" s="4"/>
      <c r="I172" s="4"/>
    </row>
    <row r="173" ht="15.75" customHeight="1">
      <c r="G173" s="4"/>
      <c r="H173" s="4"/>
      <c r="I173" s="4"/>
    </row>
    <row r="174" ht="15.75" customHeight="1">
      <c r="G174" s="4"/>
      <c r="H174" s="4"/>
      <c r="I174" s="4"/>
    </row>
    <row r="175" ht="15.75" customHeight="1">
      <c r="G175" s="4"/>
      <c r="H175" s="4"/>
      <c r="I175" s="4"/>
    </row>
    <row r="176" ht="15.75" customHeight="1">
      <c r="G176" s="4"/>
      <c r="H176" s="4"/>
      <c r="I176" s="4"/>
    </row>
    <row r="177" ht="15.75" customHeight="1">
      <c r="G177" s="4"/>
      <c r="H177" s="4"/>
      <c r="I177" s="4"/>
    </row>
    <row r="178" ht="15.75" customHeight="1">
      <c r="G178" s="4"/>
      <c r="H178" s="4"/>
      <c r="I178" s="4"/>
    </row>
    <row r="179" ht="15.75" customHeight="1">
      <c r="G179" s="4"/>
      <c r="H179" s="4"/>
      <c r="I179" s="4"/>
    </row>
    <row r="180" ht="15.75" customHeight="1">
      <c r="G180" s="4"/>
      <c r="H180" s="4"/>
      <c r="I180" s="4"/>
    </row>
    <row r="181" ht="15.75" customHeight="1">
      <c r="G181" s="4"/>
      <c r="H181" s="4"/>
      <c r="I181" s="4"/>
    </row>
    <row r="182" ht="15.75" customHeight="1">
      <c r="G182" s="4"/>
      <c r="H182" s="4"/>
      <c r="I182" s="4"/>
    </row>
    <row r="183" ht="15.75" customHeight="1">
      <c r="G183" s="4"/>
      <c r="H183" s="4"/>
      <c r="I183" s="4"/>
    </row>
    <row r="184" ht="15.75" customHeight="1">
      <c r="G184" s="4"/>
      <c r="H184" s="4"/>
      <c r="I184" s="4"/>
    </row>
    <row r="185" ht="15.75" customHeight="1">
      <c r="G185" s="4"/>
      <c r="H185" s="4"/>
      <c r="I185" s="4"/>
    </row>
    <row r="186" ht="15.75" customHeight="1">
      <c r="G186" s="4"/>
      <c r="H186" s="4"/>
      <c r="I186" s="4"/>
    </row>
    <row r="187" ht="15.75" customHeight="1">
      <c r="G187" s="4"/>
      <c r="H187" s="4"/>
      <c r="I187" s="4"/>
    </row>
    <row r="188" ht="15.75" customHeight="1">
      <c r="G188" s="4"/>
      <c r="H188" s="4"/>
      <c r="I188" s="4"/>
    </row>
    <row r="189" ht="15.75" customHeight="1">
      <c r="G189" s="4"/>
      <c r="H189" s="4"/>
      <c r="I189" s="4"/>
    </row>
    <row r="190" ht="15.75" customHeight="1">
      <c r="G190" s="4"/>
      <c r="H190" s="4"/>
      <c r="I190" s="4"/>
    </row>
    <row r="191" ht="15.75" customHeight="1">
      <c r="G191" s="4"/>
      <c r="H191" s="4"/>
      <c r="I191" s="4"/>
    </row>
    <row r="192" ht="15.75" customHeight="1">
      <c r="G192" s="4"/>
      <c r="H192" s="4"/>
      <c r="I192" s="4"/>
    </row>
    <row r="193" ht="15.75" customHeight="1">
      <c r="G193" s="4"/>
      <c r="H193" s="4"/>
      <c r="I193" s="4"/>
    </row>
    <row r="194" ht="15.75" customHeight="1">
      <c r="G194" s="4"/>
      <c r="H194" s="4"/>
      <c r="I194" s="4"/>
    </row>
    <row r="195" ht="15.75" customHeight="1">
      <c r="G195" s="4"/>
      <c r="H195" s="4"/>
      <c r="I195" s="4"/>
    </row>
    <row r="196" ht="15.75" customHeight="1">
      <c r="G196" s="4"/>
      <c r="H196" s="4"/>
      <c r="I196" s="4"/>
    </row>
    <row r="197" ht="15.75" customHeight="1">
      <c r="G197" s="4"/>
      <c r="H197" s="4"/>
      <c r="I197" s="4"/>
    </row>
    <row r="198" ht="15.75" customHeight="1">
      <c r="G198" s="4"/>
      <c r="H198" s="4"/>
      <c r="I198" s="4"/>
    </row>
    <row r="199" ht="15.75" customHeight="1">
      <c r="G199" s="4"/>
      <c r="H199" s="4"/>
      <c r="I199" s="4"/>
    </row>
    <row r="200" ht="15.75" customHeight="1">
      <c r="G200" s="4"/>
      <c r="H200" s="4"/>
      <c r="I200" s="4"/>
    </row>
    <row r="201" ht="15.75" customHeight="1">
      <c r="G201" s="4"/>
      <c r="H201" s="4"/>
      <c r="I201" s="4"/>
    </row>
    <row r="202" ht="15.75" customHeight="1">
      <c r="G202" s="4"/>
      <c r="H202" s="4"/>
      <c r="I202" s="4"/>
    </row>
    <row r="203" ht="15.75" customHeight="1">
      <c r="G203" s="4"/>
      <c r="H203" s="4"/>
      <c r="I203" s="4"/>
    </row>
    <row r="204" ht="15.75" customHeight="1">
      <c r="G204" s="4"/>
      <c r="H204" s="4"/>
      <c r="I204" s="4"/>
    </row>
    <row r="205" ht="15.75" customHeight="1">
      <c r="G205" s="4"/>
      <c r="H205" s="4"/>
      <c r="I205" s="4"/>
    </row>
    <row r="206" ht="15.75" customHeight="1">
      <c r="G206" s="4"/>
      <c r="H206" s="4"/>
      <c r="I206" s="4"/>
    </row>
    <row r="207" ht="15.75" customHeight="1">
      <c r="G207" s="4"/>
      <c r="H207" s="4"/>
      <c r="I207" s="4"/>
    </row>
    <row r="208" ht="15.75" customHeight="1">
      <c r="G208" s="4"/>
      <c r="H208" s="4"/>
      <c r="I208" s="4"/>
    </row>
    <row r="209" ht="15.75" customHeight="1">
      <c r="G209" s="4"/>
      <c r="H209" s="4"/>
      <c r="I209" s="4"/>
    </row>
    <row r="210" ht="15.75" customHeight="1">
      <c r="G210" s="4"/>
      <c r="H210" s="4"/>
      <c r="I210" s="4"/>
    </row>
    <row r="211" ht="15.75" customHeight="1">
      <c r="G211" s="4"/>
      <c r="H211" s="4"/>
      <c r="I211" s="4"/>
    </row>
    <row r="212" ht="15.75" customHeight="1">
      <c r="G212" s="4"/>
      <c r="H212" s="4"/>
      <c r="I212" s="4"/>
    </row>
    <row r="213" ht="15.75" customHeight="1">
      <c r="G213" s="4"/>
      <c r="H213" s="4"/>
      <c r="I213" s="4"/>
    </row>
    <row r="214" ht="15.75" customHeight="1">
      <c r="G214" s="4"/>
      <c r="H214" s="4"/>
      <c r="I214" s="4"/>
    </row>
    <row r="215" ht="15.75" customHeight="1">
      <c r="G215" s="4"/>
      <c r="H215" s="4"/>
      <c r="I215" s="4"/>
    </row>
    <row r="216" ht="15.75" customHeight="1">
      <c r="G216" s="4"/>
      <c r="H216" s="4"/>
      <c r="I216" s="4"/>
    </row>
    <row r="217" ht="15.75" customHeight="1">
      <c r="G217" s="4"/>
      <c r="H217" s="4"/>
      <c r="I217" s="4"/>
    </row>
    <row r="218" ht="15.75" customHeight="1">
      <c r="G218" s="4"/>
      <c r="H218" s="4"/>
      <c r="I218" s="4"/>
    </row>
    <row r="219" ht="15.75" customHeight="1">
      <c r="G219" s="4"/>
      <c r="H219" s="4"/>
      <c r="I219" s="4"/>
    </row>
    <row r="220" ht="15.75" customHeight="1">
      <c r="G220" s="4"/>
      <c r="H220" s="4"/>
      <c r="I220" s="4"/>
    </row>
    <row r="221" ht="15.75" customHeight="1">
      <c r="G221" s="4"/>
      <c r="H221" s="4"/>
      <c r="I221" s="4"/>
    </row>
    <row r="222" ht="15.75" customHeight="1">
      <c r="G222" s="4"/>
      <c r="H222" s="4"/>
      <c r="I222" s="4"/>
    </row>
    <row r="223" ht="15.75" customHeight="1">
      <c r="G223" s="4"/>
      <c r="H223" s="4"/>
      <c r="I223" s="4"/>
    </row>
    <row r="224" ht="15.75" customHeight="1">
      <c r="G224" s="4"/>
      <c r="H224" s="4"/>
      <c r="I224" s="4"/>
    </row>
    <row r="225" ht="15.75" customHeight="1">
      <c r="G225" s="4"/>
      <c r="H225" s="4"/>
      <c r="I225" s="4"/>
    </row>
    <row r="226" ht="15.75" customHeight="1">
      <c r="G226" s="4"/>
      <c r="H226" s="4"/>
      <c r="I226" s="4"/>
    </row>
    <row r="227" ht="15.75" customHeight="1">
      <c r="G227" s="4"/>
      <c r="H227" s="4"/>
      <c r="I227" s="4"/>
    </row>
    <row r="228" ht="15.75" customHeight="1">
      <c r="G228" s="4"/>
      <c r="H228" s="4"/>
      <c r="I228" s="4"/>
    </row>
    <row r="229" ht="15.75" customHeight="1">
      <c r="G229" s="4"/>
      <c r="H229" s="4"/>
      <c r="I229" s="4"/>
    </row>
    <row r="230" ht="15.75" customHeight="1">
      <c r="G230" s="4"/>
      <c r="H230" s="4"/>
      <c r="I230" s="4"/>
    </row>
    <row r="231" ht="15.75" customHeight="1">
      <c r="G231" s="4"/>
      <c r="H231" s="4"/>
      <c r="I231" s="4"/>
    </row>
    <row r="232" ht="15.75" customHeight="1">
      <c r="G232" s="4"/>
      <c r="H232" s="4"/>
      <c r="I232" s="4"/>
    </row>
    <row r="233" ht="15.75" customHeight="1">
      <c r="G233" s="4"/>
      <c r="H233" s="4"/>
      <c r="I233" s="4"/>
    </row>
    <row r="234" ht="15.75" customHeight="1">
      <c r="G234" s="4"/>
      <c r="H234" s="4"/>
      <c r="I234" s="4"/>
    </row>
    <row r="235" ht="15.75" customHeight="1">
      <c r="G235" s="4"/>
      <c r="H235" s="4"/>
      <c r="I235" s="4"/>
    </row>
    <row r="236" ht="15.75" customHeight="1">
      <c r="G236" s="4"/>
      <c r="H236" s="4"/>
      <c r="I236" s="4"/>
    </row>
    <row r="237" ht="15.75" customHeight="1">
      <c r="G237" s="4"/>
      <c r="H237" s="4"/>
      <c r="I237" s="4"/>
    </row>
    <row r="238" ht="15.75" customHeight="1">
      <c r="G238" s="4"/>
      <c r="H238" s="4"/>
      <c r="I238" s="4"/>
    </row>
    <row r="239" ht="15.75" customHeight="1">
      <c r="G239" s="4"/>
      <c r="H239" s="4"/>
      <c r="I239" s="4"/>
    </row>
    <row r="240" ht="15.75" customHeight="1">
      <c r="G240" s="4"/>
      <c r="H240" s="4"/>
      <c r="I240" s="4"/>
    </row>
    <row r="241" ht="15.75" customHeight="1">
      <c r="G241" s="4"/>
      <c r="H241" s="4"/>
      <c r="I241" s="4"/>
    </row>
    <row r="242" ht="15.75" customHeight="1">
      <c r="G242" s="4"/>
      <c r="H242" s="4"/>
      <c r="I242" s="4"/>
    </row>
    <row r="243" ht="15.75" customHeight="1">
      <c r="G243" s="4"/>
      <c r="H243" s="4"/>
      <c r="I243" s="4"/>
    </row>
    <row r="244" ht="15.75" customHeight="1">
      <c r="G244" s="4"/>
      <c r="H244" s="4"/>
      <c r="I244" s="4"/>
    </row>
    <row r="245" ht="15.75" customHeight="1">
      <c r="G245" s="4"/>
      <c r="H245" s="4"/>
      <c r="I245" s="4"/>
    </row>
    <row r="246" ht="15.75" customHeight="1">
      <c r="G246" s="4"/>
      <c r="H246" s="4"/>
      <c r="I246" s="4"/>
    </row>
    <row r="247" ht="15.75" customHeight="1">
      <c r="G247" s="4"/>
      <c r="H247" s="4"/>
      <c r="I247" s="4"/>
    </row>
    <row r="248" ht="15.75" customHeight="1">
      <c r="G248" s="4"/>
      <c r="H248" s="4"/>
      <c r="I248" s="4"/>
    </row>
    <row r="249" ht="15.75" customHeight="1">
      <c r="G249" s="4"/>
      <c r="H249" s="4"/>
      <c r="I249" s="4"/>
    </row>
    <row r="250" ht="15.75" customHeight="1">
      <c r="G250" s="4"/>
      <c r="H250" s="4"/>
      <c r="I250" s="4"/>
    </row>
    <row r="251" ht="15.75" customHeight="1">
      <c r="G251" s="4"/>
      <c r="H251" s="4"/>
      <c r="I251" s="4"/>
    </row>
    <row r="252" ht="15.75" customHeight="1">
      <c r="G252" s="4"/>
      <c r="H252" s="4"/>
      <c r="I252" s="4"/>
    </row>
    <row r="253" ht="15.75" customHeight="1">
      <c r="G253" s="4"/>
      <c r="H253" s="4"/>
      <c r="I253" s="4"/>
    </row>
    <row r="254" ht="15.75" customHeight="1">
      <c r="G254" s="4"/>
      <c r="H254" s="4"/>
      <c r="I254" s="4"/>
    </row>
    <row r="255" ht="15.75" customHeight="1">
      <c r="G255" s="4"/>
      <c r="H255" s="4"/>
      <c r="I255" s="4"/>
    </row>
    <row r="256" ht="15.75" customHeight="1">
      <c r="G256" s="4"/>
      <c r="H256" s="4"/>
      <c r="I256" s="4"/>
    </row>
    <row r="257" ht="15.75" customHeight="1">
      <c r="G257" s="4"/>
      <c r="H257" s="4"/>
      <c r="I257" s="4"/>
    </row>
    <row r="258" ht="15.75" customHeight="1">
      <c r="G258" s="4"/>
      <c r="H258" s="4"/>
      <c r="I258" s="4"/>
    </row>
    <row r="259" ht="15.75" customHeight="1">
      <c r="G259" s="4"/>
      <c r="H259" s="4"/>
      <c r="I259" s="4"/>
    </row>
    <row r="260" ht="15.75" customHeight="1">
      <c r="G260" s="4"/>
      <c r="H260" s="4"/>
      <c r="I260" s="4"/>
    </row>
    <row r="261" ht="15.75" customHeight="1">
      <c r="G261" s="4"/>
      <c r="H261" s="4"/>
      <c r="I261" s="4"/>
    </row>
    <row r="262" ht="15.75" customHeight="1">
      <c r="G262" s="4"/>
      <c r="H262" s="4"/>
      <c r="I262" s="4"/>
    </row>
    <row r="263" ht="15.75" customHeight="1">
      <c r="G263" s="4"/>
      <c r="H263" s="4"/>
      <c r="I263" s="4"/>
    </row>
    <row r="264" ht="15.75" customHeight="1">
      <c r="G264" s="4"/>
      <c r="H264" s="4"/>
      <c r="I264" s="4"/>
    </row>
    <row r="265" ht="15.75" customHeight="1">
      <c r="G265" s="4"/>
      <c r="H265" s="4"/>
      <c r="I265" s="4"/>
    </row>
    <row r="266" ht="15.75" customHeight="1">
      <c r="G266" s="4"/>
      <c r="H266" s="4"/>
      <c r="I266" s="4"/>
    </row>
    <row r="267" ht="15.75" customHeight="1">
      <c r="G267" s="4"/>
      <c r="H267" s="4"/>
      <c r="I267" s="4"/>
    </row>
    <row r="268" ht="15.75" customHeight="1">
      <c r="G268" s="4"/>
      <c r="H268" s="4"/>
      <c r="I268" s="4"/>
    </row>
    <row r="269" ht="15.75" customHeight="1">
      <c r="G269" s="4"/>
      <c r="H269" s="4"/>
      <c r="I269" s="4"/>
    </row>
    <row r="270" ht="15.75" customHeight="1">
      <c r="G270" s="4"/>
      <c r="H270" s="4"/>
      <c r="I270" s="4"/>
    </row>
    <row r="271" ht="15.75" customHeight="1">
      <c r="G271" s="4"/>
      <c r="H271" s="4"/>
      <c r="I271" s="4"/>
    </row>
    <row r="272" ht="15.75" customHeight="1">
      <c r="G272" s="4"/>
      <c r="H272" s="4"/>
      <c r="I272" s="4"/>
    </row>
    <row r="273" ht="15.75" customHeight="1">
      <c r="G273" s="4"/>
      <c r="H273" s="4"/>
      <c r="I273" s="4"/>
    </row>
    <row r="274" ht="15.75" customHeight="1">
      <c r="G274" s="4"/>
      <c r="H274" s="4"/>
      <c r="I274" s="4"/>
    </row>
    <row r="275" ht="15.75" customHeight="1">
      <c r="G275" s="4"/>
      <c r="H275" s="4"/>
      <c r="I275" s="4"/>
    </row>
    <row r="276" ht="15.75" customHeight="1">
      <c r="G276" s="4"/>
      <c r="H276" s="4"/>
      <c r="I276" s="4"/>
    </row>
    <row r="277" ht="15.75" customHeight="1">
      <c r="G277" s="4"/>
      <c r="H277" s="4"/>
      <c r="I277" s="4"/>
    </row>
    <row r="278" ht="15.75" customHeight="1">
      <c r="G278" s="4"/>
      <c r="H278" s="4"/>
      <c r="I278" s="4"/>
    </row>
    <row r="279" ht="15.75" customHeight="1">
      <c r="G279" s="4"/>
      <c r="H279" s="4"/>
      <c r="I279" s="4"/>
    </row>
    <row r="280" ht="15.75" customHeight="1">
      <c r="G280" s="4"/>
      <c r="H280" s="4"/>
      <c r="I280" s="4"/>
    </row>
    <row r="281" ht="15.75" customHeight="1">
      <c r="G281" s="4"/>
      <c r="H281" s="4"/>
      <c r="I281" s="4"/>
    </row>
    <row r="282" ht="15.75" customHeight="1">
      <c r="G282" s="4"/>
      <c r="H282" s="4"/>
      <c r="I282" s="4"/>
    </row>
    <row r="283" ht="15.75" customHeight="1">
      <c r="G283" s="4"/>
      <c r="H283" s="4"/>
      <c r="I283" s="4"/>
    </row>
    <row r="284" ht="15.75" customHeight="1">
      <c r="G284" s="4"/>
      <c r="H284" s="4"/>
      <c r="I284" s="4"/>
    </row>
    <row r="285" ht="15.75" customHeight="1">
      <c r="G285" s="4"/>
      <c r="H285" s="4"/>
      <c r="I285" s="4"/>
    </row>
    <row r="286" ht="15.75" customHeight="1">
      <c r="G286" s="4"/>
      <c r="H286" s="4"/>
      <c r="I286" s="4"/>
    </row>
    <row r="287" ht="15.75" customHeight="1">
      <c r="G287" s="4"/>
      <c r="H287" s="4"/>
      <c r="I287" s="4"/>
    </row>
    <row r="288" ht="15.75" customHeight="1">
      <c r="G288" s="4"/>
      <c r="H288" s="4"/>
      <c r="I288" s="4"/>
    </row>
    <row r="289" ht="15.75" customHeight="1">
      <c r="G289" s="4"/>
      <c r="H289" s="4"/>
      <c r="I289" s="4"/>
    </row>
    <row r="290" ht="15.75" customHeight="1">
      <c r="G290" s="4"/>
      <c r="H290" s="4"/>
      <c r="I290" s="4"/>
    </row>
    <row r="291" ht="15.75" customHeight="1">
      <c r="G291" s="4"/>
      <c r="H291" s="4"/>
      <c r="I291" s="4"/>
    </row>
    <row r="292" ht="15.75" customHeight="1">
      <c r="G292" s="4"/>
      <c r="H292" s="4"/>
      <c r="I292" s="4"/>
    </row>
    <row r="293" ht="15.75" customHeight="1">
      <c r="G293" s="4"/>
      <c r="H293" s="4"/>
      <c r="I293" s="4"/>
    </row>
    <row r="294" ht="15.75" customHeight="1">
      <c r="G294" s="4"/>
      <c r="H294" s="4"/>
      <c r="I294" s="4"/>
    </row>
    <row r="295" ht="15.75" customHeight="1">
      <c r="G295" s="4"/>
      <c r="H295" s="4"/>
      <c r="I295" s="4"/>
    </row>
    <row r="296" ht="15.75" customHeight="1">
      <c r="G296" s="4"/>
      <c r="H296" s="4"/>
      <c r="I296" s="4"/>
    </row>
    <row r="297" ht="15.75" customHeight="1">
      <c r="G297" s="4"/>
      <c r="H297" s="4"/>
      <c r="I297" s="4"/>
    </row>
    <row r="298" ht="15.75" customHeight="1">
      <c r="G298" s="4"/>
      <c r="H298" s="4"/>
      <c r="I298" s="4"/>
    </row>
    <row r="299" ht="15.75" customHeight="1">
      <c r="G299" s="4"/>
      <c r="H299" s="4"/>
      <c r="I299" s="4"/>
    </row>
    <row r="300" ht="15.75" customHeight="1">
      <c r="G300" s="4"/>
      <c r="H300" s="4"/>
      <c r="I300" s="4"/>
    </row>
    <row r="301" ht="15.75" customHeight="1">
      <c r="G301" s="4"/>
      <c r="H301" s="4"/>
      <c r="I301" s="4"/>
    </row>
    <row r="302" ht="15.75" customHeight="1">
      <c r="G302" s="4"/>
      <c r="H302" s="4"/>
      <c r="I302" s="4"/>
    </row>
    <row r="303" ht="15.75" customHeight="1">
      <c r="G303" s="4"/>
      <c r="H303" s="4"/>
      <c r="I303" s="4"/>
    </row>
    <row r="304" ht="15.75" customHeight="1">
      <c r="G304" s="4"/>
      <c r="H304" s="4"/>
      <c r="I304" s="4"/>
    </row>
    <row r="305" ht="15.75" customHeight="1">
      <c r="G305" s="4"/>
      <c r="H305" s="4"/>
      <c r="I305" s="4"/>
    </row>
    <row r="306" ht="15.75" customHeight="1">
      <c r="G306" s="4"/>
      <c r="H306" s="4"/>
      <c r="I306" s="4"/>
    </row>
    <row r="307" ht="15.75" customHeight="1">
      <c r="G307" s="4"/>
      <c r="H307" s="4"/>
      <c r="I307" s="4"/>
    </row>
    <row r="308" ht="15.75" customHeight="1">
      <c r="G308" s="4"/>
      <c r="H308" s="4"/>
      <c r="I308" s="4"/>
    </row>
    <row r="309" ht="15.75" customHeight="1">
      <c r="G309" s="4"/>
      <c r="H309" s="4"/>
      <c r="I309" s="4"/>
    </row>
    <row r="310" ht="15.75" customHeight="1">
      <c r="G310" s="4"/>
      <c r="H310" s="4"/>
      <c r="I310" s="4"/>
    </row>
    <row r="311" ht="15.75" customHeight="1">
      <c r="G311" s="4"/>
      <c r="H311" s="4"/>
      <c r="I311" s="4"/>
    </row>
    <row r="312" ht="15.75" customHeight="1">
      <c r="G312" s="4"/>
      <c r="H312" s="4"/>
      <c r="I312" s="4"/>
    </row>
    <row r="313" ht="15.75" customHeight="1">
      <c r="G313" s="4"/>
      <c r="H313" s="4"/>
      <c r="I313" s="4"/>
    </row>
    <row r="314" ht="15.75" customHeight="1">
      <c r="G314" s="4"/>
      <c r="H314" s="4"/>
      <c r="I314" s="4"/>
    </row>
    <row r="315" ht="15.75" customHeight="1">
      <c r="G315" s="4"/>
      <c r="H315" s="4"/>
      <c r="I315" s="4"/>
    </row>
    <row r="316" ht="15.75" customHeight="1">
      <c r="G316" s="4"/>
      <c r="H316" s="4"/>
      <c r="I316" s="4"/>
    </row>
    <row r="317" ht="15.75" customHeight="1">
      <c r="G317" s="4"/>
      <c r="H317" s="4"/>
      <c r="I317" s="4"/>
    </row>
    <row r="318" ht="15.75" customHeight="1">
      <c r="G318" s="4"/>
      <c r="H318" s="4"/>
      <c r="I318" s="4"/>
    </row>
    <row r="319" ht="15.75" customHeight="1">
      <c r="G319" s="4"/>
      <c r="H319" s="4"/>
      <c r="I319" s="4"/>
    </row>
    <row r="320" ht="15.75" customHeight="1">
      <c r="G320" s="4"/>
      <c r="H320" s="4"/>
      <c r="I320" s="4"/>
    </row>
    <row r="321" ht="15.75" customHeight="1">
      <c r="G321" s="4"/>
      <c r="H321" s="4"/>
      <c r="I321" s="4"/>
    </row>
    <row r="322" ht="15.75" customHeight="1">
      <c r="G322" s="4"/>
      <c r="H322" s="4"/>
      <c r="I322" s="4"/>
    </row>
    <row r="323" ht="15.75" customHeight="1">
      <c r="G323" s="4"/>
      <c r="H323" s="4"/>
      <c r="I323" s="4"/>
    </row>
    <row r="324" ht="15.75" customHeight="1">
      <c r="G324" s="4"/>
      <c r="H324" s="4"/>
      <c r="I324" s="4"/>
    </row>
    <row r="325" ht="15.75" customHeight="1">
      <c r="G325" s="4"/>
      <c r="H325" s="4"/>
      <c r="I325" s="4"/>
    </row>
    <row r="326" ht="15.75" customHeight="1">
      <c r="G326" s="4"/>
      <c r="H326" s="4"/>
      <c r="I326" s="4"/>
    </row>
    <row r="327" ht="15.75" customHeight="1">
      <c r="G327" s="4"/>
      <c r="H327" s="4"/>
      <c r="I327" s="4"/>
    </row>
    <row r="328" ht="15.75" customHeight="1">
      <c r="G328" s="4"/>
      <c r="H328" s="4"/>
      <c r="I328" s="4"/>
    </row>
    <row r="329" ht="15.75" customHeight="1">
      <c r="G329" s="4"/>
      <c r="H329" s="4"/>
      <c r="I329" s="4"/>
    </row>
    <row r="330" ht="15.75" customHeight="1">
      <c r="G330" s="4"/>
      <c r="H330" s="4"/>
      <c r="I330" s="4"/>
    </row>
    <row r="331" ht="15.75" customHeight="1">
      <c r="G331" s="4"/>
      <c r="H331" s="4"/>
      <c r="I331" s="4"/>
    </row>
    <row r="332" ht="15.75" customHeight="1">
      <c r="G332" s="4"/>
      <c r="H332" s="4"/>
      <c r="I332" s="4"/>
    </row>
    <row r="333" ht="15.75" customHeight="1">
      <c r="G333" s="4"/>
      <c r="H333" s="4"/>
      <c r="I333" s="4"/>
    </row>
    <row r="334" ht="15.75" customHeight="1">
      <c r="G334" s="4"/>
      <c r="H334" s="4"/>
      <c r="I334" s="4"/>
    </row>
    <row r="335" ht="15.75" customHeight="1">
      <c r="G335" s="4"/>
      <c r="H335" s="4"/>
      <c r="I335" s="4"/>
    </row>
    <row r="336" ht="15.75" customHeight="1">
      <c r="G336" s="4"/>
      <c r="H336" s="4"/>
      <c r="I336" s="4"/>
    </row>
    <row r="337" ht="15.75" customHeight="1">
      <c r="G337" s="4"/>
      <c r="H337" s="4"/>
      <c r="I337" s="4"/>
    </row>
    <row r="338" ht="15.75" customHeight="1">
      <c r="G338" s="4"/>
      <c r="H338" s="4"/>
      <c r="I338" s="4"/>
    </row>
    <row r="339" ht="15.75" customHeight="1">
      <c r="G339" s="4"/>
      <c r="H339" s="4"/>
      <c r="I339" s="4"/>
    </row>
    <row r="340" ht="15.75" customHeight="1">
      <c r="G340" s="4"/>
      <c r="H340" s="4"/>
      <c r="I340" s="4"/>
    </row>
    <row r="341" ht="15.75" customHeight="1">
      <c r="G341" s="4"/>
      <c r="H341" s="4"/>
      <c r="I341" s="4"/>
    </row>
    <row r="342" ht="15.75" customHeight="1">
      <c r="G342" s="4"/>
      <c r="H342" s="4"/>
      <c r="I342" s="4"/>
    </row>
    <row r="343" ht="15.75" customHeight="1">
      <c r="G343" s="4"/>
      <c r="H343" s="4"/>
      <c r="I343" s="4"/>
    </row>
    <row r="344" ht="15.75" customHeight="1">
      <c r="G344" s="4"/>
      <c r="H344" s="4"/>
      <c r="I344" s="4"/>
    </row>
    <row r="345" ht="15.75" customHeight="1">
      <c r="G345" s="4"/>
      <c r="H345" s="4"/>
      <c r="I345" s="4"/>
    </row>
    <row r="346" ht="15.75" customHeight="1">
      <c r="G346" s="4"/>
      <c r="H346" s="4"/>
      <c r="I346" s="4"/>
    </row>
    <row r="347" ht="15.75" customHeight="1">
      <c r="G347" s="4"/>
      <c r="H347" s="4"/>
      <c r="I347" s="4"/>
    </row>
    <row r="348" ht="15.75" customHeight="1">
      <c r="G348" s="4"/>
      <c r="H348" s="4"/>
      <c r="I348" s="4"/>
    </row>
    <row r="349" ht="15.75" customHeight="1">
      <c r="G349" s="4"/>
      <c r="H349" s="4"/>
      <c r="I349" s="4"/>
    </row>
    <row r="350" ht="15.75" customHeight="1">
      <c r="G350" s="4"/>
      <c r="H350" s="4"/>
      <c r="I350" s="4"/>
    </row>
    <row r="351" ht="15.75" customHeight="1">
      <c r="G351" s="4"/>
      <c r="H351" s="4"/>
      <c r="I351" s="4"/>
    </row>
    <row r="352" ht="15.75" customHeight="1">
      <c r="G352" s="4"/>
      <c r="H352" s="4"/>
      <c r="I352" s="4"/>
    </row>
    <row r="353" ht="15.75" customHeight="1">
      <c r="G353" s="4"/>
      <c r="H353" s="4"/>
      <c r="I353" s="4"/>
    </row>
    <row r="354" ht="15.75" customHeight="1">
      <c r="G354" s="4"/>
      <c r="H354" s="4"/>
      <c r="I354" s="4"/>
    </row>
    <row r="355" ht="15.75" customHeight="1">
      <c r="G355" s="4"/>
      <c r="H355" s="4"/>
      <c r="I355" s="4"/>
    </row>
    <row r="356" ht="15.75" customHeight="1">
      <c r="G356" s="4"/>
      <c r="H356" s="4"/>
      <c r="I356" s="4"/>
    </row>
    <row r="357" ht="15.75" customHeight="1">
      <c r="G357" s="4"/>
      <c r="H357" s="4"/>
      <c r="I357" s="4"/>
    </row>
    <row r="358" ht="15.75" customHeight="1">
      <c r="G358" s="4"/>
      <c r="H358" s="4"/>
      <c r="I358" s="4"/>
    </row>
    <row r="359" ht="15.75" customHeight="1">
      <c r="G359" s="4"/>
      <c r="H359" s="4"/>
      <c r="I359" s="4"/>
    </row>
    <row r="360" ht="15.75" customHeight="1">
      <c r="G360" s="4"/>
      <c r="H360" s="4"/>
      <c r="I360" s="4"/>
    </row>
    <row r="361" ht="15.75" customHeight="1">
      <c r="G361" s="4"/>
      <c r="H361" s="4"/>
      <c r="I361" s="4"/>
    </row>
    <row r="362" ht="15.75" customHeight="1">
      <c r="G362" s="4"/>
      <c r="H362" s="4"/>
      <c r="I362" s="4"/>
    </row>
    <row r="363" ht="15.75" customHeight="1">
      <c r="G363" s="4"/>
      <c r="H363" s="4"/>
      <c r="I363" s="4"/>
    </row>
    <row r="364" ht="15.75" customHeight="1">
      <c r="G364" s="4"/>
      <c r="H364" s="4"/>
      <c r="I364" s="4"/>
    </row>
    <row r="365" ht="15.75" customHeight="1">
      <c r="G365" s="4"/>
      <c r="H365" s="4"/>
      <c r="I365" s="4"/>
    </row>
    <row r="366" ht="15.75" customHeight="1">
      <c r="G366" s="4"/>
      <c r="H366" s="4"/>
      <c r="I366" s="4"/>
    </row>
    <row r="367" ht="15.75" customHeight="1">
      <c r="G367" s="4"/>
      <c r="H367" s="4"/>
      <c r="I367" s="4"/>
    </row>
    <row r="368" ht="15.75" customHeight="1">
      <c r="G368" s="4"/>
      <c r="H368" s="4"/>
      <c r="I368" s="4"/>
    </row>
    <row r="369" ht="15.75" customHeight="1">
      <c r="G369" s="4"/>
      <c r="H369" s="4"/>
      <c r="I369" s="4"/>
    </row>
    <row r="370" ht="15.75" customHeight="1">
      <c r="G370" s="4"/>
      <c r="H370" s="4"/>
      <c r="I370" s="4"/>
    </row>
    <row r="371" ht="15.75" customHeight="1">
      <c r="G371" s="4"/>
      <c r="H371" s="4"/>
      <c r="I371" s="4"/>
    </row>
    <row r="372" ht="15.75" customHeight="1">
      <c r="G372" s="4"/>
      <c r="H372" s="4"/>
      <c r="I372" s="4"/>
    </row>
    <row r="373" ht="15.75" customHeight="1">
      <c r="G373" s="4"/>
      <c r="H373" s="4"/>
      <c r="I373" s="4"/>
    </row>
    <row r="374" ht="15.75" customHeight="1">
      <c r="G374" s="4"/>
      <c r="H374" s="4"/>
      <c r="I374" s="4"/>
    </row>
    <row r="375" ht="15.75" customHeight="1">
      <c r="G375" s="4"/>
      <c r="H375" s="4"/>
      <c r="I375" s="4"/>
    </row>
    <row r="376" ht="15.75" customHeight="1">
      <c r="G376" s="4"/>
      <c r="H376" s="4"/>
      <c r="I376" s="4"/>
    </row>
    <row r="377" ht="15.75" customHeight="1">
      <c r="G377" s="4"/>
      <c r="H377" s="4"/>
      <c r="I377" s="4"/>
    </row>
    <row r="378" ht="15.75" customHeight="1">
      <c r="G378" s="4"/>
      <c r="H378" s="4"/>
      <c r="I378" s="4"/>
    </row>
    <row r="379" ht="15.75" customHeight="1">
      <c r="G379" s="4"/>
      <c r="H379" s="4"/>
      <c r="I379" s="4"/>
    </row>
    <row r="380" ht="15.75" customHeight="1">
      <c r="G380" s="4"/>
      <c r="H380" s="4"/>
      <c r="I380" s="4"/>
    </row>
    <row r="381" ht="15.75" customHeight="1">
      <c r="G381" s="4"/>
      <c r="H381" s="4"/>
      <c r="I381" s="4"/>
    </row>
    <row r="382" ht="15.75" customHeight="1">
      <c r="G382" s="4"/>
      <c r="H382" s="4"/>
      <c r="I382" s="4"/>
    </row>
    <row r="383" ht="15.75" customHeight="1">
      <c r="G383" s="4"/>
      <c r="H383" s="4"/>
      <c r="I383" s="4"/>
    </row>
    <row r="384" ht="15.75" customHeight="1">
      <c r="G384" s="4"/>
      <c r="H384" s="4"/>
      <c r="I384" s="4"/>
    </row>
    <row r="385" ht="15.75" customHeight="1">
      <c r="G385" s="4"/>
      <c r="H385" s="4"/>
      <c r="I385" s="4"/>
    </row>
    <row r="386" ht="15.75" customHeight="1">
      <c r="G386" s="4"/>
      <c r="H386" s="4"/>
      <c r="I386" s="4"/>
    </row>
    <row r="387" ht="15.75" customHeight="1">
      <c r="G387" s="4"/>
      <c r="H387" s="4"/>
      <c r="I387" s="4"/>
    </row>
    <row r="388" ht="15.75" customHeight="1">
      <c r="G388" s="4"/>
      <c r="H388" s="4"/>
      <c r="I388" s="4"/>
    </row>
    <row r="389" ht="15.75" customHeight="1">
      <c r="G389" s="4"/>
      <c r="H389" s="4"/>
      <c r="I389" s="4"/>
    </row>
    <row r="390" ht="15.75" customHeight="1">
      <c r="G390" s="4"/>
      <c r="H390" s="4"/>
      <c r="I390" s="4"/>
    </row>
    <row r="391" ht="15.75" customHeight="1">
      <c r="G391" s="4"/>
      <c r="H391" s="4"/>
      <c r="I391" s="4"/>
    </row>
    <row r="392" ht="15.75" customHeight="1">
      <c r="G392" s="4"/>
      <c r="H392" s="4"/>
      <c r="I392" s="4"/>
    </row>
    <row r="393" ht="15.75" customHeight="1">
      <c r="G393" s="4"/>
      <c r="H393" s="4"/>
      <c r="I393" s="4"/>
    </row>
    <row r="394" ht="15.75" customHeight="1">
      <c r="G394" s="4"/>
      <c r="H394" s="4"/>
      <c r="I394" s="4"/>
    </row>
    <row r="395" ht="15.75" customHeight="1">
      <c r="G395" s="4"/>
      <c r="H395" s="4"/>
      <c r="I395" s="4"/>
    </row>
    <row r="396" ht="15.75" customHeight="1">
      <c r="G396" s="4"/>
      <c r="H396" s="4"/>
      <c r="I396" s="4"/>
    </row>
    <row r="397" ht="15.75" customHeight="1">
      <c r="G397" s="4"/>
      <c r="H397" s="4"/>
      <c r="I397" s="4"/>
    </row>
    <row r="398" ht="15.75" customHeight="1">
      <c r="G398" s="4"/>
      <c r="H398" s="4"/>
      <c r="I398" s="4"/>
    </row>
    <row r="399" ht="15.75" customHeight="1">
      <c r="G399" s="4"/>
      <c r="H399" s="4"/>
      <c r="I399" s="4"/>
    </row>
    <row r="400" ht="15.75" customHeight="1">
      <c r="G400" s="4"/>
      <c r="H400" s="4"/>
      <c r="I400" s="4"/>
    </row>
    <row r="401" ht="15.75" customHeight="1">
      <c r="G401" s="4"/>
      <c r="H401" s="4"/>
      <c r="I401" s="4"/>
    </row>
    <row r="402" ht="15.75" customHeight="1">
      <c r="G402" s="4"/>
      <c r="H402" s="4"/>
      <c r="I402" s="4"/>
    </row>
    <row r="403" ht="15.75" customHeight="1">
      <c r="G403" s="4"/>
      <c r="H403" s="4"/>
      <c r="I403" s="4"/>
    </row>
    <row r="404" ht="15.75" customHeight="1">
      <c r="G404" s="4"/>
      <c r="H404" s="4"/>
      <c r="I404" s="4"/>
    </row>
    <row r="405" ht="15.75" customHeight="1">
      <c r="G405" s="4"/>
      <c r="H405" s="4"/>
      <c r="I405" s="4"/>
    </row>
    <row r="406" ht="15.75" customHeight="1">
      <c r="G406" s="4"/>
      <c r="H406" s="4"/>
      <c r="I406" s="4"/>
    </row>
    <row r="407" ht="15.75" customHeight="1">
      <c r="G407" s="4"/>
      <c r="H407" s="4"/>
      <c r="I407" s="4"/>
    </row>
    <row r="408" ht="15.75" customHeight="1">
      <c r="G408" s="4"/>
      <c r="H408" s="4"/>
      <c r="I408" s="4"/>
    </row>
    <row r="409" ht="15.75" customHeight="1">
      <c r="G409" s="4"/>
      <c r="H409" s="4"/>
      <c r="I409" s="4"/>
    </row>
    <row r="410" ht="15.75" customHeight="1">
      <c r="G410" s="4"/>
      <c r="H410" s="4"/>
      <c r="I410" s="4"/>
    </row>
    <row r="411" ht="15.75" customHeight="1">
      <c r="G411" s="4"/>
      <c r="H411" s="4"/>
      <c r="I411" s="4"/>
    </row>
    <row r="412" ht="15.75" customHeight="1">
      <c r="G412" s="4"/>
      <c r="H412" s="4"/>
      <c r="I412" s="4"/>
    </row>
    <row r="413" ht="15.75" customHeight="1">
      <c r="G413" s="4"/>
      <c r="H413" s="4"/>
      <c r="I413" s="4"/>
    </row>
    <row r="414" ht="15.75" customHeight="1">
      <c r="G414" s="4"/>
      <c r="H414" s="4"/>
      <c r="I414" s="4"/>
    </row>
    <row r="415" ht="15.75" customHeight="1">
      <c r="G415" s="4"/>
      <c r="H415" s="4"/>
      <c r="I415" s="4"/>
    </row>
    <row r="416" ht="15.75" customHeight="1">
      <c r="G416" s="4"/>
      <c r="H416" s="4"/>
      <c r="I416" s="4"/>
    </row>
    <row r="417" ht="15.75" customHeight="1">
      <c r="G417" s="4"/>
      <c r="H417" s="4"/>
      <c r="I417" s="4"/>
    </row>
    <row r="418" ht="15.75" customHeight="1">
      <c r="G418" s="4"/>
      <c r="H418" s="4"/>
      <c r="I418" s="4"/>
    </row>
    <row r="419" ht="15.75" customHeight="1">
      <c r="G419" s="4"/>
      <c r="H419" s="4"/>
      <c r="I419" s="4"/>
    </row>
    <row r="420" ht="15.75" customHeight="1">
      <c r="G420" s="4"/>
      <c r="H420" s="4"/>
      <c r="I420" s="4"/>
    </row>
    <row r="421" ht="15.75" customHeight="1">
      <c r="G421" s="4"/>
      <c r="H421" s="4"/>
      <c r="I421" s="4"/>
    </row>
    <row r="422" ht="15.75" customHeight="1">
      <c r="G422" s="4"/>
      <c r="H422" s="4"/>
      <c r="I422" s="4"/>
    </row>
    <row r="423" ht="15.75" customHeight="1">
      <c r="G423" s="4"/>
      <c r="H423" s="4"/>
      <c r="I423" s="4"/>
    </row>
    <row r="424" ht="15.75" customHeight="1">
      <c r="G424" s="4"/>
      <c r="H424" s="4"/>
      <c r="I424" s="4"/>
    </row>
    <row r="425" ht="15.75" customHeight="1">
      <c r="G425" s="4"/>
      <c r="H425" s="4"/>
      <c r="I425" s="4"/>
    </row>
    <row r="426" ht="15.75" customHeight="1">
      <c r="G426" s="4"/>
      <c r="H426" s="4"/>
      <c r="I426" s="4"/>
    </row>
    <row r="427" ht="15.75" customHeight="1">
      <c r="G427" s="4"/>
      <c r="H427" s="4"/>
      <c r="I427" s="4"/>
    </row>
    <row r="428" ht="15.75" customHeight="1">
      <c r="G428" s="4"/>
      <c r="H428" s="4"/>
      <c r="I428" s="4"/>
    </row>
    <row r="429" ht="15.75" customHeight="1">
      <c r="G429" s="4"/>
      <c r="H429" s="4"/>
      <c r="I429" s="4"/>
    </row>
    <row r="430" ht="15.75" customHeight="1">
      <c r="G430" s="4"/>
      <c r="H430" s="4"/>
      <c r="I430" s="4"/>
    </row>
    <row r="431" ht="15.75" customHeight="1">
      <c r="G431" s="4"/>
      <c r="H431" s="4"/>
      <c r="I431" s="4"/>
    </row>
    <row r="432" ht="15.75" customHeight="1">
      <c r="G432" s="4"/>
      <c r="H432" s="4"/>
      <c r="I432" s="4"/>
    </row>
    <row r="433" ht="15.75" customHeight="1">
      <c r="G433" s="4"/>
      <c r="H433" s="4"/>
      <c r="I433" s="4"/>
    </row>
    <row r="434" ht="15.75" customHeight="1">
      <c r="G434" s="4"/>
      <c r="H434" s="4"/>
      <c r="I434" s="4"/>
    </row>
    <row r="435" ht="15.75" customHeight="1">
      <c r="G435" s="4"/>
      <c r="H435" s="4"/>
      <c r="I435" s="4"/>
    </row>
    <row r="436" ht="15.75" customHeight="1">
      <c r="G436" s="4"/>
      <c r="H436" s="4"/>
      <c r="I436" s="4"/>
    </row>
    <row r="437" ht="15.75" customHeight="1">
      <c r="G437" s="4"/>
      <c r="H437" s="4"/>
      <c r="I437" s="4"/>
    </row>
    <row r="438" ht="15.75" customHeight="1">
      <c r="G438" s="4"/>
      <c r="H438" s="4"/>
      <c r="I438" s="4"/>
    </row>
    <row r="439" ht="15.75" customHeight="1">
      <c r="G439" s="4"/>
      <c r="H439" s="4"/>
      <c r="I439" s="4"/>
    </row>
    <row r="440" ht="15.75" customHeight="1">
      <c r="G440" s="4"/>
      <c r="H440" s="4"/>
      <c r="I440" s="4"/>
    </row>
    <row r="441" ht="15.75" customHeight="1">
      <c r="G441" s="4"/>
      <c r="H441" s="4"/>
      <c r="I441" s="4"/>
    </row>
    <row r="442" ht="15.75" customHeight="1">
      <c r="G442" s="4"/>
      <c r="H442" s="4"/>
      <c r="I442" s="4"/>
    </row>
    <row r="443" ht="15.75" customHeight="1">
      <c r="G443" s="4"/>
      <c r="H443" s="4"/>
      <c r="I443" s="4"/>
    </row>
    <row r="444" ht="15.75" customHeight="1">
      <c r="G444" s="4"/>
      <c r="H444" s="4"/>
      <c r="I444" s="4"/>
    </row>
    <row r="445" ht="15.75" customHeight="1">
      <c r="G445" s="4"/>
      <c r="H445" s="4"/>
      <c r="I445" s="4"/>
    </row>
    <row r="446" ht="15.75" customHeight="1">
      <c r="G446" s="4"/>
      <c r="H446" s="4"/>
      <c r="I446" s="4"/>
    </row>
    <row r="447" ht="15.75" customHeight="1">
      <c r="G447" s="4"/>
      <c r="H447" s="4"/>
      <c r="I447" s="4"/>
    </row>
    <row r="448" ht="15.75" customHeight="1">
      <c r="G448" s="4"/>
      <c r="H448" s="4"/>
      <c r="I448" s="4"/>
    </row>
    <row r="449" ht="15.75" customHeight="1">
      <c r="G449" s="4"/>
      <c r="H449" s="4"/>
      <c r="I449" s="4"/>
    </row>
    <row r="450" ht="15.75" customHeight="1">
      <c r="G450" s="4"/>
      <c r="H450" s="4"/>
      <c r="I450" s="4"/>
    </row>
    <row r="451" ht="15.75" customHeight="1">
      <c r="G451" s="4"/>
      <c r="H451" s="4"/>
      <c r="I451" s="4"/>
    </row>
    <row r="452" ht="15.75" customHeight="1">
      <c r="G452" s="4"/>
      <c r="H452" s="4"/>
      <c r="I452" s="4"/>
    </row>
    <row r="453" ht="15.75" customHeight="1">
      <c r="G453" s="4"/>
      <c r="H453" s="4"/>
      <c r="I453" s="4"/>
    </row>
    <row r="454" ht="15.75" customHeight="1">
      <c r="G454" s="4"/>
      <c r="H454" s="4"/>
      <c r="I454" s="4"/>
    </row>
    <row r="455" ht="15.75" customHeight="1">
      <c r="G455" s="4"/>
      <c r="H455" s="4"/>
      <c r="I455" s="4"/>
    </row>
    <row r="456" ht="15.75" customHeight="1">
      <c r="G456" s="4"/>
      <c r="H456" s="4"/>
      <c r="I456" s="4"/>
    </row>
    <row r="457" ht="15.75" customHeight="1">
      <c r="G457" s="4"/>
      <c r="H457" s="4"/>
      <c r="I457" s="4"/>
    </row>
    <row r="458" ht="15.75" customHeight="1">
      <c r="G458" s="4"/>
      <c r="H458" s="4"/>
      <c r="I458" s="4"/>
    </row>
    <row r="459" ht="15.75" customHeight="1">
      <c r="G459" s="4"/>
      <c r="H459" s="4"/>
      <c r="I459" s="4"/>
    </row>
    <row r="460" ht="15.75" customHeight="1">
      <c r="G460" s="4"/>
      <c r="H460" s="4"/>
      <c r="I460" s="4"/>
    </row>
    <row r="461" ht="15.75" customHeight="1">
      <c r="G461" s="4"/>
      <c r="H461" s="4"/>
      <c r="I461" s="4"/>
    </row>
    <row r="462" ht="15.75" customHeight="1">
      <c r="G462" s="4"/>
      <c r="H462" s="4"/>
      <c r="I462" s="4"/>
    </row>
    <row r="463" ht="15.75" customHeight="1">
      <c r="G463" s="4"/>
      <c r="H463" s="4"/>
      <c r="I463" s="4"/>
    </row>
    <row r="464" ht="15.75" customHeight="1">
      <c r="G464" s="4"/>
      <c r="H464" s="4"/>
      <c r="I464" s="4"/>
    </row>
    <row r="465" ht="15.75" customHeight="1">
      <c r="G465" s="4"/>
      <c r="H465" s="4"/>
      <c r="I465" s="4"/>
    </row>
    <row r="466" ht="15.75" customHeight="1">
      <c r="G466" s="4"/>
      <c r="H466" s="4"/>
      <c r="I466" s="4"/>
    </row>
    <row r="467" ht="15.75" customHeight="1">
      <c r="G467" s="4"/>
      <c r="H467" s="4"/>
      <c r="I467" s="4"/>
    </row>
    <row r="468" ht="15.75" customHeight="1">
      <c r="G468" s="4"/>
      <c r="H468" s="4"/>
      <c r="I468" s="4"/>
    </row>
    <row r="469" ht="15.75" customHeight="1">
      <c r="G469" s="4"/>
      <c r="H469" s="4"/>
      <c r="I469" s="4"/>
    </row>
    <row r="470" ht="15.75" customHeight="1">
      <c r="G470" s="4"/>
      <c r="H470" s="4"/>
      <c r="I470" s="4"/>
    </row>
    <row r="471" ht="15.75" customHeight="1">
      <c r="G471" s="4"/>
      <c r="H471" s="4"/>
      <c r="I471" s="4"/>
    </row>
    <row r="472" ht="15.75" customHeight="1">
      <c r="G472" s="4"/>
      <c r="H472" s="4"/>
      <c r="I472" s="4"/>
    </row>
    <row r="473" ht="15.75" customHeight="1">
      <c r="G473" s="4"/>
      <c r="H473" s="4"/>
      <c r="I473" s="4"/>
    </row>
    <row r="474" ht="15.75" customHeight="1">
      <c r="G474" s="4"/>
      <c r="H474" s="4"/>
      <c r="I474" s="4"/>
    </row>
    <row r="475" ht="15.75" customHeight="1">
      <c r="G475" s="4"/>
      <c r="H475" s="4"/>
      <c r="I475" s="4"/>
    </row>
    <row r="476" ht="15.75" customHeight="1">
      <c r="G476" s="4"/>
      <c r="H476" s="4"/>
      <c r="I476" s="4"/>
    </row>
    <row r="477" ht="15.75" customHeight="1">
      <c r="G477" s="4"/>
      <c r="H477" s="4"/>
      <c r="I477" s="4"/>
    </row>
    <row r="478" ht="15.75" customHeight="1">
      <c r="G478" s="4"/>
      <c r="H478" s="4"/>
      <c r="I478" s="4"/>
    </row>
    <row r="479" ht="15.75" customHeight="1">
      <c r="G479" s="4"/>
      <c r="H479" s="4"/>
      <c r="I479" s="4"/>
    </row>
    <row r="480" ht="15.75" customHeight="1">
      <c r="G480" s="4"/>
      <c r="H480" s="4"/>
      <c r="I480" s="4"/>
    </row>
    <row r="481" ht="15.75" customHeight="1">
      <c r="G481" s="4"/>
      <c r="H481" s="4"/>
      <c r="I481" s="4"/>
    </row>
    <row r="482" ht="15.75" customHeight="1">
      <c r="G482" s="4"/>
      <c r="H482" s="4"/>
      <c r="I482" s="4"/>
    </row>
    <row r="483" ht="15.75" customHeight="1">
      <c r="G483" s="4"/>
      <c r="H483" s="4"/>
      <c r="I483" s="4"/>
    </row>
    <row r="484" ht="15.75" customHeight="1">
      <c r="G484" s="4"/>
      <c r="H484" s="4"/>
      <c r="I484" s="4"/>
    </row>
    <row r="485" ht="15.75" customHeight="1">
      <c r="G485" s="4"/>
      <c r="H485" s="4"/>
      <c r="I485" s="4"/>
    </row>
    <row r="486" ht="15.75" customHeight="1">
      <c r="G486" s="4"/>
      <c r="H486" s="4"/>
      <c r="I486" s="4"/>
    </row>
    <row r="487" ht="15.75" customHeight="1">
      <c r="G487" s="4"/>
      <c r="H487" s="4"/>
      <c r="I487" s="4"/>
    </row>
    <row r="488" ht="15.75" customHeight="1">
      <c r="G488" s="4"/>
      <c r="H488" s="4"/>
      <c r="I488" s="4"/>
    </row>
    <row r="489" ht="15.75" customHeight="1">
      <c r="G489" s="4"/>
      <c r="H489" s="4"/>
      <c r="I489" s="4"/>
    </row>
    <row r="490" ht="15.75" customHeight="1">
      <c r="G490" s="4"/>
      <c r="H490" s="4"/>
      <c r="I490" s="4"/>
    </row>
    <row r="491" ht="15.75" customHeight="1">
      <c r="G491" s="4"/>
      <c r="H491" s="4"/>
      <c r="I491" s="4"/>
    </row>
    <row r="492" ht="15.75" customHeight="1">
      <c r="G492" s="4"/>
      <c r="H492" s="4"/>
      <c r="I492" s="4"/>
    </row>
    <row r="493" ht="15.75" customHeight="1">
      <c r="G493" s="4"/>
      <c r="H493" s="4"/>
      <c r="I493" s="4"/>
    </row>
    <row r="494" ht="15.75" customHeight="1">
      <c r="G494" s="4"/>
      <c r="H494" s="4"/>
      <c r="I494" s="4"/>
    </row>
    <row r="495" ht="15.75" customHeight="1">
      <c r="G495" s="4"/>
      <c r="H495" s="4"/>
      <c r="I495" s="4"/>
    </row>
    <row r="496" ht="15.75" customHeight="1">
      <c r="G496" s="4"/>
      <c r="H496" s="4"/>
      <c r="I496" s="4"/>
    </row>
    <row r="497" ht="15.75" customHeight="1">
      <c r="G497" s="4"/>
      <c r="H497" s="4"/>
      <c r="I497" s="4"/>
    </row>
    <row r="498" ht="15.75" customHeight="1">
      <c r="G498" s="4"/>
      <c r="H498" s="4"/>
      <c r="I498" s="4"/>
    </row>
    <row r="499" ht="15.75" customHeight="1">
      <c r="G499" s="4"/>
      <c r="H499" s="4"/>
      <c r="I499" s="4"/>
    </row>
    <row r="500" ht="15.75" customHeight="1">
      <c r="G500" s="4"/>
      <c r="H500" s="4"/>
      <c r="I500" s="4"/>
    </row>
    <row r="501" ht="15.75" customHeight="1">
      <c r="G501" s="4"/>
      <c r="H501" s="4"/>
      <c r="I501" s="4"/>
    </row>
    <row r="502" ht="15.75" customHeight="1">
      <c r="G502" s="4"/>
      <c r="H502" s="4"/>
      <c r="I502" s="4"/>
    </row>
    <row r="503" ht="15.75" customHeight="1">
      <c r="G503" s="4"/>
      <c r="H503" s="4"/>
      <c r="I503" s="4"/>
    </row>
    <row r="504" ht="15.75" customHeight="1">
      <c r="G504" s="4"/>
      <c r="H504" s="4"/>
      <c r="I504" s="4"/>
    </row>
    <row r="505" ht="15.75" customHeight="1">
      <c r="G505" s="4"/>
      <c r="H505" s="4"/>
      <c r="I505" s="4"/>
    </row>
    <row r="506" ht="15.75" customHeight="1">
      <c r="G506" s="4"/>
      <c r="H506" s="4"/>
      <c r="I506" s="4"/>
    </row>
    <row r="507" ht="15.75" customHeight="1">
      <c r="G507" s="4"/>
      <c r="H507" s="4"/>
      <c r="I507" s="4"/>
    </row>
    <row r="508" ht="15.75" customHeight="1">
      <c r="G508" s="4"/>
      <c r="H508" s="4"/>
      <c r="I508" s="4"/>
    </row>
    <row r="509" ht="15.75" customHeight="1">
      <c r="G509" s="4"/>
      <c r="H509" s="4"/>
      <c r="I509" s="4"/>
    </row>
    <row r="510" ht="15.75" customHeight="1">
      <c r="G510" s="4"/>
      <c r="H510" s="4"/>
      <c r="I510" s="4"/>
    </row>
    <row r="511" ht="15.75" customHeight="1">
      <c r="G511" s="4"/>
      <c r="H511" s="4"/>
      <c r="I511" s="4"/>
    </row>
    <row r="512" ht="15.75" customHeight="1">
      <c r="G512" s="4"/>
      <c r="H512" s="4"/>
      <c r="I512" s="4"/>
    </row>
    <row r="513" ht="15.75" customHeight="1">
      <c r="G513" s="4"/>
      <c r="H513" s="4"/>
      <c r="I513" s="4"/>
    </row>
    <row r="514" ht="15.75" customHeight="1">
      <c r="G514" s="4"/>
      <c r="H514" s="4"/>
      <c r="I514" s="4"/>
    </row>
    <row r="515" ht="15.75" customHeight="1">
      <c r="G515" s="4"/>
      <c r="H515" s="4"/>
      <c r="I515" s="4"/>
    </row>
    <row r="516" ht="15.75" customHeight="1">
      <c r="G516" s="4"/>
      <c r="H516" s="4"/>
      <c r="I516" s="4"/>
    </row>
    <row r="517" ht="15.75" customHeight="1">
      <c r="G517" s="4"/>
      <c r="H517" s="4"/>
      <c r="I517" s="4"/>
    </row>
    <row r="518" ht="15.75" customHeight="1">
      <c r="G518" s="4"/>
      <c r="H518" s="4"/>
      <c r="I518" s="4"/>
    </row>
    <row r="519" ht="15.75" customHeight="1">
      <c r="G519" s="4"/>
      <c r="H519" s="4"/>
      <c r="I519" s="4"/>
    </row>
    <row r="520" ht="15.75" customHeight="1">
      <c r="G520" s="4"/>
      <c r="H520" s="4"/>
      <c r="I520" s="4"/>
    </row>
    <row r="521" ht="15.75" customHeight="1">
      <c r="G521" s="4"/>
      <c r="H521" s="4"/>
      <c r="I521" s="4"/>
    </row>
    <row r="522" ht="15.75" customHeight="1">
      <c r="G522" s="4"/>
      <c r="H522" s="4"/>
      <c r="I522" s="4"/>
    </row>
    <row r="523" ht="15.75" customHeight="1">
      <c r="G523" s="4"/>
      <c r="H523" s="4"/>
      <c r="I523" s="4"/>
    </row>
    <row r="524" ht="15.75" customHeight="1">
      <c r="G524" s="4"/>
      <c r="H524" s="4"/>
      <c r="I524" s="4"/>
    </row>
    <row r="525" ht="15.75" customHeight="1">
      <c r="G525" s="4"/>
      <c r="H525" s="4"/>
      <c r="I525" s="4"/>
    </row>
    <row r="526" ht="15.75" customHeight="1">
      <c r="G526" s="4"/>
      <c r="H526" s="4"/>
      <c r="I526" s="4"/>
    </row>
    <row r="527" ht="15.75" customHeight="1">
      <c r="G527" s="4"/>
      <c r="H527" s="4"/>
      <c r="I527" s="4"/>
    </row>
    <row r="528" ht="15.75" customHeight="1">
      <c r="G528" s="4"/>
      <c r="H528" s="4"/>
      <c r="I528" s="4"/>
    </row>
    <row r="529" ht="15.75" customHeight="1">
      <c r="G529" s="4"/>
      <c r="H529" s="4"/>
      <c r="I529" s="4"/>
    </row>
    <row r="530" ht="15.75" customHeight="1">
      <c r="G530" s="4"/>
      <c r="H530" s="4"/>
      <c r="I530" s="4"/>
    </row>
    <row r="531" ht="15.75" customHeight="1">
      <c r="G531" s="4"/>
      <c r="H531" s="4"/>
      <c r="I531" s="4"/>
    </row>
    <row r="532" ht="15.75" customHeight="1">
      <c r="G532" s="4"/>
      <c r="H532" s="4"/>
      <c r="I532" s="4"/>
    </row>
    <row r="533" ht="15.75" customHeight="1">
      <c r="G533" s="4"/>
      <c r="H533" s="4"/>
      <c r="I533" s="4"/>
    </row>
    <row r="534" ht="15.75" customHeight="1">
      <c r="G534" s="4"/>
      <c r="H534" s="4"/>
      <c r="I534" s="4"/>
    </row>
    <row r="535" ht="15.75" customHeight="1">
      <c r="G535" s="4"/>
      <c r="H535" s="4"/>
      <c r="I535" s="4"/>
    </row>
    <row r="536" ht="15.75" customHeight="1">
      <c r="G536" s="4"/>
      <c r="H536" s="4"/>
      <c r="I536" s="4"/>
    </row>
    <row r="537" ht="15.75" customHeight="1">
      <c r="G537" s="4"/>
      <c r="H537" s="4"/>
      <c r="I537" s="4"/>
    </row>
    <row r="538" ht="15.75" customHeight="1">
      <c r="G538" s="4"/>
      <c r="H538" s="4"/>
      <c r="I538" s="4"/>
    </row>
    <row r="539" ht="15.75" customHeight="1">
      <c r="G539" s="4"/>
      <c r="H539" s="4"/>
      <c r="I539" s="4"/>
    </row>
    <row r="540" ht="15.75" customHeight="1">
      <c r="G540" s="4"/>
      <c r="H540" s="4"/>
      <c r="I540" s="4"/>
    </row>
    <row r="541" ht="15.75" customHeight="1">
      <c r="G541" s="4"/>
      <c r="H541" s="4"/>
      <c r="I541" s="4"/>
    </row>
    <row r="542" ht="15.75" customHeight="1">
      <c r="G542" s="4"/>
      <c r="H542" s="4"/>
      <c r="I542" s="4"/>
    </row>
    <row r="543" ht="15.75" customHeight="1">
      <c r="G543" s="4"/>
      <c r="H543" s="4"/>
      <c r="I543" s="4"/>
    </row>
    <row r="544" ht="15.75" customHeight="1">
      <c r="G544" s="4"/>
      <c r="H544" s="4"/>
      <c r="I544" s="4"/>
    </row>
    <row r="545" ht="15.75" customHeight="1">
      <c r="G545" s="4"/>
      <c r="H545" s="4"/>
      <c r="I545" s="4"/>
    </row>
    <row r="546" ht="15.75" customHeight="1">
      <c r="G546" s="4"/>
      <c r="H546" s="4"/>
      <c r="I546" s="4"/>
    </row>
    <row r="547" ht="15.75" customHeight="1">
      <c r="G547" s="4"/>
      <c r="H547" s="4"/>
      <c r="I547" s="4"/>
    </row>
    <row r="548" ht="15.75" customHeight="1">
      <c r="G548" s="4"/>
      <c r="H548" s="4"/>
      <c r="I548" s="4"/>
    </row>
    <row r="549" ht="15.75" customHeight="1">
      <c r="G549" s="4"/>
      <c r="H549" s="4"/>
      <c r="I549" s="4"/>
    </row>
    <row r="550" ht="15.75" customHeight="1">
      <c r="G550" s="4"/>
      <c r="H550" s="4"/>
      <c r="I550" s="4"/>
    </row>
    <row r="551" ht="15.75" customHeight="1">
      <c r="G551" s="4"/>
      <c r="H551" s="4"/>
      <c r="I551" s="4"/>
    </row>
    <row r="552" ht="15.75" customHeight="1">
      <c r="G552" s="4"/>
      <c r="H552" s="4"/>
      <c r="I552" s="4"/>
    </row>
    <row r="553" ht="15.75" customHeight="1">
      <c r="G553" s="4"/>
      <c r="H553" s="4"/>
      <c r="I553" s="4"/>
    </row>
    <row r="554" ht="15.75" customHeight="1">
      <c r="G554" s="4"/>
      <c r="H554" s="4"/>
      <c r="I554" s="4"/>
    </row>
    <row r="555" ht="15.75" customHeight="1">
      <c r="G555" s="4"/>
      <c r="H555" s="4"/>
      <c r="I555" s="4"/>
    </row>
    <row r="556" ht="15.75" customHeight="1">
      <c r="G556" s="4"/>
      <c r="H556" s="4"/>
      <c r="I556" s="4"/>
    </row>
    <row r="557" ht="15.75" customHeight="1">
      <c r="G557" s="4"/>
      <c r="H557" s="4"/>
      <c r="I557" s="4"/>
    </row>
    <row r="558" ht="15.75" customHeight="1">
      <c r="G558" s="4"/>
      <c r="H558" s="4"/>
      <c r="I558" s="4"/>
    </row>
    <row r="559" ht="15.75" customHeight="1">
      <c r="G559" s="4"/>
      <c r="H559" s="4"/>
      <c r="I559" s="4"/>
    </row>
    <row r="560" ht="15.75" customHeight="1">
      <c r="G560" s="4"/>
      <c r="H560" s="4"/>
      <c r="I560" s="4"/>
    </row>
    <row r="561" ht="15.75" customHeight="1">
      <c r="G561" s="4"/>
      <c r="H561" s="4"/>
      <c r="I561" s="4"/>
    </row>
    <row r="562" ht="15.75" customHeight="1">
      <c r="G562" s="4"/>
      <c r="H562" s="4"/>
      <c r="I562" s="4"/>
    </row>
    <row r="563" ht="15.75" customHeight="1">
      <c r="G563" s="4"/>
      <c r="H563" s="4"/>
      <c r="I563" s="4"/>
    </row>
    <row r="564" ht="15.75" customHeight="1">
      <c r="G564" s="4"/>
      <c r="H564" s="4"/>
      <c r="I564" s="4"/>
    </row>
    <row r="565" ht="15.75" customHeight="1">
      <c r="G565" s="4"/>
      <c r="H565" s="4"/>
      <c r="I565" s="4"/>
    </row>
    <row r="566" ht="15.75" customHeight="1">
      <c r="G566" s="4"/>
      <c r="H566" s="4"/>
      <c r="I566" s="4"/>
    </row>
    <row r="567" ht="15.75" customHeight="1">
      <c r="G567" s="4"/>
      <c r="H567" s="4"/>
      <c r="I567" s="4"/>
    </row>
    <row r="568" ht="15.75" customHeight="1">
      <c r="G568" s="4"/>
      <c r="H568" s="4"/>
      <c r="I568" s="4"/>
    </row>
    <row r="569" ht="15.75" customHeight="1">
      <c r="G569" s="4"/>
      <c r="H569" s="4"/>
      <c r="I569" s="4"/>
    </row>
    <row r="570" ht="15.75" customHeight="1">
      <c r="G570" s="4"/>
      <c r="H570" s="4"/>
      <c r="I570" s="4"/>
    </row>
    <row r="571" ht="15.75" customHeight="1">
      <c r="G571" s="4"/>
      <c r="H571" s="4"/>
      <c r="I571" s="4"/>
    </row>
    <row r="572" ht="15.75" customHeight="1">
      <c r="G572" s="4"/>
      <c r="H572" s="4"/>
      <c r="I572" s="4"/>
    </row>
    <row r="573" ht="15.75" customHeight="1">
      <c r="G573" s="4"/>
      <c r="H573" s="4"/>
      <c r="I573" s="4"/>
    </row>
    <row r="574" ht="15.75" customHeight="1">
      <c r="G574" s="4"/>
      <c r="H574" s="4"/>
      <c r="I574" s="4"/>
    </row>
    <row r="575" ht="15.75" customHeight="1">
      <c r="G575" s="4"/>
      <c r="H575" s="4"/>
      <c r="I575" s="4"/>
    </row>
    <row r="576" ht="15.75" customHeight="1">
      <c r="G576" s="4"/>
      <c r="H576" s="4"/>
      <c r="I576" s="4"/>
    </row>
    <row r="577" ht="15.75" customHeight="1">
      <c r="G577" s="4"/>
      <c r="H577" s="4"/>
      <c r="I577" s="4"/>
    </row>
    <row r="578" ht="15.75" customHeight="1">
      <c r="G578" s="4"/>
      <c r="H578" s="4"/>
      <c r="I578" s="4"/>
    </row>
    <row r="579" ht="15.75" customHeight="1">
      <c r="G579" s="4"/>
      <c r="H579" s="4"/>
      <c r="I579" s="4"/>
    </row>
    <row r="580" ht="15.75" customHeight="1">
      <c r="G580" s="4"/>
      <c r="H580" s="4"/>
      <c r="I580" s="4"/>
    </row>
    <row r="581" ht="15.75" customHeight="1">
      <c r="G581" s="4"/>
      <c r="H581" s="4"/>
      <c r="I581" s="4"/>
    </row>
    <row r="582" ht="15.75" customHeight="1">
      <c r="G582" s="4"/>
      <c r="H582" s="4"/>
      <c r="I582" s="4"/>
    </row>
    <row r="583" ht="15.75" customHeight="1">
      <c r="G583" s="4"/>
      <c r="H583" s="4"/>
      <c r="I583" s="4"/>
    </row>
    <row r="584" ht="15.75" customHeight="1">
      <c r="G584" s="4"/>
      <c r="H584" s="4"/>
      <c r="I584" s="4"/>
    </row>
    <row r="585" ht="15.75" customHeight="1">
      <c r="G585" s="4"/>
      <c r="H585" s="4"/>
      <c r="I585" s="4"/>
    </row>
    <row r="586" ht="15.75" customHeight="1">
      <c r="G586" s="4"/>
      <c r="H586" s="4"/>
      <c r="I586" s="4"/>
    </row>
    <row r="587" ht="15.75" customHeight="1">
      <c r="G587" s="4"/>
      <c r="H587" s="4"/>
      <c r="I587" s="4"/>
    </row>
    <row r="588" ht="15.75" customHeight="1">
      <c r="G588" s="4"/>
      <c r="H588" s="4"/>
      <c r="I588" s="4"/>
    </row>
    <row r="589" ht="15.75" customHeight="1">
      <c r="G589" s="4"/>
      <c r="H589" s="4"/>
      <c r="I589" s="4"/>
    </row>
    <row r="590" ht="15.75" customHeight="1">
      <c r="G590" s="4"/>
      <c r="H590" s="4"/>
      <c r="I590" s="4"/>
    </row>
    <row r="591" ht="15.75" customHeight="1">
      <c r="G591" s="4"/>
      <c r="H591" s="4"/>
      <c r="I591" s="4"/>
    </row>
    <row r="592" ht="15.75" customHeight="1">
      <c r="G592" s="4"/>
      <c r="H592" s="4"/>
      <c r="I592" s="4"/>
    </row>
    <row r="593" ht="15.75" customHeight="1">
      <c r="G593" s="4"/>
      <c r="H593" s="4"/>
      <c r="I593" s="4"/>
    </row>
    <row r="594" ht="15.75" customHeight="1">
      <c r="G594" s="4"/>
      <c r="H594" s="4"/>
      <c r="I594" s="4"/>
    </row>
    <row r="595" ht="15.75" customHeight="1">
      <c r="G595" s="4"/>
      <c r="H595" s="4"/>
      <c r="I595" s="4"/>
    </row>
    <row r="596" ht="15.75" customHeight="1">
      <c r="G596" s="4"/>
      <c r="H596" s="4"/>
      <c r="I596" s="4"/>
    </row>
    <row r="597" ht="15.75" customHeight="1">
      <c r="G597" s="4"/>
      <c r="H597" s="4"/>
      <c r="I597" s="4"/>
    </row>
    <row r="598" ht="15.75" customHeight="1">
      <c r="G598" s="4"/>
      <c r="H598" s="4"/>
      <c r="I598" s="4"/>
    </row>
    <row r="599" ht="15.75" customHeight="1">
      <c r="G599" s="4"/>
      <c r="H599" s="4"/>
      <c r="I599" s="4"/>
    </row>
    <row r="600" ht="15.75" customHeight="1">
      <c r="G600" s="4"/>
      <c r="H600" s="4"/>
      <c r="I600" s="4"/>
    </row>
    <row r="601" ht="15.75" customHeight="1">
      <c r="G601" s="4"/>
      <c r="H601" s="4"/>
      <c r="I601" s="4"/>
    </row>
    <row r="602" ht="15.75" customHeight="1">
      <c r="G602" s="4"/>
      <c r="H602" s="4"/>
      <c r="I602" s="4"/>
    </row>
    <row r="603" ht="15.75" customHeight="1">
      <c r="G603" s="4"/>
      <c r="H603" s="4"/>
      <c r="I603" s="4"/>
    </row>
    <row r="604" ht="15.75" customHeight="1">
      <c r="G604" s="4"/>
      <c r="H604" s="4"/>
      <c r="I604" s="4"/>
    </row>
    <row r="605" ht="15.75" customHeight="1">
      <c r="G605" s="4"/>
      <c r="H605" s="4"/>
      <c r="I605" s="4"/>
    </row>
    <row r="606" ht="15.75" customHeight="1">
      <c r="G606" s="4"/>
      <c r="H606" s="4"/>
      <c r="I606" s="4"/>
    </row>
    <row r="607" ht="15.75" customHeight="1">
      <c r="G607" s="4"/>
      <c r="H607" s="4"/>
      <c r="I607" s="4"/>
    </row>
    <row r="608" ht="15.75" customHeight="1">
      <c r="G608" s="4"/>
      <c r="H608" s="4"/>
      <c r="I608" s="4"/>
    </row>
    <row r="609" ht="15.75" customHeight="1">
      <c r="G609" s="4"/>
      <c r="H609" s="4"/>
      <c r="I609" s="4"/>
    </row>
    <row r="610" ht="15.75" customHeight="1">
      <c r="G610" s="4"/>
      <c r="H610" s="4"/>
      <c r="I610" s="4"/>
    </row>
    <row r="611" ht="15.75" customHeight="1">
      <c r="G611" s="4"/>
      <c r="H611" s="4"/>
      <c r="I611" s="4"/>
    </row>
    <row r="612" ht="15.75" customHeight="1">
      <c r="G612" s="4"/>
      <c r="H612" s="4"/>
      <c r="I612" s="4"/>
    </row>
    <row r="613" ht="15.75" customHeight="1">
      <c r="G613" s="4"/>
      <c r="H613" s="4"/>
      <c r="I613" s="4"/>
    </row>
    <row r="614" ht="15.75" customHeight="1">
      <c r="G614" s="4"/>
      <c r="H614" s="4"/>
      <c r="I614" s="4"/>
    </row>
    <row r="615" ht="15.75" customHeight="1">
      <c r="G615" s="4"/>
      <c r="H615" s="4"/>
      <c r="I615" s="4"/>
    </row>
    <row r="616" ht="15.75" customHeight="1">
      <c r="G616" s="4"/>
      <c r="H616" s="4"/>
      <c r="I616" s="4"/>
    </row>
    <row r="617" ht="15.75" customHeight="1">
      <c r="G617" s="4"/>
      <c r="H617" s="4"/>
      <c r="I617" s="4"/>
    </row>
    <row r="618" ht="15.75" customHeight="1">
      <c r="G618" s="4"/>
      <c r="H618" s="4"/>
      <c r="I618" s="4"/>
    </row>
    <row r="619" ht="15.75" customHeight="1">
      <c r="G619" s="4"/>
      <c r="H619" s="4"/>
      <c r="I619" s="4"/>
    </row>
    <row r="620" ht="15.75" customHeight="1">
      <c r="G620" s="4"/>
      <c r="H620" s="4"/>
      <c r="I620" s="4"/>
    </row>
    <row r="621" ht="15.75" customHeight="1">
      <c r="G621" s="4"/>
      <c r="H621" s="4"/>
      <c r="I621" s="4"/>
    </row>
    <row r="622" ht="15.75" customHeight="1">
      <c r="G622" s="4"/>
      <c r="H622" s="4"/>
      <c r="I622" s="4"/>
    </row>
    <row r="623" ht="15.75" customHeight="1">
      <c r="G623" s="4"/>
      <c r="H623" s="4"/>
      <c r="I623" s="4"/>
    </row>
    <row r="624" ht="15.75" customHeight="1">
      <c r="G624" s="4"/>
      <c r="H624" s="4"/>
      <c r="I624" s="4"/>
    </row>
    <row r="625" ht="15.75" customHeight="1">
      <c r="G625" s="4"/>
      <c r="H625" s="4"/>
      <c r="I625" s="4"/>
    </row>
    <row r="626" ht="15.75" customHeight="1">
      <c r="G626" s="4"/>
      <c r="H626" s="4"/>
      <c r="I626" s="4"/>
    </row>
    <row r="627" ht="15.75" customHeight="1">
      <c r="G627" s="4"/>
      <c r="H627" s="4"/>
      <c r="I627" s="4"/>
    </row>
    <row r="628" ht="15.75" customHeight="1">
      <c r="G628" s="4"/>
      <c r="H628" s="4"/>
      <c r="I628" s="4"/>
    </row>
    <row r="629" ht="15.75" customHeight="1">
      <c r="G629" s="4"/>
      <c r="H629" s="4"/>
      <c r="I629" s="4"/>
    </row>
    <row r="630" ht="15.75" customHeight="1">
      <c r="G630" s="4"/>
      <c r="H630" s="4"/>
      <c r="I630" s="4"/>
    </row>
    <row r="631" ht="15.75" customHeight="1">
      <c r="G631" s="4"/>
      <c r="H631" s="4"/>
      <c r="I631" s="4"/>
    </row>
    <row r="632" ht="15.75" customHeight="1">
      <c r="G632" s="4"/>
      <c r="H632" s="4"/>
      <c r="I632" s="4"/>
    </row>
    <row r="633" ht="15.75" customHeight="1">
      <c r="G633" s="4"/>
      <c r="H633" s="4"/>
      <c r="I633" s="4"/>
    </row>
    <row r="634" ht="15.75" customHeight="1">
      <c r="G634" s="4"/>
      <c r="H634" s="4"/>
      <c r="I634" s="4"/>
    </row>
    <row r="635" ht="15.75" customHeight="1">
      <c r="G635" s="4"/>
      <c r="H635" s="4"/>
      <c r="I635" s="4"/>
    </row>
    <row r="636" ht="15.75" customHeight="1">
      <c r="G636" s="4"/>
      <c r="H636" s="4"/>
      <c r="I636" s="4"/>
    </row>
    <row r="637" ht="15.75" customHeight="1">
      <c r="G637" s="4"/>
      <c r="H637" s="4"/>
      <c r="I637" s="4"/>
    </row>
    <row r="638" ht="15.75" customHeight="1">
      <c r="G638" s="4"/>
      <c r="H638" s="4"/>
      <c r="I638" s="4"/>
    </row>
    <row r="639" ht="15.75" customHeight="1">
      <c r="G639" s="4"/>
      <c r="H639" s="4"/>
      <c r="I639" s="4"/>
    </row>
    <row r="640" ht="15.75" customHeight="1">
      <c r="G640" s="4"/>
      <c r="H640" s="4"/>
      <c r="I640" s="4"/>
    </row>
    <row r="641" ht="15.75" customHeight="1">
      <c r="G641" s="4"/>
      <c r="H641" s="4"/>
      <c r="I641" s="4"/>
    </row>
    <row r="642" ht="15.75" customHeight="1">
      <c r="G642" s="4"/>
      <c r="H642" s="4"/>
      <c r="I642" s="4"/>
    </row>
    <row r="643" ht="15.75" customHeight="1">
      <c r="G643" s="4"/>
      <c r="H643" s="4"/>
      <c r="I643" s="4"/>
    </row>
    <row r="644" ht="15.75" customHeight="1">
      <c r="G644" s="4"/>
      <c r="H644" s="4"/>
      <c r="I644" s="4"/>
    </row>
    <row r="645" ht="15.75" customHeight="1">
      <c r="G645" s="4"/>
      <c r="H645" s="4"/>
      <c r="I645" s="4"/>
    </row>
    <row r="646" ht="15.75" customHeight="1">
      <c r="G646" s="4"/>
      <c r="H646" s="4"/>
      <c r="I646" s="4"/>
    </row>
    <row r="647" ht="15.75" customHeight="1">
      <c r="G647" s="4"/>
      <c r="H647" s="4"/>
      <c r="I647" s="4"/>
    </row>
    <row r="648" ht="15.75" customHeight="1">
      <c r="G648" s="4"/>
      <c r="H648" s="4"/>
      <c r="I648" s="4"/>
    </row>
    <row r="649" ht="15.75" customHeight="1">
      <c r="G649" s="4"/>
      <c r="H649" s="4"/>
      <c r="I649" s="4"/>
    </row>
    <row r="650" ht="15.75" customHeight="1">
      <c r="G650" s="4"/>
      <c r="H650" s="4"/>
      <c r="I650" s="4"/>
    </row>
    <row r="651" ht="15.75" customHeight="1">
      <c r="G651" s="4"/>
      <c r="H651" s="4"/>
      <c r="I651" s="4"/>
    </row>
    <row r="652" ht="15.75" customHeight="1">
      <c r="G652" s="4"/>
      <c r="H652" s="4"/>
      <c r="I652" s="4"/>
    </row>
    <row r="653" ht="15.75" customHeight="1">
      <c r="G653" s="4"/>
      <c r="H653" s="4"/>
      <c r="I653" s="4"/>
    </row>
    <row r="654" ht="15.75" customHeight="1">
      <c r="G654" s="4"/>
      <c r="H654" s="4"/>
      <c r="I654" s="4"/>
    </row>
    <row r="655" ht="15.75" customHeight="1">
      <c r="G655" s="4"/>
      <c r="H655" s="4"/>
      <c r="I655" s="4"/>
    </row>
    <row r="656" ht="15.75" customHeight="1">
      <c r="G656" s="4"/>
      <c r="H656" s="4"/>
      <c r="I656" s="4"/>
    </row>
    <row r="657" ht="15.75" customHeight="1">
      <c r="G657" s="4"/>
      <c r="H657" s="4"/>
      <c r="I657" s="4"/>
    </row>
    <row r="658" ht="15.75" customHeight="1">
      <c r="G658" s="4"/>
      <c r="H658" s="4"/>
      <c r="I658" s="4"/>
    </row>
    <row r="659" ht="15.75" customHeight="1">
      <c r="G659" s="4"/>
      <c r="H659" s="4"/>
      <c r="I659" s="4"/>
    </row>
    <row r="660" ht="15.75" customHeight="1">
      <c r="G660" s="4"/>
      <c r="H660" s="4"/>
      <c r="I660" s="4"/>
    </row>
    <row r="661" ht="15.75" customHeight="1">
      <c r="G661" s="4"/>
      <c r="H661" s="4"/>
      <c r="I661" s="4"/>
    </row>
    <row r="662" ht="15.75" customHeight="1">
      <c r="G662" s="4"/>
      <c r="H662" s="4"/>
      <c r="I662" s="4"/>
    </row>
    <row r="663" ht="15.75" customHeight="1">
      <c r="G663" s="4"/>
      <c r="H663" s="4"/>
      <c r="I663" s="4"/>
    </row>
    <row r="664" ht="15.75" customHeight="1">
      <c r="G664" s="4"/>
      <c r="H664" s="4"/>
      <c r="I664" s="4"/>
    </row>
    <row r="665" ht="15.75" customHeight="1">
      <c r="G665" s="4"/>
      <c r="H665" s="4"/>
      <c r="I665" s="4"/>
    </row>
    <row r="666" ht="15.75" customHeight="1">
      <c r="G666" s="4"/>
      <c r="H666" s="4"/>
      <c r="I666" s="4"/>
    </row>
    <row r="667" ht="15.75" customHeight="1">
      <c r="G667" s="4"/>
      <c r="H667" s="4"/>
      <c r="I667" s="4"/>
    </row>
    <row r="668" ht="15.75" customHeight="1">
      <c r="G668" s="4"/>
      <c r="H668" s="4"/>
      <c r="I668" s="4"/>
    </row>
    <row r="669" ht="15.75" customHeight="1">
      <c r="G669" s="4"/>
      <c r="H669" s="4"/>
      <c r="I669" s="4"/>
    </row>
    <row r="670" ht="15.75" customHeight="1">
      <c r="G670" s="4"/>
      <c r="H670" s="4"/>
      <c r="I670" s="4"/>
    </row>
    <row r="671" ht="15.75" customHeight="1">
      <c r="G671" s="4"/>
      <c r="H671" s="4"/>
      <c r="I671" s="4"/>
    </row>
    <row r="672" ht="15.75" customHeight="1">
      <c r="G672" s="4"/>
      <c r="H672" s="4"/>
      <c r="I672" s="4"/>
    </row>
    <row r="673" ht="15.75" customHeight="1">
      <c r="G673" s="4"/>
      <c r="H673" s="4"/>
      <c r="I673" s="4"/>
    </row>
    <row r="674" ht="15.75" customHeight="1">
      <c r="G674" s="4"/>
      <c r="H674" s="4"/>
      <c r="I674" s="4"/>
    </row>
    <row r="675" ht="15.75" customHeight="1">
      <c r="G675" s="4"/>
      <c r="H675" s="4"/>
      <c r="I675" s="4"/>
    </row>
    <row r="676" ht="15.75" customHeight="1">
      <c r="G676" s="4"/>
      <c r="H676" s="4"/>
      <c r="I676" s="4"/>
    </row>
    <row r="677" ht="15.75" customHeight="1">
      <c r="G677" s="4"/>
      <c r="H677" s="4"/>
      <c r="I677" s="4"/>
    </row>
    <row r="678" ht="15.75" customHeight="1">
      <c r="G678" s="4"/>
      <c r="H678" s="4"/>
      <c r="I678" s="4"/>
    </row>
    <row r="679" ht="15.75" customHeight="1">
      <c r="G679" s="4"/>
      <c r="H679" s="4"/>
      <c r="I679" s="4"/>
    </row>
    <row r="680" ht="15.75" customHeight="1">
      <c r="G680" s="4"/>
      <c r="H680" s="4"/>
      <c r="I680" s="4"/>
    </row>
    <row r="681" ht="15.75" customHeight="1">
      <c r="G681" s="4"/>
      <c r="H681" s="4"/>
      <c r="I681" s="4"/>
    </row>
    <row r="682" ht="15.75" customHeight="1">
      <c r="G682" s="4"/>
      <c r="H682" s="4"/>
      <c r="I682" s="4"/>
    </row>
    <row r="683" ht="15.75" customHeight="1">
      <c r="G683" s="4"/>
      <c r="H683" s="4"/>
      <c r="I683" s="4"/>
    </row>
    <row r="684" ht="15.75" customHeight="1">
      <c r="G684" s="4"/>
      <c r="H684" s="4"/>
      <c r="I684" s="4"/>
    </row>
    <row r="685" ht="15.75" customHeight="1">
      <c r="G685" s="4"/>
      <c r="H685" s="4"/>
      <c r="I685" s="4"/>
    </row>
    <row r="686" ht="15.75" customHeight="1">
      <c r="G686" s="4"/>
      <c r="H686" s="4"/>
      <c r="I686" s="4"/>
    </row>
    <row r="687" ht="15.75" customHeight="1">
      <c r="G687" s="4"/>
      <c r="H687" s="4"/>
      <c r="I687" s="4"/>
    </row>
    <row r="688" ht="15.75" customHeight="1">
      <c r="G688" s="4"/>
      <c r="H688" s="4"/>
      <c r="I688" s="4"/>
    </row>
    <row r="689" ht="15.75" customHeight="1">
      <c r="G689" s="4"/>
      <c r="H689" s="4"/>
      <c r="I689" s="4"/>
    </row>
    <row r="690" ht="15.75" customHeight="1">
      <c r="G690" s="4"/>
      <c r="H690" s="4"/>
      <c r="I690" s="4"/>
    </row>
    <row r="691" ht="15.75" customHeight="1">
      <c r="G691" s="4"/>
      <c r="H691" s="4"/>
      <c r="I691" s="4"/>
    </row>
    <row r="692" ht="15.75" customHeight="1">
      <c r="G692" s="4"/>
      <c r="H692" s="4"/>
      <c r="I692" s="4"/>
    </row>
    <row r="693" ht="15.75" customHeight="1">
      <c r="G693" s="4"/>
      <c r="H693" s="4"/>
      <c r="I693" s="4"/>
    </row>
    <row r="694" ht="15.75" customHeight="1">
      <c r="G694" s="4"/>
      <c r="H694" s="4"/>
      <c r="I694" s="4"/>
    </row>
    <row r="695" ht="15.75" customHeight="1">
      <c r="G695" s="4"/>
      <c r="H695" s="4"/>
      <c r="I695" s="4"/>
    </row>
    <row r="696" ht="15.75" customHeight="1">
      <c r="G696" s="4"/>
      <c r="H696" s="4"/>
      <c r="I696" s="4"/>
    </row>
    <row r="697" ht="15.75" customHeight="1">
      <c r="G697" s="4"/>
      <c r="H697" s="4"/>
      <c r="I697" s="4"/>
    </row>
    <row r="698" ht="15.75" customHeight="1">
      <c r="G698" s="4"/>
      <c r="H698" s="4"/>
      <c r="I698" s="4"/>
    </row>
    <row r="699" ht="15.75" customHeight="1">
      <c r="G699" s="4"/>
      <c r="H699" s="4"/>
      <c r="I699" s="4"/>
    </row>
    <row r="700" ht="15.75" customHeight="1">
      <c r="G700" s="4"/>
      <c r="H700" s="4"/>
      <c r="I700" s="4"/>
    </row>
    <row r="701" ht="15.75" customHeight="1">
      <c r="G701" s="4"/>
      <c r="H701" s="4"/>
      <c r="I701" s="4"/>
    </row>
    <row r="702" ht="15.75" customHeight="1">
      <c r="G702" s="4"/>
      <c r="H702" s="4"/>
      <c r="I702" s="4"/>
    </row>
    <row r="703" ht="15.75" customHeight="1">
      <c r="G703" s="4"/>
      <c r="H703" s="4"/>
      <c r="I703" s="4"/>
    </row>
    <row r="704" ht="15.75" customHeight="1">
      <c r="G704" s="4"/>
      <c r="H704" s="4"/>
      <c r="I704" s="4"/>
    </row>
    <row r="705" ht="15.75" customHeight="1">
      <c r="G705" s="4"/>
      <c r="H705" s="4"/>
      <c r="I705" s="4"/>
    </row>
    <row r="706" ht="15.75" customHeight="1">
      <c r="G706" s="4"/>
      <c r="H706" s="4"/>
      <c r="I706" s="4"/>
    </row>
    <row r="707" ht="15.75" customHeight="1">
      <c r="G707" s="4"/>
      <c r="H707" s="4"/>
      <c r="I707" s="4"/>
    </row>
    <row r="708" ht="15.75" customHeight="1">
      <c r="G708" s="4"/>
      <c r="H708" s="4"/>
      <c r="I708" s="4"/>
    </row>
    <row r="709" ht="15.75" customHeight="1">
      <c r="G709" s="4"/>
      <c r="H709" s="4"/>
      <c r="I709" s="4"/>
    </row>
    <row r="710" ht="15.75" customHeight="1">
      <c r="G710" s="4"/>
      <c r="H710" s="4"/>
      <c r="I710" s="4"/>
    </row>
    <row r="711" ht="15.75" customHeight="1">
      <c r="G711" s="4"/>
      <c r="H711" s="4"/>
      <c r="I711" s="4"/>
    </row>
    <row r="712" ht="15.75" customHeight="1">
      <c r="G712" s="4"/>
      <c r="H712" s="4"/>
      <c r="I712" s="4"/>
    </row>
    <row r="713" ht="15.75" customHeight="1">
      <c r="G713" s="4"/>
      <c r="H713" s="4"/>
      <c r="I713" s="4"/>
    </row>
    <row r="714" ht="15.75" customHeight="1">
      <c r="G714" s="4"/>
      <c r="H714" s="4"/>
      <c r="I714" s="4"/>
    </row>
    <row r="715" ht="15.75" customHeight="1">
      <c r="G715" s="4"/>
      <c r="H715" s="4"/>
      <c r="I715" s="4"/>
    </row>
    <row r="716" ht="15.75" customHeight="1">
      <c r="G716" s="4"/>
      <c r="H716" s="4"/>
      <c r="I716" s="4"/>
    </row>
    <row r="717" ht="15.75" customHeight="1">
      <c r="G717" s="4"/>
      <c r="H717" s="4"/>
      <c r="I717" s="4"/>
    </row>
    <row r="718" ht="15.75" customHeight="1">
      <c r="G718" s="4"/>
      <c r="H718" s="4"/>
      <c r="I718" s="4"/>
    </row>
    <row r="719" ht="15.75" customHeight="1">
      <c r="G719" s="4"/>
      <c r="H719" s="4"/>
      <c r="I719" s="4"/>
    </row>
    <row r="720" ht="15.75" customHeight="1">
      <c r="G720" s="4"/>
      <c r="H720" s="4"/>
      <c r="I720" s="4"/>
    </row>
    <row r="721" ht="15.75" customHeight="1">
      <c r="G721" s="4"/>
      <c r="H721" s="4"/>
      <c r="I721" s="4"/>
    </row>
    <row r="722" ht="15.75" customHeight="1">
      <c r="G722" s="4"/>
      <c r="H722" s="4"/>
      <c r="I722" s="4"/>
    </row>
    <row r="723" ht="15.75" customHeight="1">
      <c r="G723" s="4"/>
      <c r="H723" s="4"/>
      <c r="I723" s="4"/>
    </row>
    <row r="724" ht="15.75" customHeight="1">
      <c r="G724" s="4"/>
      <c r="H724" s="4"/>
      <c r="I724" s="4"/>
    </row>
    <row r="725" ht="15.75" customHeight="1">
      <c r="G725" s="4"/>
      <c r="H725" s="4"/>
      <c r="I725" s="4"/>
    </row>
    <row r="726" ht="15.75" customHeight="1">
      <c r="G726" s="4"/>
      <c r="H726" s="4"/>
      <c r="I726" s="4"/>
    </row>
    <row r="727" ht="15.75" customHeight="1">
      <c r="G727" s="4"/>
      <c r="H727" s="4"/>
      <c r="I727" s="4"/>
    </row>
    <row r="728" ht="15.75" customHeight="1">
      <c r="G728" s="4"/>
      <c r="H728" s="4"/>
      <c r="I728" s="4"/>
    </row>
    <row r="729" ht="15.75" customHeight="1">
      <c r="G729" s="4"/>
      <c r="H729" s="4"/>
      <c r="I729" s="4"/>
    </row>
    <row r="730" ht="15.75" customHeight="1">
      <c r="G730" s="4"/>
      <c r="H730" s="4"/>
      <c r="I730" s="4"/>
    </row>
    <row r="731" ht="15.75" customHeight="1">
      <c r="G731" s="4"/>
      <c r="H731" s="4"/>
      <c r="I731" s="4"/>
    </row>
    <row r="732" ht="15.75" customHeight="1">
      <c r="G732" s="4"/>
      <c r="H732" s="4"/>
      <c r="I732" s="4"/>
    </row>
    <row r="733" ht="15.75" customHeight="1">
      <c r="G733" s="4"/>
      <c r="H733" s="4"/>
      <c r="I733" s="4"/>
    </row>
    <row r="734" ht="15.75" customHeight="1">
      <c r="G734" s="4"/>
      <c r="H734" s="4"/>
      <c r="I734" s="4"/>
    </row>
    <row r="735" ht="15.75" customHeight="1">
      <c r="G735" s="4"/>
      <c r="H735" s="4"/>
      <c r="I735" s="4"/>
    </row>
    <row r="736" ht="15.75" customHeight="1">
      <c r="G736" s="4"/>
      <c r="H736" s="4"/>
      <c r="I736" s="4"/>
    </row>
    <row r="737" ht="15.75" customHeight="1">
      <c r="G737" s="4"/>
      <c r="H737" s="4"/>
      <c r="I737" s="4"/>
    </row>
    <row r="738" ht="15.75" customHeight="1">
      <c r="G738" s="4"/>
      <c r="H738" s="4"/>
      <c r="I738" s="4"/>
    </row>
    <row r="739" ht="15.75" customHeight="1">
      <c r="G739" s="4"/>
      <c r="H739" s="4"/>
      <c r="I739" s="4"/>
    </row>
    <row r="740" ht="15.75" customHeight="1">
      <c r="G740" s="4"/>
      <c r="H740" s="4"/>
      <c r="I740" s="4"/>
    </row>
    <row r="741" ht="15.75" customHeight="1">
      <c r="G741" s="4"/>
      <c r="H741" s="4"/>
      <c r="I741" s="4"/>
    </row>
    <row r="742" ht="15.75" customHeight="1">
      <c r="G742" s="4"/>
      <c r="H742" s="4"/>
      <c r="I742" s="4"/>
    </row>
    <row r="743" ht="15.75" customHeight="1">
      <c r="G743" s="4"/>
      <c r="H743" s="4"/>
      <c r="I743" s="4"/>
    </row>
    <row r="744" ht="15.75" customHeight="1">
      <c r="G744" s="4"/>
      <c r="H744" s="4"/>
      <c r="I744" s="4"/>
    </row>
    <row r="745" ht="15.75" customHeight="1">
      <c r="G745" s="4"/>
      <c r="H745" s="4"/>
      <c r="I745" s="4"/>
    </row>
    <row r="746" ht="15.75" customHeight="1">
      <c r="G746" s="4"/>
      <c r="H746" s="4"/>
      <c r="I746" s="4"/>
    </row>
    <row r="747" ht="15.75" customHeight="1">
      <c r="G747" s="4"/>
      <c r="H747" s="4"/>
      <c r="I747" s="4"/>
    </row>
    <row r="748" ht="15.75" customHeight="1">
      <c r="G748" s="4"/>
      <c r="H748" s="4"/>
      <c r="I748" s="4"/>
    </row>
    <row r="749" ht="15.75" customHeight="1">
      <c r="G749" s="4"/>
      <c r="H749" s="4"/>
      <c r="I749" s="4"/>
    </row>
    <row r="750" ht="15.75" customHeight="1">
      <c r="G750" s="4"/>
      <c r="H750" s="4"/>
      <c r="I750" s="4"/>
    </row>
    <row r="751" ht="15.75" customHeight="1">
      <c r="G751" s="4"/>
      <c r="H751" s="4"/>
      <c r="I751" s="4"/>
    </row>
    <row r="752" ht="15.75" customHeight="1">
      <c r="G752" s="4"/>
      <c r="H752" s="4"/>
      <c r="I752" s="4"/>
    </row>
    <row r="753" ht="15.75" customHeight="1">
      <c r="G753" s="4"/>
      <c r="H753" s="4"/>
      <c r="I753" s="4"/>
    </row>
    <row r="754" ht="15.75" customHeight="1">
      <c r="G754" s="4"/>
      <c r="H754" s="4"/>
      <c r="I754" s="4"/>
    </row>
    <row r="755" ht="15.75" customHeight="1">
      <c r="G755" s="4"/>
      <c r="H755" s="4"/>
      <c r="I755" s="4"/>
    </row>
    <row r="756" ht="15.75" customHeight="1">
      <c r="G756" s="4"/>
      <c r="H756" s="4"/>
      <c r="I756" s="4"/>
    </row>
    <row r="757" ht="15.75" customHeight="1">
      <c r="G757" s="4"/>
      <c r="H757" s="4"/>
      <c r="I757" s="4"/>
    </row>
    <row r="758" ht="15.75" customHeight="1">
      <c r="G758" s="4"/>
      <c r="H758" s="4"/>
      <c r="I758" s="4"/>
    </row>
    <row r="759" ht="15.75" customHeight="1">
      <c r="G759" s="4"/>
      <c r="H759" s="4"/>
      <c r="I759" s="4"/>
    </row>
    <row r="760" ht="15.75" customHeight="1">
      <c r="G760" s="4"/>
      <c r="H760" s="4"/>
      <c r="I760" s="4"/>
    </row>
    <row r="761" ht="15.75" customHeight="1">
      <c r="G761" s="4"/>
      <c r="H761" s="4"/>
      <c r="I761" s="4"/>
    </row>
    <row r="762" ht="15.75" customHeight="1">
      <c r="G762" s="4"/>
      <c r="H762" s="4"/>
      <c r="I762" s="4"/>
    </row>
    <row r="763" ht="15.75" customHeight="1">
      <c r="G763" s="4"/>
      <c r="H763" s="4"/>
      <c r="I763" s="4"/>
    </row>
    <row r="764" ht="15.75" customHeight="1">
      <c r="G764" s="4"/>
      <c r="H764" s="4"/>
      <c r="I764" s="4"/>
    </row>
    <row r="765" ht="15.75" customHeight="1">
      <c r="G765" s="4"/>
      <c r="H765" s="4"/>
      <c r="I765" s="4"/>
    </row>
    <row r="766" ht="15.75" customHeight="1">
      <c r="G766" s="4"/>
      <c r="H766" s="4"/>
      <c r="I766" s="4"/>
    </row>
    <row r="767" ht="15.75" customHeight="1">
      <c r="G767" s="4"/>
      <c r="H767" s="4"/>
      <c r="I767" s="4"/>
    </row>
    <row r="768" ht="15.75" customHeight="1">
      <c r="G768" s="4"/>
      <c r="H768" s="4"/>
      <c r="I768" s="4"/>
    </row>
    <row r="769" ht="15.75" customHeight="1">
      <c r="G769" s="4"/>
      <c r="H769" s="4"/>
      <c r="I769" s="4"/>
    </row>
    <row r="770" ht="15.75" customHeight="1">
      <c r="G770" s="4"/>
      <c r="H770" s="4"/>
      <c r="I770" s="4"/>
    </row>
    <row r="771" ht="15.75" customHeight="1">
      <c r="G771" s="4"/>
      <c r="H771" s="4"/>
      <c r="I771" s="4"/>
    </row>
    <row r="772" ht="15.75" customHeight="1">
      <c r="G772" s="4"/>
      <c r="H772" s="4"/>
      <c r="I772" s="4"/>
    </row>
    <row r="773" ht="15.75" customHeight="1">
      <c r="G773" s="4"/>
      <c r="H773" s="4"/>
      <c r="I773" s="4"/>
    </row>
    <row r="774" ht="15.75" customHeight="1">
      <c r="G774" s="4"/>
      <c r="H774" s="4"/>
      <c r="I774" s="4"/>
    </row>
    <row r="775" ht="15.75" customHeight="1">
      <c r="G775" s="4"/>
      <c r="H775" s="4"/>
      <c r="I775" s="4"/>
    </row>
    <row r="776" ht="15.75" customHeight="1">
      <c r="G776" s="4"/>
      <c r="H776" s="4"/>
      <c r="I776" s="4"/>
    </row>
    <row r="777" ht="15.75" customHeight="1">
      <c r="G777" s="4"/>
      <c r="H777" s="4"/>
      <c r="I777" s="4"/>
    </row>
    <row r="778" ht="15.75" customHeight="1">
      <c r="G778" s="4"/>
      <c r="H778" s="4"/>
      <c r="I778" s="4"/>
    </row>
    <row r="779" ht="15.75" customHeight="1">
      <c r="G779" s="4"/>
      <c r="H779" s="4"/>
      <c r="I779" s="4"/>
    </row>
    <row r="780" ht="15.75" customHeight="1">
      <c r="G780" s="4"/>
      <c r="H780" s="4"/>
      <c r="I780" s="4"/>
    </row>
    <row r="781" ht="15.75" customHeight="1">
      <c r="G781" s="4"/>
      <c r="H781" s="4"/>
      <c r="I781" s="4"/>
    </row>
    <row r="782" ht="15.75" customHeight="1">
      <c r="G782" s="4"/>
      <c r="H782" s="4"/>
      <c r="I782" s="4"/>
    </row>
    <row r="783" ht="15.75" customHeight="1">
      <c r="G783" s="4"/>
      <c r="H783" s="4"/>
      <c r="I783" s="4"/>
    </row>
    <row r="784" ht="15.75" customHeight="1">
      <c r="G784" s="4"/>
      <c r="H784" s="4"/>
      <c r="I784" s="4"/>
    </row>
    <row r="785" ht="15.75" customHeight="1">
      <c r="G785" s="4"/>
      <c r="H785" s="4"/>
      <c r="I785" s="4"/>
    </row>
    <row r="786" ht="15.75" customHeight="1">
      <c r="G786" s="4"/>
      <c r="H786" s="4"/>
      <c r="I786" s="4"/>
    </row>
    <row r="787" ht="15.75" customHeight="1">
      <c r="G787" s="4"/>
      <c r="H787" s="4"/>
      <c r="I787" s="4"/>
    </row>
    <row r="788" ht="15.75" customHeight="1">
      <c r="G788" s="4"/>
      <c r="H788" s="4"/>
      <c r="I788" s="4"/>
    </row>
    <row r="789" ht="15.75" customHeight="1">
      <c r="G789" s="4"/>
      <c r="H789" s="4"/>
      <c r="I789" s="4"/>
    </row>
    <row r="790" ht="15.75" customHeight="1">
      <c r="G790" s="4"/>
      <c r="H790" s="4"/>
      <c r="I790" s="4"/>
    </row>
    <row r="791" ht="15.75" customHeight="1">
      <c r="G791" s="4"/>
      <c r="H791" s="4"/>
      <c r="I791" s="4"/>
    </row>
    <row r="792" ht="15.75" customHeight="1">
      <c r="G792" s="4"/>
      <c r="H792" s="4"/>
      <c r="I792" s="4"/>
    </row>
    <row r="793" ht="15.75" customHeight="1">
      <c r="G793" s="4"/>
      <c r="H793" s="4"/>
      <c r="I793" s="4"/>
    </row>
    <row r="794" ht="15.75" customHeight="1">
      <c r="G794" s="4"/>
      <c r="H794" s="4"/>
      <c r="I794" s="4"/>
    </row>
    <row r="795" ht="15.75" customHeight="1">
      <c r="G795" s="4"/>
      <c r="H795" s="4"/>
      <c r="I795" s="4"/>
    </row>
    <row r="796" ht="15.75" customHeight="1">
      <c r="G796" s="4"/>
      <c r="H796" s="4"/>
      <c r="I796" s="4"/>
    </row>
    <row r="797" ht="15.75" customHeight="1">
      <c r="G797" s="4"/>
      <c r="H797" s="4"/>
      <c r="I797" s="4"/>
    </row>
    <row r="798" ht="15.75" customHeight="1">
      <c r="G798" s="4"/>
      <c r="H798" s="4"/>
      <c r="I798" s="4"/>
    </row>
    <row r="799" ht="15.75" customHeight="1">
      <c r="G799" s="4"/>
      <c r="H799" s="4"/>
      <c r="I799" s="4"/>
    </row>
    <row r="800" ht="15.75" customHeight="1">
      <c r="G800" s="4"/>
      <c r="H800" s="4"/>
      <c r="I800" s="4"/>
    </row>
    <row r="801" ht="15.75" customHeight="1">
      <c r="G801" s="4"/>
      <c r="H801" s="4"/>
      <c r="I801" s="4"/>
    </row>
    <row r="802" ht="15.75" customHeight="1">
      <c r="G802" s="4"/>
      <c r="H802" s="4"/>
      <c r="I802" s="4"/>
    </row>
    <row r="803" ht="15.75" customHeight="1">
      <c r="G803" s="4"/>
      <c r="H803" s="4"/>
      <c r="I803" s="4"/>
    </row>
    <row r="804" ht="15.75" customHeight="1">
      <c r="G804" s="4"/>
      <c r="H804" s="4"/>
      <c r="I804" s="4"/>
    </row>
    <row r="805" ht="15.75" customHeight="1">
      <c r="G805" s="4"/>
      <c r="H805" s="4"/>
      <c r="I805" s="4"/>
    </row>
    <row r="806" ht="15.75" customHeight="1">
      <c r="G806" s="4"/>
      <c r="H806" s="4"/>
      <c r="I806" s="4"/>
    </row>
    <row r="807" ht="15.75" customHeight="1">
      <c r="G807" s="4"/>
      <c r="H807" s="4"/>
      <c r="I807" s="4"/>
    </row>
    <row r="808" ht="15.75" customHeight="1">
      <c r="G808" s="4"/>
      <c r="H808" s="4"/>
      <c r="I808" s="4"/>
    </row>
    <row r="809" ht="15.75" customHeight="1">
      <c r="G809" s="4"/>
      <c r="H809" s="4"/>
      <c r="I809" s="4"/>
    </row>
    <row r="810" ht="15.75" customHeight="1">
      <c r="G810" s="4"/>
      <c r="H810" s="4"/>
      <c r="I810" s="4"/>
    </row>
    <row r="811" ht="15.75" customHeight="1">
      <c r="G811" s="4"/>
      <c r="H811" s="4"/>
      <c r="I811" s="4"/>
    </row>
    <row r="812" ht="15.75" customHeight="1">
      <c r="G812" s="4"/>
      <c r="H812" s="4"/>
      <c r="I812" s="4"/>
    </row>
    <row r="813" ht="15.75" customHeight="1">
      <c r="G813" s="4"/>
      <c r="H813" s="4"/>
      <c r="I813" s="4"/>
    </row>
    <row r="814" ht="15.75" customHeight="1">
      <c r="G814" s="4"/>
      <c r="H814" s="4"/>
      <c r="I814" s="4"/>
    </row>
    <row r="815" ht="15.75" customHeight="1">
      <c r="G815" s="4"/>
      <c r="H815" s="4"/>
      <c r="I815" s="4"/>
    </row>
    <row r="816" ht="15.75" customHeight="1">
      <c r="G816" s="4"/>
      <c r="H816" s="4"/>
      <c r="I816" s="4"/>
    </row>
    <row r="817" ht="15.75" customHeight="1">
      <c r="G817" s="4"/>
      <c r="H817" s="4"/>
      <c r="I817" s="4"/>
    </row>
    <row r="818" ht="15.75" customHeight="1">
      <c r="G818" s="4"/>
      <c r="H818" s="4"/>
      <c r="I818" s="4"/>
    </row>
    <row r="819" ht="15.75" customHeight="1">
      <c r="G819" s="4"/>
      <c r="H819" s="4"/>
      <c r="I819" s="4"/>
    </row>
    <row r="820" ht="15.75" customHeight="1">
      <c r="G820" s="4"/>
      <c r="H820" s="4"/>
      <c r="I820" s="4"/>
    </row>
    <row r="821" ht="15.75" customHeight="1">
      <c r="G821" s="4"/>
      <c r="H821" s="4"/>
      <c r="I821" s="4"/>
    </row>
    <row r="822" ht="15.75" customHeight="1">
      <c r="G822" s="4"/>
      <c r="H822" s="4"/>
      <c r="I822" s="4"/>
    </row>
    <row r="823" ht="15.75" customHeight="1">
      <c r="G823" s="4"/>
      <c r="H823" s="4"/>
      <c r="I823" s="4"/>
    </row>
    <row r="824" ht="15.75" customHeight="1">
      <c r="G824" s="4"/>
      <c r="H824" s="4"/>
      <c r="I824" s="4"/>
    </row>
    <row r="825" ht="15.75" customHeight="1">
      <c r="G825" s="4"/>
      <c r="H825" s="4"/>
      <c r="I825" s="4"/>
    </row>
    <row r="826" ht="15.75" customHeight="1">
      <c r="G826" s="4"/>
      <c r="H826" s="4"/>
      <c r="I826" s="4"/>
    </row>
    <row r="827" ht="15.75" customHeight="1">
      <c r="G827" s="4"/>
      <c r="H827" s="4"/>
      <c r="I827" s="4"/>
    </row>
    <row r="828" ht="15.75" customHeight="1">
      <c r="G828" s="4"/>
      <c r="H828" s="4"/>
      <c r="I828" s="4"/>
    </row>
    <row r="829" ht="15.75" customHeight="1">
      <c r="G829" s="4"/>
      <c r="H829" s="4"/>
      <c r="I829" s="4"/>
    </row>
    <row r="830" ht="15.75" customHeight="1">
      <c r="G830" s="4"/>
      <c r="H830" s="4"/>
      <c r="I830" s="4"/>
    </row>
    <row r="831" ht="15.75" customHeight="1">
      <c r="G831" s="4"/>
      <c r="H831" s="4"/>
      <c r="I831" s="4"/>
    </row>
    <row r="832" ht="15.75" customHeight="1">
      <c r="G832" s="4"/>
      <c r="H832" s="4"/>
      <c r="I832" s="4"/>
    </row>
    <row r="833" ht="15.75" customHeight="1">
      <c r="G833" s="4"/>
      <c r="H833" s="4"/>
      <c r="I833" s="4"/>
    </row>
    <row r="834" ht="15.75" customHeight="1">
      <c r="G834" s="4"/>
      <c r="H834" s="4"/>
      <c r="I834" s="4"/>
    </row>
    <row r="835" ht="15.75" customHeight="1">
      <c r="G835" s="4"/>
      <c r="H835" s="4"/>
      <c r="I835" s="4"/>
    </row>
    <row r="836" ht="15.75" customHeight="1">
      <c r="G836" s="4"/>
      <c r="H836" s="4"/>
      <c r="I836" s="4"/>
    </row>
    <row r="837" ht="15.75" customHeight="1">
      <c r="G837" s="4"/>
      <c r="H837" s="4"/>
      <c r="I837" s="4"/>
    </row>
    <row r="838" ht="15.75" customHeight="1">
      <c r="G838" s="4"/>
      <c r="H838" s="4"/>
      <c r="I838" s="4"/>
    </row>
    <row r="839" ht="15.75" customHeight="1">
      <c r="G839" s="4"/>
      <c r="H839" s="4"/>
      <c r="I839" s="4"/>
    </row>
    <row r="840" ht="15.75" customHeight="1">
      <c r="G840" s="4"/>
      <c r="H840" s="4"/>
      <c r="I840" s="4"/>
    </row>
    <row r="841" ht="15.75" customHeight="1">
      <c r="G841" s="4"/>
      <c r="H841" s="4"/>
      <c r="I841" s="4"/>
    </row>
    <row r="842" ht="15.75" customHeight="1">
      <c r="G842" s="4"/>
      <c r="H842" s="4"/>
      <c r="I842" s="4"/>
    </row>
    <row r="843" ht="15.75" customHeight="1">
      <c r="G843" s="4"/>
      <c r="H843" s="4"/>
      <c r="I843" s="4"/>
    </row>
    <row r="844" ht="15.75" customHeight="1">
      <c r="G844" s="4"/>
      <c r="H844" s="4"/>
      <c r="I844" s="4"/>
    </row>
    <row r="845" ht="15.75" customHeight="1">
      <c r="G845" s="4"/>
      <c r="H845" s="4"/>
      <c r="I845" s="4"/>
    </row>
    <row r="846" ht="15.75" customHeight="1">
      <c r="G846" s="4"/>
      <c r="H846" s="4"/>
      <c r="I846" s="4"/>
    </row>
    <row r="847" ht="15.75" customHeight="1">
      <c r="G847" s="4"/>
      <c r="H847" s="4"/>
      <c r="I847" s="4"/>
    </row>
    <row r="848" ht="15.75" customHeight="1">
      <c r="G848" s="4"/>
      <c r="H848" s="4"/>
      <c r="I848" s="4"/>
    </row>
    <row r="849" ht="15.75" customHeight="1">
      <c r="G849" s="4"/>
      <c r="H849" s="4"/>
      <c r="I849" s="4"/>
    </row>
    <row r="850" ht="15.75" customHeight="1">
      <c r="G850" s="4"/>
      <c r="H850" s="4"/>
      <c r="I850" s="4"/>
    </row>
    <row r="851" ht="15.75" customHeight="1">
      <c r="G851" s="4"/>
      <c r="H851" s="4"/>
      <c r="I851" s="4"/>
    </row>
    <row r="852" ht="15.75" customHeight="1">
      <c r="G852" s="4"/>
      <c r="H852" s="4"/>
      <c r="I852" s="4"/>
    </row>
    <row r="853" ht="15.75" customHeight="1">
      <c r="G853" s="4"/>
      <c r="H853" s="4"/>
      <c r="I853" s="4"/>
    </row>
    <row r="854" ht="15.75" customHeight="1">
      <c r="G854" s="4"/>
      <c r="H854" s="4"/>
      <c r="I854" s="4"/>
    </row>
    <row r="855" ht="15.75" customHeight="1">
      <c r="G855" s="4"/>
      <c r="H855" s="4"/>
      <c r="I855" s="4"/>
    </row>
    <row r="856" ht="15.75" customHeight="1">
      <c r="G856" s="4"/>
      <c r="H856" s="4"/>
      <c r="I856" s="4"/>
    </row>
    <row r="857" ht="15.75" customHeight="1">
      <c r="G857" s="4"/>
      <c r="H857" s="4"/>
      <c r="I857" s="4"/>
    </row>
    <row r="858" ht="15.75" customHeight="1">
      <c r="G858" s="4"/>
      <c r="H858" s="4"/>
      <c r="I858" s="4"/>
    </row>
    <row r="859" ht="15.75" customHeight="1">
      <c r="G859" s="4"/>
      <c r="H859" s="4"/>
      <c r="I859" s="4"/>
    </row>
    <row r="860" ht="15.75" customHeight="1">
      <c r="G860" s="4"/>
      <c r="H860" s="4"/>
      <c r="I860" s="4"/>
    </row>
    <row r="861" ht="15.75" customHeight="1">
      <c r="G861" s="4"/>
      <c r="H861" s="4"/>
      <c r="I861" s="4"/>
    </row>
    <row r="862" ht="15.75" customHeight="1">
      <c r="G862" s="4"/>
      <c r="H862" s="4"/>
      <c r="I862" s="4"/>
    </row>
    <row r="863" ht="15.75" customHeight="1">
      <c r="G863" s="4"/>
      <c r="H863" s="4"/>
      <c r="I863" s="4"/>
    </row>
    <row r="864" ht="15.75" customHeight="1">
      <c r="G864" s="4"/>
      <c r="H864" s="4"/>
      <c r="I864" s="4"/>
    </row>
    <row r="865" ht="15.75" customHeight="1">
      <c r="G865" s="4"/>
      <c r="H865" s="4"/>
      <c r="I865" s="4"/>
    </row>
    <row r="866" ht="15.75" customHeight="1">
      <c r="G866" s="4"/>
      <c r="H866" s="4"/>
      <c r="I866" s="4"/>
    </row>
    <row r="867" ht="15.75" customHeight="1">
      <c r="G867" s="4"/>
      <c r="H867" s="4"/>
      <c r="I867" s="4"/>
    </row>
    <row r="868" ht="15.75" customHeight="1">
      <c r="G868" s="4"/>
      <c r="H868" s="4"/>
      <c r="I868" s="4"/>
    </row>
    <row r="869" ht="15.75" customHeight="1">
      <c r="G869" s="4"/>
      <c r="H869" s="4"/>
      <c r="I869" s="4"/>
    </row>
    <row r="870" ht="15.75" customHeight="1">
      <c r="G870" s="4"/>
      <c r="H870" s="4"/>
      <c r="I870" s="4"/>
    </row>
    <row r="871" ht="15.75" customHeight="1">
      <c r="G871" s="4"/>
      <c r="H871" s="4"/>
      <c r="I871" s="4"/>
    </row>
    <row r="872" ht="15.75" customHeight="1">
      <c r="G872" s="4"/>
      <c r="H872" s="4"/>
      <c r="I872" s="4"/>
    </row>
    <row r="873" ht="15.75" customHeight="1">
      <c r="G873" s="4"/>
      <c r="H873" s="4"/>
      <c r="I873" s="4"/>
    </row>
    <row r="874" ht="15.75" customHeight="1">
      <c r="G874" s="4"/>
      <c r="H874" s="4"/>
      <c r="I874" s="4"/>
    </row>
    <row r="875" ht="15.75" customHeight="1">
      <c r="G875" s="4"/>
      <c r="H875" s="4"/>
      <c r="I875" s="4"/>
    </row>
    <row r="876" ht="15.75" customHeight="1">
      <c r="G876" s="4"/>
      <c r="H876" s="4"/>
      <c r="I876" s="4"/>
    </row>
    <row r="877" ht="15.75" customHeight="1">
      <c r="G877" s="4"/>
      <c r="H877" s="4"/>
      <c r="I877" s="4"/>
    </row>
    <row r="878" ht="15.75" customHeight="1">
      <c r="G878" s="4"/>
      <c r="H878" s="4"/>
      <c r="I878" s="4"/>
    </row>
    <row r="879" ht="15.75" customHeight="1">
      <c r="G879" s="4"/>
      <c r="H879" s="4"/>
      <c r="I879" s="4"/>
    </row>
    <row r="880" ht="15.75" customHeight="1">
      <c r="G880" s="4"/>
      <c r="H880" s="4"/>
      <c r="I880" s="4"/>
    </row>
    <row r="881" ht="15.75" customHeight="1">
      <c r="G881" s="4"/>
      <c r="H881" s="4"/>
      <c r="I881" s="4"/>
    </row>
    <row r="882" ht="15.75" customHeight="1">
      <c r="G882" s="4"/>
      <c r="H882" s="4"/>
      <c r="I882" s="4"/>
    </row>
    <row r="883" ht="15.75" customHeight="1">
      <c r="G883" s="4"/>
      <c r="H883" s="4"/>
      <c r="I883" s="4"/>
    </row>
    <row r="884" ht="15.75" customHeight="1">
      <c r="G884" s="4"/>
      <c r="H884" s="4"/>
      <c r="I884" s="4"/>
    </row>
    <row r="885" ht="15.75" customHeight="1">
      <c r="G885" s="4"/>
      <c r="H885" s="4"/>
      <c r="I885" s="4"/>
    </row>
    <row r="886" ht="15.75" customHeight="1">
      <c r="G886" s="4"/>
      <c r="H886" s="4"/>
      <c r="I886" s="4"/>
    </row>
    <row r="887" ht="15.75" customHeight="1">
      <c r="G887" s="4"/>
      <c r="H887" s="4"/>
      <c r="I887" s="4"/>
    </row>
    <row r="888" ht="15.75" customHeight="1">
      <c r="G888" s="4"/>
      <c r="H888" s="4"/>
      <c r="I888" s="4"/>
    </row>
    <row r="889" ht="15.75" customHeight="1">
      <c r="G889" s="4"/>
      <c r="H889" s="4"/>
      <c r="I889" s="4"/>
    </row>
    <row r="890" ht="15.75" customHeight="1">
      <c r="G890" s="4"/>
      <c r="H890" s="4"/>
      <c r="I890" s="4"/>
    </row>
    <row r="891" ht="15.75" customHeight="1">
      <c r="G891" s="4"/>
      <c r="H891" s="4"/>
      <c r="I891" s="4"/>
    </row>
    <row r="892" ht="15.75" customHeight="1">
      <c r="G892" s="4"/>
      <c r="H892" s="4"/>
      <c r="I892" s="4"/>
    </row>
    <row r="893" ht="15.75" customHeight="1">
      <c r="G893" s="4"/>
      <c r="H893" s="4"/>
      <c r="I893" s="4"/>
    </row>
    <row r="894" ht="15.75" customHeight="1">
      <c r="G894" s="4"/>
      <c r="H894" s="4"/>
      <c r="I894" s="4"/>
    </row>
    <row r="895" ht="15.75" customHeight="1">
      <c r="G895" s="4"/>
      <c r="H895" s="4"/>
      <c r="I895" s="4"/>
    </row>
    <row r="896" ht="15.75" customHeight="1">
      <c r="G896" s="4"/>
      <c r="H896" s="4"/>
      <c r="I896" s="4"/>
    </row>
    <row r="897" ht="15.75" customHeight="1">
      <c r="G897" s="4"/>
      <c r="H897" s="4"/>
      <c r="I897" s="4"/>
    </row>
    <row r="898" ht="15.75" customHeight="1">
      <c r="G898" s="4"/>
      <c r="H898" s="4"/>
      <c r="I898" s="4"/>
    </row>
    <row r="899" ht="15.75" customHeight="1">
      <c r="G899" s="4"/>
      <c r="H899" s="4"/>
      <c r="I899" s="4"/>
    </row>
    <row r="900" ht="15.75" customHeight="1">
      <c r="G900" s="4"/>
      <c r="H900" s="4"/>
      <c r="I900" s="4"/>
    </row>
    <row r="901" ht="15.75" customHeight="1">
      <c r="G901" s="4"/>
      <c r="H901" s="4"/>
      <c r="I901" s="4"/>
    </row>
    <row r="902" ht="15.75" customHeight="1">
      <c r="G902" s="4"/>
      <c r="H902" s="4"/>
      <c r="I902" s="4"/>
    </row>
    <row r="903" ht="15.75" customHeight="1">
      <c r="G903" s="4"/>
      <c r="H903" s="4"/>
      <c r="I903" s="4"/>
    </row>
    <row r="904" ht="15.75" customHeight="1">
      <c r="G904" s="4"/>
      <c r="H904" s="4"/>
      <c r="I904" s="4"/>
    </row>
    <row r="905" ht="15.75" customHeight="1">
      <c r="G905" s="4"/>
      <c r="H905" s="4"/>
      <c r="I905" s="4"/>
    </row>
    <row r="906" ht="15.75" customHeight="1">
      <c r="G906" s="4"/>
      <c r="H906" s="4"/>
      <c r="I906" s="4"/>
    </row>
    <row r="907" ht="15.75" customHeight="1">
      <c r="G907" s="4"/>
      <c r="H907" s="4"/>
      <c r="I907" s="4"/>
    </row>
    <row r="908" ht="15.75" customHeight="1">
      <c r="G908" s="4"/>
      <c r="H908" s="4"/>
      <c r="I908" s="4"/>
    </row>
    <row r="909" ht="15.75" customHeight="1">
      <c r="G909" s="4"/>
      <c r="H909" s="4"/>
      <c r="I909" s="4"/>
    </row>
    <row r="910" ht="15.75" customHeight="1">
      <c r="G910" s="4"/>
      <c r="H910" s="4"/>
      <c r="I910" s="4"/>
    </row>
    <row r="911" ht="15.75" customHeight="1">
      <c r="G911" s="4"/>
      <c r="H911" s="4"/>
      <c r="I911" s="4"/>
    </row>
    <row r="912" ht="15.75" customHeight="1">
      <c r="G912" s="4"/>
      <c r="H912" s="4"/>
      <c r="I912" s="4"/>
    </row>
    <row r="913" ht="15.75" customHeight="1">
      <c r="G913" s="4"/>
      <c r="H913" s="4"/>
      <c r="I913" s="4"/>
    </row>
    <row r="914" ht="15.75" customHeight="1">
      <c r="G914" s="4"/>
      <c r="H914" s="4"/>
      <c r="I914" s="4"/>
    </row>
    <row r="915" ht="15.75" customHeight="1">
      <c r="G915" s="4"/>
      <c r="H915" s="4"/>
      <c r="I915" s="4"/>
    </row>
    <row r="916" ht="15.75" customHeight="1">
      <c r="G916" s="4"/>
      <c r="H916" s="4"/>
      <c r="I916" s="4"/>
    </row>
    <row r="917" ht="15.75" customHeight="1">
      <c r="G917" s="4"/>
      <c r="H917" s="4"/>
      <c r="I917" s="4"/>
    </row>
    <row r="918" ht="15.75" customHeight="1">
      <c r="G918" s="4"/>
      <c r="H918" s="4"/>
      <c r="I918" s="4"/>
    </row>
    <row r="919" ht="15.75" customHeight="1">
      <c r="G919" s="4"/>
      <c r="H919" s="4"/>
      <c r="I919" s="4"/>
    </row>
    <row r="920" ht="15.75" customHeight="1">
      <c r="G920" s="4"/>
      <c r="H920" s="4"/>
      <c r="I920" s="4"/>
    </row>
    <row r="921" ht="15.75" customHeight="1">
      <c r="G921" s="4"/>
      <c r="H921" s="4"/>
      <c r="I921" s="4"/>
    </row>
    <row r="922" ht="15.75" customHeight="1">
      <c r="G922" s="4"/>
      <c r="H922" s="4"/>
      <c r="I922" s="4"/>
    </row>
    <row r="923" ht="15.75" customHeight="1">
      <c r="G923" s="4"/>
      <c r="H923" s="4"/>
      <c r="I923" s="4"/>
    </row>
    <row r="924" ht="15.75" customHeight="1">
      <c r="G924" s="4"/>
      <c r="H924" s="4"/>
      <c r="I924" s="4"/>
    </row>
    <row r="925" ht="15.75" customHeight="1">
      <c r="G925" s="4"/>
      <c r="H925" s="4"/>
      <c r="I925" s="4"/>
    </row>
    <row r="926" ht="15.75" customHeight="1">
      <c r="G926" s="4"/>
      <c r="H926" s="4"/>
      <c r="I926" s="4"/>
    </row>
    <row r="927" ht="15.75" customHeight="1">
      <c r="G927" s="4"/>
      <c r="H927" s="4"/>
      <c r="I927" s="4"/>
    </row>
    <row r="928" ht="15.75" customHeight="1">
      <c r="G928" s="4"/>
      <c r="H928" s="4"/>
      <c r="I928" s="4"/>
    </row>
    <row r="929" ht="15.75" customHeight="1">
      <c r="G929" s="4"/>
      <c r="H929" s="4"/>
      <c r="I929" s="4"/>
    </row>
    <row r="930" ht="15.75" customHeight="1">
      <c r="G930" s="4"/>
      <c r="H930" s="4"/>
      <c r="I930" s="4"/>
    </row>
    <row r="931" ht="15.75" customHeight="1">
      <c r="G931" s="4"/>
      <c r="H931" s="4"/>
      <c r="I931" s="4"/>
    </row>
    <row r="932" ht="15.75" customHeight="1">
      <c r="G932" s="4"/>
      <c r="H932" s="4"/>
      <c r="I932" s="4"/>
    </row>
    <row r="933" ht="15.75" customHeight="1">
      <c r="G933" s="4"/>
      <c r="H933" s="4"/>
      <c r="I933" s="4"/>
    </row>
    <row r="934" ht="15.75" customHeight="1">
      <c r="G934" s="4"/>
      <c r="H934" s="4"/>
      <c r="I934" s="4"/>
    </row>
    <row r="935" ht="15.75" customHeight="1">
      <c r="G935" s="4"/>
      <c r="H935" s="4"/>
      <c r="I935" s="4"/>
    </row>
    <row r="936" ht="15.75" customHeight="1">
      <c r="G936" s="4"/>
      <c r="H936" s="4"/>
      <c r="I936" s="4"/>
    </row>
    <row r="937" ht="15.75" customHeight="1">
      <c r="G937" s="4"/>
      <c r="H937" s="4"/>
      <c r="I937" s="4"/>
    </row>
    <row r="938" ht="15.75" customHeight="1">
      <c r="G938" s="4"/>
      <c r="H938" s="4"/>
      <c r="I938" s="4"/>
    </row>
    <row r="939" ht="15.75" customHeight="1">
      <c r="G939" s="4"/>
      <c r="H939" s="4"/>
      <c r="I939" s="4"/>
    </row>
    <row r="940" ht="15.75" customHeight="1">
      <c r="G940" s="4"/>
      <c r="H940" s="4"/>
      <c r="I940" s="4"/>
    </row>
    <row r="941" ht="15.75" customHeight="1">
      <c r="G941" s="4"/>
      <c r="H941" s="4"/>
      <c r="I941" s="4"/>
    </row>
    <row r="942" ht="15.75" customHeight="1">
      <c r="G942" s="4"/>
      <c r="H942" s="4"/>
      <c r="I942" s="4"/>
    </row>
    <row r="943" ht="15.75" customHeight="1">
      <c r="G943" s="4"/>
      <c r="H943" s="4"/>
      <c r="I943" s="4"/>
    </row>
    <row r="944" ht="15.75" customHeight="1">
      <c r="G944" s="4"/>
      <c r="H944" s="4"/>
      <c r="I944" s="4"/>
    </row>
    <row r="945" ht="15.75" customHeight="1">
      <c r="G945" s="4"/>
      <c r="H945" s="4"/>
      <c r="I945" s="4"/>
    </row>
    <row r="946" ht="15.75" customHeight="1">
      <c r="G946" s="4"/>
      <c r="H946" s="4"/>
      <c r="I946" s="4"/>
    </row>
    <row r="947" ht="15.75" customHeight="1">
      <c r="G947" s="4"/>
      <c r="H947" s="4"/>
      <c r="I947" s="4"/>
    </row>
    <row r="948" ht="15.75" customHeight="1">
      <c r="G948" s="4"/>
      <c r="H948" s="4"/>
      <c r="I948" s="4"/>
    </row>
    <row r="949" ht="15.75" customHeight="1">
      <c r="G949" s="4"/>
      <c r="H949" s="4"/>
      <c r="I949" s="4"/>
    </row>
    <row r="950" ht="15.75" customHeight="1">
      <c r="G950" s="4"/>
      <c r="H950" s="4"/>
      <c r="I950" s="4"/>
    </row>
    <row r="951" ht="15.75" customHeight="1">
      <c r="G951" s="4"/>
      <c r="H951" s="4"/>
      <c r="I951" s="4"/>
    </row>
    <row r="952" ht="15.75" customHeight="1">
      <c r="G952" s="4"/>
      <c r="H952" s="4"/>
      <c r="I952" s="4"/>
    </row>
    <row r="953" ht="15.75" customHeight="1">
      <c r="G953" s="4"/>
      <c r="H953" s="4"/>
      <c r="I953" s="4"/>
    </row>
    <row r="954" ht="15.75" customHeight="1">
      <c r="G954" s="4"/>
      <c r="H954" s="4"/>
      <c r="I954" s="4"/>
    </row>
    <row r="955" ht="15.75" customHeight="1">
      <c r="G955" s="4"/>
      <c r="H955" s="4"/>
      <c r="I955" s="4"/>
    </row>
    <row r="956" ht="15.75" customHeight="1">
      <c r="G956" s="4"/>
      <c r="H956" s="4"/>
      <c r="I956" s="4"/>
    </row>
    <row r="957" ht="15.75" customHeight="1">
      <c r="G957" s="4"/>
      <c r="H957" s="4"/>
      <c r="I957" s="4"/>
    </row>
    <row r="958" ht="15.75" customHeight="1">
      <c r="G958" s="4"/>
      <c r="H958" s="4"/>
      <c r="I958" s="4"/>
    </row>
    <row r="959" ht="15.75" customHeight="1">
      <c r="G959" s="4"/>
      <c r="H959" s="4"/>
      <c r="I959" s="4"/>
    </row>
    <row r="960" ht="15.75" customHeight="1">
      <c r="G960" s="4"/>
      <c r="H960" s="4"/>
      <c r="I960" s="4"/>
    </row>
    <row r="961" ht="15.75" customHeight="1">
      <c r="G961" s="4"/>
      <c r="H961" s="4"/>
      <c r="I961" s="4"/>
    </row>
    <row r="962" ht="15.75" customHeight="1">
      <c r="G962" s="4"/>
      <c r="H962" s="4"/>
      <c r="I962" s="4"/>
    </row>
    <row r="963" ht="15.75" customHeight="1">
      <c r="G963" s="4"/>
      <c r="H963" s="4"/>
      <c r="I963" s="4"/>
    </row>
    <row r="964" ht="15.75" customHeight="1">
      <c r="G964" s="4"/>
      <c r="H964" s="4"/>
      <c r="I964" s="4"/>
    </row>
    <row r="965" ht="15.75" customHeight="1">
      <c r="G965" s="4"/>
      <c r="H965" s="4"/>
      <c r="I965" s="4"/>
    </row>
    <row r="966" ht="15.75" customHeight="1">
      <c r="G966" s="4"/>
      <c r="H966" s="4"/>
      <c r="I966" s="4"/>
    </row>
    <row r="967" ht="15.75" customHeight="1">
      <c r="G967" s="4"/>
      <c r="H967" s="4"/>
      <c r="I967" s="4"/>
    </row>
    <row r="968" ht="15.75" customHeight="1">
      <c r="G968" s="4"/>
      <c r="H968" s="4"/>
      <c r="I968" s="4"/>
    </row>
    <row r="969" ht="15.75" customHeight="1">
      <c r="G969" s="4"/>
      <c r="H969" s="4"/>
      <c r="I969" s="4"/>
    </row>
    <row r="970" ht="15.75" customHeight="1">
      <c r="G970" s="4"/>
      <c r="H970" s="4"/>
      <c r="I970" s="4"/>
    </row>
    <row r="971" ht="15.75" customHeight="1">
      <c r="G971" s="4"/>
      <c r="H971" s="4"/>
      <c r="I971" s="4"/>
    </row>
    <row r="972" ht="15.75" customHeight="1">
      <c r="G972" s="4"/>
      <c r="H972" s="4"/>
      <c r="I972" s="4"/>
    </row>
    <row r="973" ht="15.75" customHeight="1">
      <c r="G973" s="4"/>
      <c r="H973" s="4"/>
      <c r="I973" s="4"/>
    </row>
    <row r="974" ht="15.75" customHeight="1">
      <c r="G974" s="4"/>
      <c r="H974" s="4"/>
      <c r="I974" s="4"/>
    </row>
    <row r="975" ht="15.75" customHeight="1">
      <c r="G975" s="4"/>
      <c r="H975" s="4"/>
      <c r="I975" s="4"/>
    </row>
    <row r="976" ht="15.75" customHeight="1">
      <c r="G976" s="4"/>
      <c r="H976" s="4"/>
      <c r="I976" s="4"/>
    </row>
    <row r="977" ht="15.75" customHeight="1">
      <c r="G977" s="4"/>
      <c r="H977" s="4"/>
      <c r="I977" s="4"/>
    </row>
    <row r="978" ht="15.75" customHeight="1">
      <c r="G978" s="4"/>
      <c r="H978" s="4"/>
      <c r="I978" s="4"/>
    </row>
    <row r="979" ht="15.75" customHeight="1">
      <c r="G979" s="4"/>
      <c r="H979" s="4"/>
      <c r="I979" s="4"/>
    </row>
    <row r="980" ht="15.75" customHeight="1">
      <c r="G980" s="4"/>
      <c r="H980" s="4"/>
      <c r="I980" s="4"/>
    </row>
    <row r="981" ht="15.75" customHeight="1">
      <c r="G981" s="4"/>
      <c r="H981" s="4"/>
      <c r="I981" s="4"/>
    </row>
    <row r="982" ht="15.75" customHeight="1">
      <c r="G982" s="4"/>
      <c r="H982" s="4"/>
      <c r="I982" s="4"/>
    </row>
    <row r="983" ht="15.75" customHeight="1">
      <c r="G983" s="4"/>
      <c r="H983" s="4"/>
      <c r="I983" s="4"/>
    </row>
    <row r="984" ht="15.75" customHeight="1">
      <c r="G984" s="4"/>
      <c r="H984" s="4"/>
      <c r="I984" s="4"/>
    </row>
    <row r="985" ht="15.75" customHeight="1">
      <c r="G985" s="4"/>
      <c r="H985" s="4"/>
      <c r="I985" s="4"/>
    </row>
    <row r="986" ht="15.75" customHeight="1">
      <c r="G986" s="4"/>
      <c r="H986" s="4"/>
      <c r="I986" s="4"/>
    </row>
    <row r="987" ht="15.75" customHeight="1">
      <c r="G987" s="4"/>
      <c r="H987" s="4"/>
      <c r="I987" s="4"/>
    </row>
    <row r="988" ht="15.75" customHeight="1">
      <c r="G988" s="4"/>
      <c r="H988" s="4"/>
      <c r="I988" s="4"/>
    </row>
    <row r="989" ht="15.75" customHeight="1">
      <c r="G989" s="4"/>
      <c r="H989" s="4"/>
      <c r="I989" s="4"/>
    </row>
    <row r="990" ht="15.75" customHeight="1">
      <c r="G990" s="4"/>
      <c r="H990" s="4"/>
      <c r="I990" s="4"/>
    </row>
    <row r="991" ht="15.75" customHeight="1">
      <c r="G991" s="4"/>
      <c r="H991" s="4"/>
      <c r="I991" s="4"/>
    </row>
    <row r="992" ht="15.75" customHeight="1">
      <c r="G992" s="4"/>
      <c r="H992" s="4"/>
      <c r="I992" s="4"/>
    </row>
    <row r="993" ht="15.75" customHeight="1">
      <c r="G993" s="4"/>
      <c r="H993" s="4"/>
      <c r="I993" s="4"/>
    </row>
    <row r="994" ht="15.75" customHeight="1">
      <c r="G994" s="4"/>
      <c r="H994" s="4"/>
      <c r="I994" s="4"/>
    </row>
    <row r="995" ht="15.75" customHeight="1">
      <c r="G995" s="4"/>
      <c r="H995" s="4"/>
      <c r="I995" s="4"/>
    </row>
    <row r="996" ht="15.75" customHeight="1">
      <c r="G996" s="4"/>
      <c r="H996" s="4"/>
      <c r="I996" s="4"/>
    </row>
    <row r="997" ht="15.75" customHeight="1">
      <c r="G997" s="4"/>
      <c r="H997" s="4"/>
      <c r="I997" s="4"/>
    </row>
    <row r="998" ht="15.75" customHeight="1">
      <c r="G998" s="4"/>
      <c r="H998" s="4"/>
      <c r="I998" s="4"/>
    </row>
    <row r="999" ht="15.75" customHeight="1">
      <c r="G999" s="4"/>
      <c r="H999" s="4"/>
      <c r="I999" s="4"/>
    </row>
    <row r="1000" ht="15.75" customHeight="1">
      <c r="G1000" s="4"/>
      <c r="H1000" s="4"/>
      <c r="I1000" s="4"/>
    </row>
  </sheetData>
  <autoFilter ref="$A$1:$M$94"/>
  <conditionalFormatting sqref="I2:I1000">
    <cfRule type="expression" dxfId="0" priority="1">
      <formula>$I2="Aprobado"</formula>
    </cfRule>
  </conditionalFormatting>
  <conditionalFormatting sqref="I2:I1000">
    <cfRule type="expression" dxfId="1" priority="2">
      <formula>$I2="Fallido"</formula>
    </cfRule>
  </conditionalFormatting>
  <conditionalFormatting sqref="I2:I1000">
    <cfRule type="expression" dxfId="2" priority="3">
      <formula>$I2="Bloqueado"</formula>
    </cfRule>
  </conditionalFormatting>
  <conditionalFormatting sqref="I2:I1000">
    <cfRule type="expression" dxfId="3" priority="4">
      <formula>$I2="No Aplica"</formula>
    </cfRule>
  </conditionalFormatting>
  <dataValidations>
    <dataValidation type="list" allowBlank="1" showInputMessage="1" showErrorMessage="1" prompt="Estado de ejecución - Selecciona un valor de la lista: Pendiente, Aprobado, Fallido, Bloqueado, No Aplica" sqref="I2:I1000">
      <formula1>"Pendiente,Aprobado,Fallido,Bloqueado,No Aplica"</formula1>
    </dataValidation>
    <dataValidation type="list" allowBlank="1" showInputMessage="1" showErrorMessage="1" prompt="Prioridad - Selecciona un valor de la lista: Alta, Media, Baja" sqref="G2:G1000">
      <formula1>"Alta,Media,Baja"</formula1>
    </dataValidation>
    <dataValidation type="list" allowBlank="1" showInputMessage="1" showErrorMessage="1" prompt="Tipo de prueba - Selecciona un valor de la lista: Automatizable, Manual" sqref="H2:H1000">
      <formula1>"Automatizable,Manual"</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4.0"/>
    <col customWidth="1" min="3" max="3" width="16.0"/>
    <col customWidth="1" min="4" max="4" width="26.0"/>
    <col customWidth="1" min="5" max="5" width="40.0"/>
    <col customWidth="1" min="6" max="8" width="12.0"/>
    <col customWidth="1" min="9" max="12" width="16.0"/>
    <col customWidth="1" min="13" max="26" width="9.14"/>
  </cols>
  <sheetData>
    <row r="1">
      <c r="A1" s="5" t="s">
        <v>2</v>
      </c>
      <c r="B1" s="5" t="s">
        <v>54</v>
      </c>
      <c r="C1" s="5" t="s">
        <v>61</v>
      </c>
      <c r="D1" s="5" t="s">
        <v>63</v>
      </c>
      <c r="E1" s="5" t="s">
        <v>65</v>
      </c>
      <c r="F1" s="5" t="s">
        <v>68</v>
      </c>
      <c r="G1" s="5" t="s">
        <v>33</v>
      </c>
      <c r="H1" s="5" t="s">
        <v>70</v>
      </c>
      <c r="I1" s="5" t="s">
        <v>72</v>
      </c>
      <c r="J1" s="5" t="s">
        <v>74</v>
      </c>
      <c r="K1" s="5" t="s">
        <v>75</v>
      </c>
      <c r="L1" s="5"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0"/>
    <col customWidth="1" min="3" max="3" width="70.0"/>
    <col customWidth="1" min="4" max="26" width="9.14"/>
  </cols>
  <sheetData>
    <row r="2">
      <c r="B2" s="1" t="s">
        <v>0</v>
      </c>
    </row>
    <row r="4">
      <c r="B4" s="3" t="s">
        <v>4</v>
      </c>
    </row>
    <row r="5">
      <c r="B5" s="3" t="s">
        <v>5</v>
      </c>
      <c r="C5" s="4" t="s">
        <v>6</v>
      </c>
    </row>
    <row r="6">
      <c r="B6" s="3" t="s">
        <v>7</v>
      </c>
      <c r="C6" s="4" t="s">
        <v>8</v>
      </c>
    </row>
    <row r="7">
      <c r="B7" s="3" t="s">
        <v>9</v>
      </c>
      <c r="C7" s="4" t="s">
        <v>10</v>
      </c>
    </row>
    <row r="8">
      <c r="B8" s="3" t="s">
        <v>11</v>
      </c>
      <c r="C8" s="4" t="s">
        <v>12</v>
      </c>
    </row>
    <row r="9">
      <c r="B9" s="3" t="s">
        <v>14</v>
      </c>
      <c r="C9" s="4" t="s">
        <v>15</v>
      </c>
    </row>
    <row r="11">
      <c r="B11" s="3" t="s">
        <v>16</v>
      </c>
    </row>
    <row r="12">
      <c r="B12" s="3" t="s">
        <v>17</v>
      </c>
      <c r="C12" s="4" t="s">
        <v>18</v>
      </c>
    </row>
    <row r="13">
      <c r="B13" s="3" t="s">
        <v>19</v>
      </c>
      <c r="C13" s="4" t="s">
        <v>20</v>
      </c>
    </row>
    <row r="14">
      <c r="B14" s="3" t="s">
        <v>22</v>
      </c>
      <c r="C14" s="4" t="s">
        <v>23</v>
      </c>
    </row>
    <row r="15">
      <c r="B15" s="3" t="s">
        <v>25</v>
      </c>
      <c r="C15" s="4" t="s">
        <v>26</v>
      </c>
    </row>
    <row r="17">
      <c r="B17" s="3" t="s">
        <v>28</v>
      </c>
    </row>
    <row r="18">
      <c r="B18" s="3" t="s">
        <v>19</v>
      </c>
      <c r="C18" s="4" t="s">
        <v>32</v>
      </c>
    </row>
    <row r="19">
      <c r="B19" s="3" t="s">
        <v>22</v>
      </c>
      <c r="C19" s="4" t="s">
        <v>34</v>
      </c>
    </row>
    <row r="20">
      <c r="B20" s="3" t="s">
        <v>25</v>
      </c>
      <c r="C20" s="4" t="s">
        <v>37</v>
      </c>
    </row>
    <row r="21" ht="15.75" customHeight="1"/>
    <row r="22" ht="15.75" customHeight="1">
      <c r="B22" s="3" t="s">
        <v>36</v>
      </c>
    </row>
    <row r="23" ht="15.75" customHeight="1">
      <c r="B23" s="3" t="s">
        <v>43</v>
      </c>
      <c r="C23" s="4" t="s">
        <v>44</v>
      </c>
    </row>
    <row r="24" ht="15.75" customHeight="1">
      <c r="B24" s="3" t="s">
        <v>47</v>
      </c>
      <c r="C24" s="4" t="s">
        <v>49</v>
      </c>
    </row>
    <row r="25" ht="15.75" customHeight="1"/>
    <row r="26" ht="15.75" customHeight="1">
      <c r="B26" s="3" t="s">
        <v>51</v>
      </c>
    </row>
    <row r="27" ht="15.75" customHeight="1">
      <c r="B27" s="3" t="s">
        <v>53</v>
      </c>
      <c r="C27" s="4" t="s">
        <v>55</v>
      </c>
    </row>
    <row r="28" ht="15.75" customHeight="1">
      <c r="B28" s="3" t="s">
        <v>59</v>
      </c>
      <c r="C28" s="4" t="s">
        <v>60</v>
      </c>
    </row>
    <row r="29" ht="15.75" customHeight="1">
      <c r="B29" s="3" t="s">
        <v>50</v>
      </c>
      <c r="C29" s="4" t="s">
        <v>64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2026-09-06T03:57:11Z</dcterms:created>
  <dc:creator>openpyxl</dc:creator>
</cp:coreProperties>
</file>