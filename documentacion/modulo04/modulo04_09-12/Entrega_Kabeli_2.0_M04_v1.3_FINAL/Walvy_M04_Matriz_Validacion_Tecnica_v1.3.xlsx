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ómo usar" sheetId="1" state="visible" r:id="rId1"/>
    <sheet xmlns:r="http://schemas.openxmlformats.org/officeDocument/2006/relationships" name="01 Validación Técnica" sheetId="2" state="visible" r:id="rId2"/>
    <sheet xmlns:r="http://schemas.openxmlformats.org/officeDocument/2006/relationships" name="02 Condiciones y limites" sheetId="3" state="visible" r:id="rId3"/>
  </sheets>
  <definedNames>
    <definedName name="_xlnm.Print_Area" localSheetId="0">'00 Cómo usar'!$A$1:$G$37</definedName>
    <definedName name="_xlnm.Print_Titles" localSheetId="1">'01 Validación Técnica'!$1:$4</definedName>
    <definedName name="_xlnm.Print_Area" localSheetId="1">'01 Validación Técnica'!$A$1:$W$34</definedName>
    <definedName name="_xlnm.Print_Titles" localSheetId="2">'02 Condiciones y limites'!$1:$4</definedName>
    <definedName name="_xlnm.Print_Area" localSheetId="2">'02 Condiciones y limites'!$A$1:$J$20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b val="1"/>
      <color rgb="00FFFFFF"/>
      <sz val="13"/>
    </font>
    <font>
      <name val="Carlito"/>
      <b val="1"/>
      <color rgb="00334155"/>
      <sz val="11"/>
    </font>
    <font>
      <name val="Carlito"/>
      <color rgb="00334155"/>
      <sz val="11"/>
    </font>
    <font>
      <name val="Carlito"/>
      <b val="1"/>
      <color rgb="00FFFFFF"/>
      <sz val="10.5"/>
    </font>
    <font>
      <name val="Carlito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0F666B"/>
      </patternFill>
    </fill>
    <fill>
      <patternFill patternType="solid">
        <fgColor rgb="00EEF6F6"/>
      </patternFill>
    </fill>
    <fill>
      <patternFill patternType="solid">
        <fgColor rgb="001C7B80"/>
      </patternFill>
    </fill>
    <fill>
      <patternFill patternType="solid">
        <fgColor rgb="00F8FAFC"/>
      </patternFill>
    </fill>
    <fill>
      <patternFill patternType="solid">
        <fgColor rgb="00F5EDF3"/>
      </patternFill>
    </fill>
    <fill>
      <patternFill patternType="solid">
        <fgColor rgb="00EEE8F7"/>
      </patternFill>
    </fill>
  </fills>
  <borders count="3">
    <border>
      <left/>
      <right/>
      <top/>
      <bottom/>
      <diagonal/>
    </border>
    <border>
      <left style="thin">
        <color rgb="00D9E2E8"/>
      </left>
      <right style="thin">
        <color rgb="00D9E2E8"/>
      </right>
      <top style="thin">
        <color rgb="00D9E2E8"/>
      </top>
      <bottom style="thin">
        <color rgb="00D9E2E8"/>
      </bottom>
    </border>
    <border>
      <left style="hair">
        <color rgb="00E2E8F0"/>
      </left>
      <right style="hair">
        <color rgb="00E2E8F0"/>
      </right>
      <top style="hair">
        <color rgb="00E2E8F0"/>
      </top>
      <bottom style="hair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3" fillId="6" borderId="0" applyAlignment="1" pivotButton="0" quotePrefix="0" xfId="0">
      <alignment vertical="center" wrapText="1"/>
    </xf>
    <xf numFmtId="0" fontId="5" fillId="7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54" customWidth="1" min="3" max="3"/>
    <col width="38" customWidth="1" min="4" max="4"/>
    <col width="24" customWidth="1" min="5" max="5"/>
    <col width="30" customWidth="1" min="6" max="6"/>
    <col width="52" customWidth="1" min="7" max="7"/>
  </cols>
  <sheetData>
    <row r="1" ht="24" customHeight="1">
      <c r="A1" s="1" t="inlineStr">
        <is>
          <t>WALVY | M04 – Matriz de Validación Técnica v1.3</t>
        </is>
      </c>
    </row>
    <row r="2"/>
    <row r="3" ht="78" customHeight="1">
      <c r="A3" s="2" t="inlineStr">
        <is>
          <t>OBJETIVO
Validar primero que el universo de controles técnicos M04 sea adecuado y suficiente; luego evaluar implementación y evidencia. La validación de alcance NO certifica cumplimiento. La Matriz Cliente gobierna qué debe funcionar; la Guía Backend define semántica no obvia; los artefactos PD M04 gobiernan protección y ownership aplicable.</t>
        </is>
      </c>
    </row>
    <row r="4"/>
    <row r="5"/>
    <row r="6">
      <c r="A6" t="inlineStr">
        <is>
          <t>Lectura humana</t>
        </is>
      </c>
      <c r="B6" t="inlineStr">
        <is>
          <t>Primero identifica qué se protege/valida; luego revisa qué debe completar Kabeli, la evidencia esperada y recién después los IDs TEC/RGL/P4. Kabeli declara implementación/evidencia; Walvy valida cumplimiento posteriormente.</t>
        </is>
      </c>
    </row>
    <row r="7" ht="72" customHeight="1">
      <c r="A7" s="3" t="inlineStr">
        <is>
          <t>VALIDACIÓN DE CUMPLIMIENTO
Una vez que Kabeli/owner complete “Cómo está implementado”, “Evidencia presentada” y “Resultado revisión Kabeli”, Walvy podrá evaluar cumplimiento. Declaración, evidencia y conclusión Walvy permanecen separadas. Un control aceptado en alcance NO significa que esté implementado.
PRIORIDAD LOCAL M04
La validación debe demostrar F2→F1→F3, F5→F4, F6→F7, P0–P3 y m04_local_top_candidate. No valida winner Home, que pertenece a M03.</t>
        </is>
      </c>
    </row>
    <row r="8"/>
    <row r="9"/>
    <row r="10"/>
    <row r="11" ht="36" customHeight="1">
      <c r="A11" s="4" t="inlineStr">
        <is>
          <t>Momento</t>
        </is>
      </c>
      <c r="B11" s="4" t="inlineStr">
        <is>
          <t>Responsable principal</t>
        </is>
      </c>
      <c r="C11" s="4" t="inlineStr">
        <is>
          <t>Qué se valida</t>
        </is>
      </c>
      <c r="D11" s="4" t="inlineStr">
        <is>
          <t>Opciones principales</t>
        </is>
      </c>
      <c r="E11" s="4" t="inlineStr">
        <is>
          <t>¿Modifica Producto?</t>
        </is>
      </c>
      <c r="F11" s="4" t="inlineStr">
        <is>
          <t>Resultado</t>
        </is>
      </c>
      <c r="G11" s="4" t="inlineStr">
        <is>
          <t>Regla</t>
        </is>
      </c>
    </row>
    <row r="12" ht="54" customHeight="1">
      <c r="A12" s="5" t="inlineStr">
        <is>
          <t>1. Alcance técnico</t>
        </is>
      </c>
      <c r="B12" s="6" t="inlineStr">
        <is>
          <t>Walvy + Producto/Privacidad</t>
        </is>
      </c>
      <c r="C12" s="6" t="inlineStr">
        <is>
          <t>Que el catálogo cubra contrato M04, P4, Backend, PD y fronteras sin inventar arquitectura.</t>
        </is>
      </c>
      <c r="D12" s="6" t="inlineStr">
        <is>
          <t>Aceptado / Ajustar / Agregar / No aplica / Diferido</t>
        </is>
      </c>
      <c r="E12" s="5" t="inlineStr">
        <is>
          <t>No por sí sola</t>
        </is>
      </c>
      <c r="F12" s="5" t="inlineStr">
        <is>
          <t>Universo suficiente</t>
        </is>
      </c>
      <c r="G12" s="6" t="inlineStr">
        <is>
          <t>No implica cumplimiento técnico.</t>
        </is>
      </c>
    </row>
    <row r="13" ht="54" customHeight="1">
      <c r="A13" s="7" t="inlineStr">
        <is>
          <t>2. Implementación y evidencia</t>
        </is>
      </c>
      <c r="B13" s="8" t="inlineStr">
        <is>
          <t>Kabeli / owner de capa</t>
        </is>
      </c>
      <c r="C13" s="8" t="inlineStr">
        <is>
          <t>Cómo está implementado y qué evidencia respalda cada control.</t>
        </is>
      </c>
      <c r="D13" s="8" t="inlineStr">
        <is>
          <t>Cumple / Cumple parcial / No cumple / Pendiente</t>
        </is>
      </c>
      <c r="E13" s="7" t="inlineStr">
        <is>
          <t>Sólo si cambia regla/flujo/owner</t>
        </is>
      </c>
      <c r="F13" s="7" t="inlineStr">
        <is>
          <t>Control preparado para revisión</t>
        </is>
      </c>
      <c r="G13" s="8" t="inlineStr">
        <is>
          <t>No exponer secretos ni datos reales.</t>
        </is>
      </c>
    </row>
    <row r="14" ht="54" customHeight="1">
      <c r="A14" s="5" t="inlineStr">
        <is>
          <t>3. Cumplimiento técnico</t>
        </is>
      </c>
      <c r="B14" s="6" t="inlineStr">
        <is>
          <t>Walvy</t>
        </is>
      </c>
      <c r="C14" s="6" t="inlineStr">
        <is>
          <t>Suficiencia de implementación + evidencia respecto del control aceptado.</t>
        </is>
      </c>
      <c r="D14" s="6" t="inlineStr">
        <is>
          <t>Conforme / Observado / Evidencia pendiente / No aplica / Diferido</t>
        </is>
      </c>
      <c r="E14" s="5" t="inlineStr">
        <is>
          <t>No por sí sola</t>
        </is>
      </c>
      <c r="F14" s="5" t="inlineStr">
        <is>
          <t>Conformidad técnica</t>
        </is>
      </c>
      <c r="G14" s="6" t="inlineStr">
        <is>
          <t>Conforme cierra el control técnico, no todo el producto.</t>
        </is>
      </c>
    </row>
    <row r="15" ht="54" customHeight="1">
      <c r="A15" s="7" t="inlineStr">
        <is>
          <t>4. Retorno a Producto</t>
        </is>
      </c>
      <c r="B15" s="8" t="inlineStr">
        <is>
          <t>Producto</t>
        </is>
      </c>
      <c r="C15" s="8" t="inlineStr">
        <is>
          <t>Sólo cambios que alteran regla, cálculo, estado, CTA, owner, scope o decisión M04.</t>
        </is>
      </c>
      <c r="D15" s="8" t="inlineStr">
        <is>
          <t>Revisar / mantener definición</t>
        </is>
      </c>
      <c r="E15" s="7" t="inlineStr">
        <is>
          <t>Sí</t>
        </is>
      </c>
      <c r="F15" s="7" t="inlineStr">
        <is>
          <t>Decisión funcional</t>
        </is>
      </c>
      <c r="G15" s="8" t="inlineStr">
        <is>
          <t>No resolver contradicciones funcionales desde Tecnología.</t>
        </is>
      </c>
    </row>
    <row r="16"/>
    <row r="17"/>
    <row r="18" ht="72" customHeight="1">
      <c r="A18" s="9" t="inlineStr">
        <is>
          <t>AUTORIDAD Y NO DUPLICACIÓN
Fuentes semánticas: Matriz Cliente M04 v1.3 + Guía Backend M04 v1.3. Protección de Datos: artefactos M04 vigentes + referencias transversales corporativas. El workbook M06 se usa SOLO como referencia estructural. M04-DAT-041 permanece fuera del catálogo y no se exige como activo separado.</t>
        </is>
      </c>
    </row>
    <row r="19"/>
    <row r="20" ht="36" customHeight="1">
      <c r="A20" s="4" t="inlineStr">
        <is>
          <t>Fuente</t>
        </is>
      </c>
      <c r="B20" s="4" t="inlineStr">
        <is>
          <t>Rol / autoridad</t>
        </is>
      </c>
      <c r="C20" s="4" t="n"/>
      <c r="D20" s="4" t="n"/>
      <c r="E20" s="4" t="n"/>
      <c r="F20" s="4" t="n"/>
      <c r="G20" s="4" t="n"/>
    </row>
    <row r="21" ht="40" customHeight="1">
      <c r="A21" s="8" t="inlineStr">
        <is>
          <t>Matriz Cliente M04</t>
        </is>
      </c>
      <c r="B21" s="8" t="inlineStr">
        <is>
          <t>Contrato funcional implementable · 93 Trace / 43 RGL / 25 P4</t>
        </is>
      </c>
      <c r="C21" s="8" t="n"/>
      <c r="D21" s="8" t="n"/>
      <c r="E21" s="8" t="n"/>
      <c r="F21" s="8" t="n"/>
      <c r="G21" s="8" t="n"/>
    </row>
    <row r="22" ht="40" customHeight="1">
      <c r="A22" s="6" t="inlineStr">
        <is>
          <t>Guía Backend M04</t>
        </is>
      </c>
      <c r="B22" s="6" t="inlineStr">
        <is>
          <t>Reglas/cálculos, precedencias, fallbacks, lifecycle y fixtures; sin arquitectura física</t>
        </is>
      </c>
      <c r="C22" s="6" t="n"/>
      <c r="D22" s="6" t="n"/>
      <c r="E22" s="6" t="n"/>
      <c r="F22" s="6" t="n"/>
      <c r="G22" s="6" t="n"/>
    </row>
    <row r="23" ht="40" customHeight="1">
      <c r="A23" s="8" t="inlineStr">
        <is>
          <t>PD M04 · Clasificación</t>
        </is>
      </c>
      <c r="B23" s="8" t="inlineStr">
        <is>
          <t>50 IDs vigentes + perfiles/tratamientos/dependencias M04</t>
        </is>
      </c>
      <c r="C23" s="8" t="n"/>
      <c r="D23" s="8" t="n"/>
      <c r="E23" s="8" t="n"/>
      <c r="F23" s="8" t="n"/>
      <c r="G23" s="8" t="n"/>
    </row>
    <row r="24" ht="40" customHeight="1">
      <c r="A24" s="6" t="inlineStr">
        <is>
          <t>PD M04 · Evidencia</t>
        </is>
      </c>
      <c r="B24" s="6" t="inlineStr">
        <is>
          <t>7 requerimientos + 31 preguntas + mapeo de IDs a evidencia</t>
        </is>
      </c>
      <c r="C24" s="6" t="n"/>
      <c r="D24" s="6" t="n"/>
      <c r="E24" s="6" t="n"/>
      <c r="F24" s="6" t="n"/>
      <c r="G24" s="6" t="n"/>
    </row>
    <row r="25" ht="40" customHeight="1">
      <c r="A25" s="8" t="inlineStr">
        <is>
          <t>Matriz Maestra PD transversal</t>
        </is>
      </c>
      <c r="B25" s="8" t="inlineStr">
        <is>
          <t>Referencia corporativa vigente; no se duplica en este paquete</t>
        </is>
      </c>
      <c r="C25" s="8" t="n"/>
      <c r="D25" s="8" t="n"/>
      <c r="E25" s="8" t="n"/>
      <c r="F25" s="8" t="n"/>
      <c r="G25" s="8" t="n"/>
    </row>
    <row r="26" ht="40" customHeight="1">
      <c r="A26" s="6" t="inlineStr">
        <is>
          <t>Registro Técnico PD transversal</t>
        </is>
      </c>
      <c r="B26" s="6" t="inlineStr">
        <is>
          <t>Referencia técnica corporativa vigente; no se duplica en este paquete</t>
        </is>
      </c>
      <c r="C26" s="6" t="n"/>
      <c r="D26" s="6" t="n"/>
      <c r="E26" s="6" t="n"/>
      <c r="F26" s="6" t="n"/>
      <c r="G26" s="6" t="n"/>
    </row>
    <row r="27"/>
    <row r="28"/>
    <row r="29" ht="22" customHeight="1">
      <c r="A29" s="8" t="inlineStr">
        <is>
          <t>Controles técnicos</t>
        </is>
      </c>
      <c r="B29" s="8" t="n">
        <v>30</v>
      </c>
    </row>
    <row r="30" ht="22" customHeight="1">
      <c r="A30" s="6" t="inlineStr">
        <is>
          <t>Controles alcance aceptado</t>
        </is>
      </c>
      <c r="B30" s="6" t="n">
        <v>30</v>
      </c>
    </row>
    <row r="31" ht="22" customHeight="1">
      <c r="A31" s="8" t="inlineStr">
        <is>
          <t>Trace cubiertos</t>
        </is>
      </c>
      <c r="B31" s="8" t="n">
        <v>93</v>
      </c>
    </row>
    <row r="32" ht="22" customHeight="1">
      <c r="A32" s="6" t="inlineStr">
        <is>
          <t>Reglas Walvy cubiertas</t>
        </is>
      </c>
      <c r="B32" s="6" t="n">
        <v>43</v>
      </c>
    </row>
    <row r="33" ht="22" customHeight="1">
      <c r="A33" s="8" t="inlineStr">
        <is>
          <t>P4 cubiertos</t>
        </is>
      </c>
      <c r="B33" s="8" t="n">
        <v>25</v>
      </c>
    </row>
    <row r="34" ht="22" customHeight="1">
      <c r="A34" s="6" t="inlineStr">
        <is>
          <t>IDs PD vigentes cubiertos</t>
        </is>
      </c>
      <c r="B34" s="6" t="n">
        <v>50</v>
      </c>
    </row>
    <row r="35" ht="22" customHeight="1">
      <c r="A35" s="8" t="inlineStr">
        <is>
          <t>PD-RT cubiertos</t>
        </is>
      </c>
      <c r="B35" s="8" t="n">
        <v>7</v>
      </c>
    </row>
    <row r="36" ht="22" customHeight="1">
      <c r="A36" s="6" t="inlineStr">
        <is>
          <t>PD detalle cubierto</t>
        </is>
      </c>
      <c r="B36" s="6" t="n">
        <v>31</v>
      </c>
    </row>
    <row r="37" ht="22" customHeight="1">
      <c r="A37" s="8" t="inlineStr">
        <is>
          <t>Validación cumplimiento</t>
        </is>
      </c>
      <c r="B37" s="8" t="inlineStr">
        <is>
          <t>No iniciada</t>
        </is>
      </c>
    </row>
  </sheetData>
  <mergeCells count="4">
    <mergeCell ref="A3:G3"/>
    <mergeCell ref="A1:G1"/>
    <mergeCell ref="A7:G7"/>
    <mergeCell ref="A18:G18"/>
  </mergeCells>
  <printOptions horizontalCentered="0"/>
  <pageMargins left="0.25" right="0.25" top="0.4" bottom="0.45" header="0.5" footer="0.5"/>
  <pageSetup orientation="portrait" fitToHeight="0" fitToWidth="1"/>
  <headerFooter>
    <oddHeader/>
    <oddFooter>&amp;C&amp;"Carlito"&amp;8 Walvy · M04 · Etapa E · v1.0&amp;R&amp;"Carlito"&amp;8 Página &amp;P de &amp;N</oddFooter>
    <evenHeader/>
    <evenFooter>&amp;C&amp;"Carlito"&amp;8 Walvy · M04 · Etapa E · v1.0&amp;R&amp;"Carlito"&amp;8 Página &amp;P de &amp;N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4" customWidth="1" min="3" max="3"/>
    <col width="50" customWidth="1" min="4" max="4"/>
    <col width="48" customWidth="1" min="5" max="5"/>
    <col width="42" customWidth="1" min="6" max="6"/>
    <col width="48" customWidth="1" min="7" max="7"/>
    <col width="46" customWidth="1" min="8" max="8"/>
    <col width="46" customWidth="1" min="9" max="9"/>
    <col width="24" customWidth="1" min="10" max="10"/>
    <col width="34" customWidth="1" min="11" max="11"/>
    <col width="26" customWidth="1" min="12" max="12"/>
    <col width="44" customWidth="1" min="13" max="13"/>
    <col width="48" customWidth="1" min="14" max="14"/>
    <col width="48" customWidth="1" min="15" max="15"/>
    <col width="22" customWidth="1" min="16" max="16"/>
    <col width="30" customWidth="1" min="17" max="17"/>
    <col width="42" customWidth="1" min="18" max="18"/>
    <col width="42" customWidth="1" min="19" max="19"/>
    <col width="25" customWidth="1" min="20" max="20"/>
    <col width="27" customWidth="1" min="21" max="21"/>
    <col width="18" customWidth="1" min="22" max="22"/>
    <col width="20" customWidth="1" min="23" max="23"/>
  </cols>
  <sheetData>
    <row r="1" ht="24" customHeight="1">
      <c r="A1" s="1" t="inlineStr">
        <is>
          <t>M04 – Validación técnica Desarrollo / Walvy</t>
        </is>
      </c>
    </row>
    <row r="2" ht="48" customHeight="1">
      <c r="A2" s="3" t="inlineStr">
        <is>
          <t>La validación se ejecuta en dos gates: (1) suficiencia del universo de controles; (2) cumplimiento sólo después de implementación/evidencia. Cada fila separa obligación funcional, control técnico, evidencia requerida, PASS/FAIL y estado. Los controles agrupan obligaciones por dominio/riesgo: no corresponde un TEC por cada Trace, RGL, P4 o ID PD.</t>
        </is>
      </c>
    </row>
    <row r="3"/>
    <row r="4" ht="36" customHeight="1">
      <c r="A4" s="4" t="inlineStr">
        <is>
          <t>ID Técnico</t>
        </is>
      </c>
      <c r="B4" s="4" t="inlineStr">
        <is>
          <t>Categoría</t>
        </is>
      </c>
      <c r="C4" s="4" t="inlineStr">
        <is>
          <t>Obligación funcional / riesgo a preservar</t>
        </is>
      </c>
      <c r="D4" s="4" t="inlineStr">
        <is>
          <t>Control técnico a validar</t>
        </is>
      </c>
      <c r="E4" s="4" t="inlineStr">
        <is>
          <t>Subcriterios incluidos</t>
        </is>
      </c>
      <c r="F4" s="4" t="inlineStr">
        <is>
          <t>Origen contractual / PD</t>
        </is>
      </c>
      <c r="G4" s="4" t="inlineStr">
        <is>
          <t>Evidencia requerida</t>
        </is>
      </c>
      <c r="H4" s="4" t="inlineStr">
        <is>
          <t>Criterio PASS</t>
        </is>
      </c>
      <c r="I4" s="4" t="inlineStr">
        <is>
          <t>Criterio FAIL / Observado</t>
        </is>
      </c>
      <c r="J4" s="4" t="inlineStr">
        <is>
          <t>Tratamiento en esta entrega</t>
        </is>
      </c>
      <c r="K4" s="4" t="inlineStr">
        <is>
          <t>Aplicabilidad / Owner</t>
        </is>
      </c>
      <c r="L4" s="4" t="inlineStr">
        <is>
          <t>VALIDACIÓN DE ALCANCE</t>
        </is>
      </c>
      <c r="M4" s="4" t="inlineStr">
        <is>
          <t>Comentario alcance Walvy</t>
        </is>
      </c>
      <c r="N4" s="4" t="inlineStr">
        <is>
          <t>Cómo está implementado (Kabeli / owner)</t>
        </is>
      </c>
      <c r="O4" s="4" t="inlineStr">
        <is>
          <t>Evidencia presentada</t>
        </is>
      </c>
      <c r="P4" s="4" t="inlineStr">
        <is>
          <t>Resultado revisión Kabeli</t>
        </is>
      </c>
      <c r="Q4" s="4" t="inlineStr">
        <is>
          <t>VALIDACIÓN DE CUMPLIMIENTO</t>
        </is>
      </c>
      <c r="R4" s="4" t="inlineStr">
        <is>
          <t>Comentario cumplimiento Walvy</t>
        </is>
      </c>
      <c r="S4" s="4" t="inlineStr">
        <is>
          <t>Acción / complemento requerido</t>
        </is>
      </c>
      <c r="T4" s="4" t="inlineStr">
        <is>
          <t>¿Requiere volver a Producto?</t>
        </is>
      </c>
      <c r="U4" s="4" t="inlineStr">
        <is>
          <t>Estado de cierre</t>
        </is>
      </c>
      <c r="V4" s="4" t="inlineStr">
        <is>
          <t>Fecha validación alcance</t>
        </is>
      </c>
      <c r="W4" s="4" t="inlineStr">
        <is>
          <t>Fecha validación cumplimiento</t>
        </is>
      </c>
    </row>
    <row r="5" ht="118" customHeight="1">
      <c r="A5" s="7" t="inlineStr">
        <is>
          <t>TEC-M4-001</t>
        </is>
      </c>
      <c r="B5" s="7" t="inlineStr">
        <is>
          <t>Acceso y autorización</t>
        </is>
      </c>
      <c r="C5" s="8" t="inlineStr">
        <is>
          <t>Los datos, estados y operaciones M04 deben quedar segregados por usuario/cuenta y sin acceso humano ordinario a finanzas individuales; soporte consume metadata mínima.</t>
        </is>
      </c>
      <c r="D5" s="8" t="inlineStr">
        <is>
          <t>Validar autorización efectiva en aplicación, segregación de tenant/usuario y superficies de soporte minimizadas, incluyendo pruebas negativas de acceso cruzado.</t>
        </is>
      </c>
      <c r="E5" s="8" t="inlineStr">
        <is>
          <t>• sesión/contexto autenticado cuando corresponda
• acceso cruzado por identificador rechazado
• soporte sin payload financiero
• acceso excepcional temporal/justificado/auditado cuando exista</t>
        </is>
      </c>
      <c r="F5" s="8" t="inlineStr">
        <is>
          <t>M04-RGL-040 · PP-02/PP-03/PP-04/PP-07 · TR-ACC-01 · M04-RT-05</t>
        </is>
      </c>
      <c r="G5" s="8" t="inlineStr">
        <is>
          <t>Pruebas positivas/negativas de autorización; matriz de roles/permisos de aplicación; vistas de soporte sanitizadas; evidencia de acceso excepcional si aplica.</t>
        </is>
      </c>
      <c r="H5" s="8" t="inlineStr">
        <is>
          <t>No existe acceso cruzado ni exposición ordinaria de finanzas individuales; los permisos observados corresponden al propósito/owner y la evidencia es reproducible.</t>
        </is>
      </c>
      <c r="I5" s="8" t="inlineStr">
        <is>
          <t>Acceso cruzado, soporte con payload innecesario, autorización sólo en UI o evidencia insuficiente para demostrar segregación.</t>
        </is>
      </c>
      <c r="J5" s="7" t="inlineStr">
        <is>
          <t>Validar en entrega M04</t>
        </is>
      </c>
      <c r="K5" s="8" t="inlineStr">
        <is>
          <t>Kabeli · Aplicación/Backend/QA; Walvy gobierna excepciones</t>
        </is>
      </c>
      <c r="L5" s="7" t="inlineStr">
        <is>
          <t>Aceptado</t>
        </is>
      </c>
      <c r="M5" s="8" t="inlineStr">
        <is>
          <t>Control aceptado en el universo de alcance; no certifica implementación.</t>
        </is>
      </c>
      <c r="N5" s="8" t="n"/>
      <c r="O5" s="8" t="n"/>
      <c r="P5" s="7" t="inlineStr">
        <is>
          <t>Pendiente revisión</t>
        </is>
      </c>
      <c r="Q5" s="7" t="inlineStr">
        <is>
          <t>No iniciado</t>
        </is>
      </c>
      <c r="R5" s="8" t="n"/>
      <c r="S5" s="8" t="n"/>
      <c r="T5" s="7" t="inlineStr">
        <is>
          <t>Por validar</t>
        </is>
      </c>
      <c r="U5" s="7">
        <f>IF(L5="No aplica","No aplica",IF(L5="Diferido aprobado","Diferido – hito posterior",IF(L5&lt;&gt;"Aceptado","Pendiente definición alcance",IF(Q5="Conforme","Conformado",IF(Q5="Observado","Observado",IF(Q5="Evidencia pendiente","Pendiente evidencia",IF(Q5="No aplica","No aplica",IF(Q5="Diferido","Diferido – hito posterior","Pendiente cumplimiento"))))))))</f>
        <v/>
      </c>
      <c r="V5" s="7" t="n"/>
      <c r="W5" s="7" t="n"/>
    </row>
    <row r="6" ht="118" customHeight="1">
      <c r="A6" s="5" t="inlineStr">
        <is>
          <t>TEC-M4-002</t>
        </is>
      </c>
      <c r="B6" s="5" t="inlineStr">
        <is>
          <t>Ingesta documental y procesamiento</t>
        </is>
      </c>
      <c r="C6" s="6" t="inlineStr">
        <is>
          <t>La carga documental es manual; CMF se trata como documento cargado y no como integración activa. Procesamiento pendiente/error no confirma deuda ni habilita Ruta.</t>
        </is>
      </c>
      <c r="D6" s="6" t="inlineStr">
        <is>
          <t>Validar estados de procesamiento, ruteo y fallback de ingesta sin consolidar datos inválidos ni fabricar integración CMF/SFA/Open Finance.</t>
        </is>
      </c>
      <c r="E6" s="6" t="inlineStr">
        <is>
          <t>• documento cargado→processing pending
• CMF manual sin consulta/sincronización
• no procesable→otro documento/manual
• sin confirmación antes de revisión</t>
        </is>
      </c>
      <c r="F6" s="6" t="inlineStr">
        <is>
          <t>TR-M04-048/049/050/058 · M04-RGL-003/004/010/036/040 · Guía §5.3</t>
        </is>
      </c>
      <c r="G6" s="6" t="inlineStr">
        <is>
          <t>Pruebas E2E/contract tests de estados; logs sanitizados/correlation; muestra de ruteo y fallback; evidencia de que no existe llamada/flujo CMF automático en este alcance.</t>
        </is>
      </c>
      <c r="H6" s="6" t="inlineStr">
        <is>
          <t>Estados y transiciones coinciden con el contrato; errores son recuperables y no producen deuda confirmada/Ruta.</t>
        </is>
      </c>
      <c r="I6" s="6" t="inlineStr">
        <is>
          <t>Datos de documento se consolidan antes de revisión, error bloquea sin fallback o se implementa/infiere integración CMF no aprobada.</t>
        </is>
      </c>
      <c r="J6" s="5" t="inlineStr">
        <is>
          <t>Validar en entrega M04</t>
        </is>
      </c>
      <c r="K6" s="6" t="inlineStr">
        <is>
          <t>Kabeli · Integración/Backend/QA + K-read donde aplique</t>
        </is>
      </c>
      <c r="L6" s="5" t="inlineStr">
        <is>
          <t>Aceptado</t>
        </is>
      </c>
      <c r="M6" s="6" t="inlineStr">
        <is>
          <t>Control aceptado en el universo de alcance; no certifica implementación.</t>
        </is>
      </c>
      <c r="N6" s="6" t="n"/>
      <c r="O6" s="6" t="n"/>
      <c r="P6" s="5" t="inlineStr">
        <is>
          <t>Pendiente revisión</t>
        </is>
      </c>
      <c r="Q6" s="5" t="inlineStr">
        <is>
          <t>No iniciado</t>
        </is>
      </c>
      <c r="R6" s="6" t="n"/>
      <c r="S6" s="6" t="n"/>
      <c r="T6" s="5" t="inlineStr">
        <is>
          <t>Por validar</t>
        </is>
      </c>
      <c r="U6" s="5">
        <f>IF(L6="No aplica","No aplica",IF(L6="Diferido aprobado","Diferido – hito posterior",IF(L6&lt;&gt;"Aceptado","Pendiente definición alcance",IF(Q6="Conforme","Conformado",IF(Q6="Observado","Observado",IF(Q6="Evidencia pendiente","Pendiente evidencia",IF(Q6="No aplica","No aplica",IF(Q6="Diferido","Diferido – hito posterior","Pendiente cumplimiento"))))))))</f>
        <v/>
      </c>
      <c r="V6" s="5" t="n"/>
      <c r="W6" s="5" t="n"/>
    </row>
    <row r="7" ht="118" customHeight="1">
      <c r="A7" s="7" t="inlineStr">
        <is>
          <t>TEC-M4-003</t>
        </is>
      </c>
      <c r="B7" s="7" t="inlineStr">
        <is>
          <t>Documento protegido y secretos</t>
        </is>
      </c>
      <c r="C7" s="8" t="inlineStr">
        <is>
          <t>Documento con contraseña es un estado recuperable; la contraseña permite lectura pero no debe quedar como atributo persistente de deuda ni aparecer en logs.</t>
        </is>
      </c>
      <c r="D7" s="8" t="inlineStr">
        <is>
          <t>Validar flujo de clave correcta/incorrecta/no disponible y no persistencia/exposición de la contraseña.</t>
        </is>
      </c>
      <c r="E7" s="8" t="inlineStr">
        <is>
          <t>• requiere clave
• clave correcta continúa
• clave incorrecta reintenta
• sin clave ofrece alternativa
• secreto ausente de logs/payload persistido</t>
        </is>
      </c>
      <c r="F7" s="8" t="inlineStr">
        <is>
          <t>TR-M04-054/055/056/057 · M04-RGL-009/040 · TR-LOG-01 · Guía §5.3</t>
        </is>
      </c>
      <c r="G7" s="8" t="inlineStr">
        <is>
          <t>Pruebas de flujo; revisión de almacenamiento/configuración equivalente; muestras de logs sanitizadas; prueba de alternativa manual/nuevo documento.</t>
        </is>
      </c>
      <c r="H7" s="8" t="inlineStr">
        <is>
          <t>La clave sólo cumple el propósito de desbloqueo, no queda como atributo M04 y los fallbacks funcionan sin confirmar deuda indebidamente.</t>
        </is>
      </c>
      <c r="I7" s="8" t="inlineStr">
        <is>
          <t>Contraseña persistida/expuesta, bloqueo sin alternativa o confirmación/uso de datos antes de lectura válida.</t>
        </is>
      </c>
      <c r="J7" s="7" t="inlineStr">
        <is>
          <t>Validar en entrega M04</t>
        </is>
      </c>
      <c r="K7" s="8" t="inlineStr">
        <is>
          <t>Kabeli · Aplicación/Integración/QA</t>
        </is>
      </c>
      <c r="L7" s="7" t="inlineStr">
        <is>
          <t>Aceptado</t>
        </is>
      </c>
      <c r="M7" s="8" t="inlineStr">
        <is>
          <t>Control aceptado en el universo de alcance; no certifica implementación.</t>
        </is>
      </c>
      <c r="N7" s="8" t="n"/>
      <c r="O7" s="8" t="n"/>
      <c r="P7" s="7" t="inlineStr">
        <is>
          <t>Pendiente revisión</t>
        </is>
      </c>
      <c r="Q7" s="7" t="inlineStr">
        <is>
          <t>No iniciado</t>
        </is>
      </c>
      <c r="R7" s="8" t="n"/>
      <c r="S7" s="8" t="n"/>
      <c r="T7" s="7" t="inlineStr">
        <is>
          <t>Por validar</t>
        </is>
      </c>
      <c r="U7" s="7">
        <f>IF(L7="No aplica","No aplica",IF(L7="Diferido aprobado","Diferido – hito posterior",IF(L7&lt;&gt;"Aceptado","Pendiente definición alcance",IF(Q7="Conforme","Conformado",IF(Q7="Observado","Observado",IF(Q7="Evidencia pendiente","Pendiente evidencia",IF(Q7="No aplica","No aplica",IF(Q7="Diferido","Diferido – hito posterior","Pendiente cumplimiento"))))))))</f>
        <v/>
      </c>
      <c r="V7" s="7" t="n"/>
      <c r="W7" s="7" t="n"/>
    </row>
    <row r="8" ht="118" customHeight="1">
      <c r="A8" s="5" t="inlineStr">
        <is>
          <t>TEC-M4-004</t>
        </is>
      </c>
      <c r="B8" s="5" t="inlineStr">
        <is>
          <t>Registro manual e integridad</t>
        </is>
      </c>
      <c r="C8" s="6" t="inlineStr">
        <is>
          <t>Deuda formal/informal puede registrarse manualmente; al Guardar, la declaración manual confirma existencia/pertenencia. La completitud se evalúa por separado: faltantes materiales mantienen la instancia pendiente/incompleta para el uso afectado y no habilitan conclusiones fuertes ni Ruta completa.</t>
        </is>
      </c>
      <c r="D8" s="6" t="inlineStr">
        <is>
          <t>Validar alta/corrección manual, confirmación por origen, completitud e integridad sin estigmatización ni automatización financiera.</t>
        </is>
      </c>
      <c r="E8" s="6" t="inlineStr">
        <is>
          <t>• formal/préstamo/compromiso informal
• Guardar manual→confirmada respecto de existencia/pertenencia
• faltante material→confirmada + incompleta/pendiente para el uso afectado
• dato parcial conocido se conserva; derivado sin insumo→no calculable
• corrección reevalúa
• registro no ejecuta pago/transferencia</t>
        </is>
      </c>
      <c r="F8" s="6" t="inlineStr">
        <is>
          <t>TR-M04-051/052/053/060/062/096 · M04-RGL-005/006/012/036/042/043</t>
        </is>
      </c>
      <c r="G8" s="6" t="inlineStr">
        <is>
          <t>Pruebas de alta/edición; estado/payload antes-después; TC-M04-004/005/077; casos incompletos y dato parcial; pruebas negativas de side effects financieros.</t>
        </is>
      </c>
      <c r="H8" s="6" t="inlineStr">
        <is>
          <t>Guardar manual confirma existencia/pertenencia; completitud permanece separada. Los datos parciales válidos se conservan y los faltantes bloquean sólo el uso que depende de ellos, sin ejecutar operaciones financieras.</t>
        </is>
      </c>
      <c r="I8" s="6" t="inlineStr">
        <is>
          <t>Se exige reconfirmación redundante de deuda manual, missing se vuelve cero, se descarta un dato parcial conocido, registro incompleto habilita lectura fuerte/Ruta o la acción ejecuta movimiento financiero.</t>
        </is>
      </c>
      <c r="J8" s="5" t="inlineStr">
        <is>
          <t>Validar en entrega M04</t>
        </is>
      </c>
      <c r="K8" s="6" t="inlineStr">
        <is>
          <t>Kabeli · Backend/QA</t>
        </is>
      </c>
      <c r="L8" s="5" t="inlineStr">
        <is>
          <t>Aceptado</t>
        </is>
      </c>
      <c r="M8" s="6" t="inlineStr">
        <is>
          <t>Control aceptado en el universo de alcance; no certifica implementación.</t>
        </is>
      </c>
      <c r="N8" s="6" t="n"/>
      <c r="O8" s="6" t="n"/>
      <c r="P8" s="5" t="inlineStr">
        <is>
          <t>Pendiente revisión</t>
        </is>
      </c>
      <c r="Q8" s="5" t="inlineStr">
        <is>
          <t>No iniciado</t>
        </is>
      </c>
      <c r="R8" s="6" t="n"/>
      <c r="S8" s="6" t="n"/>
      <c r="T8" s="5" t="inlineStr">
        <is>
          <t>Por validar</t>
        </is>
      </c>
      <c r="U8" s="5">
        <f>IF(L8="No aplica","No aplica",IF(L8="Diferido aprobado","Diferido – hito posterior",IF(L8&lt;&gt;"Aceptado","Pendiente definición alcance",IF(Q8="Conforme","Conformado",IF(Q8="Observado","Observado",IF(Q8="Evidencia pendiente","Pendiente evidencia",IF(Q8="No aplica","No aplica",IF(Q8="Diferido","Diferido – hito posterior","Pendiente cumplimiento"))))))))</f>
        <v/>
      </c>
      <c r="V8" s="5" t="n"/>
      <c r="W8" s="5" t="n"/>
    </row>
    <row r="9" ht="118" customHeight="1">
      <c r="A9" s="7" t="inlineStr">
        <is>
          <t>TEC-M4-005</t>
        </is>
      </c>
      <c r="B9" s="7" t="inlineStr">
        <is>
          <t>Confirmación, descarte, duplicados y lote</t>
        </is>
      </c>
      <c r="C9" s="8" t="inlineStr">
        <is>
          <t>Candidata detectada, inferida o extraída de documento no equivale a deuda confirmada; requiere confirmación explícita. No-corresponde se excluye conservando provenance mínima; duplicado no se auto-fusiona; lote se resuelve por instancia. La captura manual guardada sigue la regla de confirmación por origen de M04-RGL-006.</t>
        </is>
      </c>
      <c r="D9" s="8" t="inlineStr">
        <is>
          <t>Validar máquina de estados de revisión y resolución individual, incluyendo no auto-merge y no doble contabilización.</t>
        </is>
      </c>
      <c r="E9" s="8" t="inlineStr">
        <is>
          <t>• confirmación explícita para candidata detectada/inferida/documental
• captura manual guardada no exige segunda confirmación
• dismiss/no corresponde
• duplicado probable→revisión
• multi-deuda por instancia
• pendientes del lote bloquean conclusión del elemento afectado</t>
        </is>
      </c>
      <c r="F9" s="8" t="inlineStr">
        <is>
          <t>TR-M04-059/064/065/066/067/068/069 · M04-RGL-006/007/008/011/043 · Guía §5.2</t>
        </is>
      </c>
      <c r="G9" s="8" t="inlineStr">
        <is>
          <t>Pruebas de transición; casos duplicados/lote; identifiers/correlation sanitizados; evidencia de exclusión del cálculo sin borrar provenance mínima.</t>
        </is>
      </c>
      <c r="H9" s="8" t="inlineStr">
        <is>
          <t>Cada instancia termina en estado coherente: la candidata detectada/inferida/documental requiere confirmación explícita, mientras la captura manual se confirma al Guardar; no existe fusión o doble conteo automático.</t>
        </is>
      </c>
      <c r="I9" s="8" t="inlineStr">
        <is>
          <t>Auto-merge, no-corresponde permanece en cálculos, lote se consolida por defecto o deuda detectada activa Ruta.</t>
        </is>
      </c>
      <c r="J9" s="7" t="inlineStr">
        <is>
          <t>Validar en entrega M04</t>
        </is>
      </c>
      <c r="K9" s="8" t="inlineStr">
        <is>
          <t>Kabeli · Backend/QA</t>
        </is>
      </c>
      <c r="L9" s="7" t="inlineStr">
        <is>
          <t>Aceptado</t>
        </is>
      </c>
      <c r="M9" s="8" t="inlineStr">
        <is>
          <t>Control aceptado en el universo de alcance; no certifica implementación.</t>
        </is>
      </c>
      <c r="N9" s="8" t="n"/>
      <c r="O9" s="8" t="n"/>
      <c r="P9" s="7" t="inlineStr">
        <is>
          <t>Pendiente revisión</t>
        </is>
      </c>
      <c r="Q9" s="7" t="inlineStr">
        <is>
          <t>No iniciado</t>
        </is>
      </c>
      <c r="R9" s="8" t="n"/>
      <c r="S9" s="8" t="n"/>
      <c r="T9" s="7" t="inlineStr">
        <is>
          <t>Por validar</t>
        </is>
      </c>
      <c r="U9" s="7">
        <f>IF(L9="No aplica","No aplica",IF(L9="Diferido aprobado","Diferido – hito posterior",IF(L9&lt;&gt;"Aceptado","Pendiente definición alcance",IF(Q9="Conforme","Conformado",IF(Q9="Observado","Observado",IF(Q9="Evidencia pendiente","Pendiente evidencia",IF(Q9="No aplica","No aplica",IF(Q9="Diferido","Diferido – hito posterior","Pendiente cumplimiento"))))))))</f>
        <v/>
      </c>
      <c r="V9" s="7" t="n"/>
      <c r="W9" s="7" t="n"/>
    </row>
    <row r="10" ht="118" customHeight="1">
      <c r="A10" s="5" t="inlineStr">
        <is>
          <t>TEC-M4-006</t>
        </is>
      </c>
      <c r="B10" s="5" t="inlineStr">
        <is>
          <t>Calidad, suficiencia y frescura</t>
        </is>
      </c>
      <c r="C10" s="6" t="inlineStr">
        <is>
          <t>El gate epistemológico precede conclusiones favorables: missing≠0 y un dato parcial válido se conserva; si falta un insumo, el derivado dependiente queda no calculable. El faltante material bloquea sólo el uso afectado y puede bloquear En Control; evidencia adversa suficiente puede sostener Atención/Riesgo. Frescura: 30/60 días o ciclo vigente según dato.</t>
        </is>
      </c>
      <c r="D10" s="6" t="inlineStr">
        <is>
          <t>Validar quality gate por uso, freshness/confidence, conservación de datos parciales y degradación segura con razones/faltantes accionables.</t>
        </is>
      </c>
      <c r="E10" s="6" t="inlineStr">
        <is>
          <t>• evaluable/parcial/no calculable
• missing no es cero
• dato parcial conocido se conserva
• derivado sin insumo queda no calculable
• 30d deuda crítica
• 60d documento/informal
• tarjeta ciclo vigente
• F2→F1→F3; manual ya confirmada puede ir directamente a F1 si corresponde</t>
        </is>
      </c>
      <c r="F10" s="6" t="inlineStr">
        <is>
          <t>P4-CNT-001 · M04-RGL-012/013/014/043 · TR-M04-060…072/083 · Guía §5.1/§5.4</t>
        </is>
      </c>
      <c r="G10" s="6" t="inlineStr">
        <is>
          <t>Fixtures de missing/frescura/confianza y TC-M04-077; pruebas de no-loss, bloqueo/degradación por uso; snapshot de inputs/faltantes; resultados esperados.</t>
        </is>
      </c>
      <c r="H10" s="6" t="inlineStr">
        <is>
          <t>El resultado es reproducible y nunca fabrica verde: el dato parcial conocido se conserva, el derivado no calculable no borra su fuente, el faltante correcto se identifica y la evidencia adversa independiente se conserva cuando corresponde.</t>
        </is>
      </c>
      <c r="I10" s="6" t="inlineStr">
        <is>
          <t>Missing→0/normalidad, pérdida silenciosa de dato parcial, derivado fabricado, dato stale tratado como vigente o lectura fuerte/Ruta pese al gate aplicable incompleto.</t>
        </is>
      </c>
      <c r="J10" s="5" t="inlineStr">
        <is>
          <t>Validar en entrega M04</t>
        </is>
      </c>
      <c r="K10" s="6" t="inlineStr">
        <is>
          <t>Kabeli · Backend/QA; owners de input aportan estado de evaluabilidad</t>
        </is>
      </c>
      <c r="L10" s="5" t="inlineStr">
        <is>
          <t>Aceptado</t>
        </is>
      </c>
      <c r="M10" s="6" t="inlineStr">
        <is>
          <t>Control aceptado en el universo de alcance; no certifica implementación.</t>
        </is>
      </c>
      <c r="N10" s="6" t="n"/>
      <c r="O10" s="6" t="n"/>
      <c r="P10" s="5" t="inlineStr">
        <is>
          <t>Pendiente revisión</t>
        </is>
      </c>
      <c r="Q10" s="5" t="inlineStr">
        <is>
          <t>No iniciado</t>
        </is>
      </c>
      <c r="R10" s="6" t="n"/>
      <c r="S10" s="6" t="n"/>
      <c r="T10" s="5" t="inlineStr">
        <is>
          <t>Por validar</t>
        </is>
      </c>
      <c r="U10" s="5">
        <f>IF(L10="No aplica","No aplica",IF(L10="Diferido aprobado","Diferido – hito posterior",IF(L10&lt;&gt;"Aceptado","Pendiente definición alcance",IF(Q10="Conforme","Conformado",IF(Q10="Observado","Observado",IF(Q10="Evidencia pendiente","Pendiente evidencia",IF(Q10="No aplica","No aplica",IF(Q10="Diferido","Diferido – hito posterior","Pendiente cumplimiento"))))))))</f>
        <v/>
      </c>
      <c r="V10" s="5" t="n"/>
      <c r="W10" s="5" t="n"/>
    </row>
    <row r="11" ht="118" customHeight="1">
      <c r="A11" s="7" t="inlineStr">
        <is>
          <t>TEC-M4-007</t>
        </is>
      </c>
      <c r="B11" s="7" t="inlineStr">
        <is>
          <t>Motor P4 · C</t>
        </is>
      </c>
      <c r="C11" s="8" t="inlineStr">
        <is>
          <t>C = servicio mensual normalizado de deuda / ingreso mensual canónico M05. C1&lt;25%; C2≥25%&lt;50%; C3≥50%. No usar stock, límite ni duplicación.</t>
        </is>
      </c>
      <c r="D11" s="8" t="inlineStr">
        <is>
          <t>Validar normalización, denominador M05, bandas y bordes exactos de C.</t>
        </is>
      </c>
      <c r="E11" s="8" t="inlineStr">
        <is>
          <t>• ingreso válido &gt;0
• servicio mensual efectivo
• excluir stock/límite/doble conteo
• 24.99/25/49.99/50</t>
        </is>
      </c>
      <c r="F11" s="8" t="inlineStr">
        <is>
          <t>P4-CNT-002/003 · M04-RGL-038 · Guía §6.1</t>
        </is>
      </c>
      <c r="G11" s="8" t="inlineStr">
        <is>
          <t>Pruebas unitarias/contract tests con numerador/denominador sanitizados, bordes, missing/0 y versión de parámetros.</t>
        </is>
      </c>
      <c r="H11" s="8" t="inlineStr">
        <is>
          <t>Ratios/bandas coinciden exactamente con el contrato y inputs insuficientes producen no calculable, no C1.</t>
        </is>
      </c>
      <c r="I11" s="8" t="inlineStr">
        <is>
          <t>Usa saldo/límite, denominator local no canónico, bordes erróneos o missing/0 produce C1.</t>
        </is>
      </c>
      <c r="J11" s="7" t="inlineStr">
        <is>
          <t>Validar en entrega M04</t>
        </is>
      </c>
      <c r="K11" s="8" t="inlineStr">
        <is>
          <t>Kabeli · Backend/QA; M05 provee ingreso</t>
        </is>
      </c>
      <c r="L11" s="7" t="inlineStr">
        <is>
          <t>Aceptado</t>
        </is>
      </c>
      <c r="M11" s="8" t="inlineStr">
        <is>
          <t>Control aceptado en el universo de alcance; no certifica implementación.</t>
        </is>
      </c>
      <c r="N11" s="8" t="n"/>
      <c r="O11" s="8" t="n"/>
      <c r="P11" s="7" t="inlineStr">
        <is>
          <t>Pendiente revisión</t>
        </is>
      </c>
      <c r="Q11" s="7" t="inlineStr">
        <is>
          <t>No iniciado</t>
        </is>
      </c>
      <c r="R11" s="8" t="n"/>
      <c r="S11" s="8" t="n"/>
      <c r="T11" s="7" t="inlineStr">
        <is>
          <t>Por validar</t>
        </is>
      </c>
      <c r="U11" s="7">
        <f>IF(L11="No aplica","No aplica",IF(L11="Diferido aprobado","Diferido – hito posterior",IF(L11&lt;&gt;"Aceptado","Pendiente definición alcance",IF(Q11="Conforme","Conformado",IF(Q11="Observado","Observado",IF(Q11="Evidencia pendiente","Pendiente evidencia",IF(Q11="No aplica","No aplica",IF(Q11="Diferido","Diferido – hito posterior","Pendiente cumplimiento"))))))))</f>
        <v/>
      </c>
      <c r="V11" s="7" t="n"/>
      <c r="W11" s="7" t="n"/>
    </row>
    <row r="12" ht="118" customHeight="1">
      <c r="A12" s="5" t="inlineStr">
        <is>
          <t>TEC-M4-008</t>
        </is>
      </c>
      <c r="B12" s="5" t="inlineStr">
        <is>
          <t>Motor P4 · K</t>
        </is>
      </c>
      <c r="C12" s="6" t="inlineStr">
        <is>
          <t>M04 consume headroom/capacidad residual canónica M05; K2&gt;20%, K1&gt;0%≤20%, K0≤0%. No recalcula presupuesto, no usa THR-80 ni floor regla anterior del 5%.</t>
        </is>
      </c>
      <c r="D12" s="6" t="inlineStr">
        <is>
          <t>Validar consumo del snapshot M05, bandas K y ausencia de presupuesto paralelo/anterior.</t>
        </is>
      </c>
      <c r="E12" s="6" t="inlineStr">
        <is>
          <t>• owner M05
• liquidez financiada no infla ingreso
• &gt;20 / 20 / &gt;0 / 0 / negativo
• sin THR-80
• sin 5% anterior</t>
        </is>
      </c>
      <c r="F12" s="6" t="inlineStr">
        <is>
          <t>P4-CNT-004/005 · M04-RGL-023/025 · TR-M04-077/111 · Guía §6.2</t>
        </is>
      </c>
      <c r="G12" s="6" t="inlineStr">
        <is>
          <t>Contract tests M05→M04; fixtures de bordes; snapshot/periodo/version; prueba de fallback si input M05 no evaluable.</t>
        </is>
      </c>
      <c r="H12" s="6" t="inlineStr">
        <is>
          <t>K se consume desde M05 y las bandas son exactas; no existe cálculo presupuestario alternativo M04.</t>
        </is>
      </c>
      <c r="I12" s="6" t="inlineStr">
        <is>
          <t>M04 reconstruye headroom, usa THR-80/5% como autoridad o convierte input faltante en K favorable.</t>
        </is>
      </c>
      <c r="J12" s="5" t="inlineStr">
        <is>
          <t>Validar en entrega M04</t>
        </is>
      </c>
      <c r="K12" s="6" t="inlineStr">
        <is>
          <t>Kabeli · Integración/Backend/QA; M05 owner del output</t>
        </is>
      </c>
      <c r="L12" s="5" t="inlineStr">
        <is>
          <t>Aceptado</t>
        </is>
      </c>
      <c r="M12" s="6" t="inlineStr">
        <is>
          <t>Control aceptado en el universo de alcance; no certifica implementación.</t>
        </is>
      </c>
      <c r="N12" s="6" t="n"/>
      <c r="O12" s="6" t="n"/>
      <c r="P12" s="5" t="inlineStr">
        <is>
          <t>Pendiente revisión</t>
        </is>
      </c>
      <c r="Q12" s="5" t="inlineStr">
        <is>
          <t>No iniciado</t>
        </is>
      </c>
      <c r="R12" s="6" t="n"/>
      <c r="S12" s="6" t="n"/>
      <c r="T12" s="5" t="inlineStr">
        <is>
          <t>Por validar</t>
        </is>
      </c>
      <c r="U12" s="5">
        <f>IF(L12="No aplica","No aplica",IF(L12="Diferido aprobado","Diferido – hito posterior",IF(L12&lt;&gt;"Aceptado","Pendiente definición alcance",IF(Q12="Conforme","Conformado",IF(Q12="Observado","Observado",IF(Q12="Evidencia pendiente","Pendiente evidencia",IF(Q12="No aplica","No aplica",IF(Q12="Diferido","Diferido – hito posterior","Pendiente cumplimiento"))))))))</f>
        <v/>
      </c>
      <c r="V12" s="5" t="n"/>
      <c r="W12" s="5" t="n"/>
    </row>
    <row r="13" ht="118" customHeight="1">
      <c r="A13" s="7" t="inlineStr">
        <is>
          <t>TEC-M4-009</t>
        </is>
      </c>
      <c r="B13" s="7" t="inlineStr">
        <is>
          <t>Motor P4 · D y tarjetas</t>
        </is>
      </c>
      <c r="C13" s="8" t="inlineStr">
        <is>
          <t>D0/D1/D2 depende de deterioro confirmado/ciclo reconciliado; pagos/ciclo/recurrencia son owner M06. Pre-cierre parcial no concluye; cuotas al día/costo ordinario son D0 por sí solos.</t>
        </is>
      </c>
      <c r="D13" s="8" t="inlineStr">
        <is>
          <t>Validar mapping D y subdominio tarjeta sin aging/paralelismo M04 ni doble conteo del mismo ciclo.</t>
        </is>
      </c>
      <c r="E13" s="8" t="inlineStr">
        <is>
          <t>• D0/D1/D2
• pago total/cuotas al día D0
• mínimo/parcial final/arrastre aislado D1
• recurrencia M06 D2
• pre-cierre no concluyente</t>
        </is>
      </c>
      <c r="F13" s="8" t="inlineStr">
        <is>
          <t>P4-CNT-006/015 · M04-RGL-041/016 · TR-M04-075/076/090/091 · Guía §6.3</t>
        </is>
      </c>
      <c r="G13" s="8" t="inlineStr">
        <is>
          <t>Fixtures de ciclos; eventos M06→M04; correlation/provenance; pruebas pre/post cierre; casos de recurrencia.</t>
        </is>
      </c>
      <c r="H13" s="8" t="inlineStr">
        <is>
          <t>D coincide con hechos reconciliados y M06 conserva ownership operativo.</t>
        </is>
      </c>
      <c r="I13" s="8" t="inlineStr">
        <is>
          <t>M04 inventa aging/recurrencia, un pago parcial pre-cierre fija D o una cuota al día escala deterioro.</t>
        </is>
      </c>
      <c r="J13" s="7" t="inlineStr">
        <is>
          <t>Validar en entrega M04</t>
        </is>
      </c>
      <c r="K13" s="8" t="inlineStr">
        <is>
          <t>Kabeli · Backend/Integración/QA; M06 owner de eventos/ciclo</t>
        </is>
      </c>
      <c r="L13" s="7" t="inlineStr">
        <is>
          <t>Aceptado</t>
        </is>
      </c>
      <c r="M13" s="8" t="inlineStr">
        <is>
          <t>Control aceptado en el universo de alcance; no certifica implementación.</t>
        </is>
      </c>
      <c r="N13" s="8" t="n"/>
      <c r="O13" s="8" t="n"/>
      <c r="P13" s="7" t="inlineStr">
        <is>
          <t>Pendiente revisión</t>
        </is>
      </c>
      <c r="Q13" s="7" t="inlineStr">
        <is>
          <t>No iniciado</t>
        </is>
      </c>
      <c r="R13" s="8" t="n"/>
      <c r="S13" s="8" t="n"/>
      <c r="T13" s="7" t="inlineStr">
        <is>
          <t>Por validar</t>
        </is>
      </c>
      <c r="U13" s="7">
        <f>IF(L13="No aplica","No aplica",IF(L13="Diferido aprobado","Diferido – hito posterior",IF(L13&lt;&gt;"Aceptado","Pendiente definición alcance",IF(Q13="Conforme","Conformado",IF(Q13="Observado","Observado",IF(Q13="Evidencia pendiente","Pendiente evidencia",IF(Q13="No aplica","No aplica",IF(Q13="Diferido","Diferido – hito posterior","Pendiente cumplimiento"))))))))</f>
        <v/>
      </c>
      <c r="V13" s="7" t="n"/>
      <c r="W13" s="7" t="n"/>
    </row>
    <row r="14" ht="118" customHeight="1">
      <c r="A14" s="5" t="inlineStr">
        <is>
          <t>TEC-M4-010</t>
        </is>
      </c>
      <c r="B14" s="5" t="inlineStr">
        <is>
          <t>Motor P4 · Presión base</t>
        </is>
      </c>
      <c r="C14" s="6" t="inlineStr">
        <is>
          <t>La Presión base usa la matriz determinista C×K×D después del quality gate. No existe score monolítico ni S0–S4 como motor.</t>
        </is>
      </c>
      <c r="D14" s="6" t="inlineStr">
        <is>
          <t>Validar las 27 combinaciones C×K×D y separación entre Presión, Salud, elegibilidad y route_state.</t>
        </is>
      </c>
      <c r="E14" s="6" t="inlineStr">
        <is>
          <t>• 27 combinaciones
• En Control/Atención/Riesgo
• quality gate antes
• sin score
• sin S0-S4 como motor</t>
        </is>
      </c>
      <c r="F14" s="6" t="inlineStr">
        <is>
          <t>P4-CNT-007 · M04-RGL-015/018/019/038 · Guía §6.4</t>
        </is>
      </c>
      <c r="G14" s="6" t="inlineStr">
        <is>
          <t>Tabla/fixtures ejecutados de 27 combinaciones; pruebas de separación de ejes; versión de regla.</t>
        </is>
      </c>
      <c r="H14" s="6" t="inlineStr">
        <is>
          <t>Las 27 combinaciones producen un único resultado canónico y no dependen de score/esquema anterior.</t>
        </is>
      </c>
      <c r="I14" s="6" t="inlineStr">
        <is>
          <t>Combinación errónea, suma de severidad, S0–S4 gobierna resultado o se mezcla Salud/Ruta.</t>
        </is>
      </c>
      <c r="J14" s="5" t="inlineStr">
        <is>
          <t>Validar en entrega M04</t>
        </is>
      </c>
      <c r="K14" s="6" t="inlineStr">
        <is>
          <t>Kabeli · Backend/QA</t>
        </is>
      </c>
      <c r="L14" s="5" t="inlineStr">
        <is>
          <t>Aceptado</t>
        </is>
      </c>
      <c r="M14" s="6" t="inlineStr">
        <is>
          <t>Control aceptado en el universo de alcance; no certifica implementación.</t>
        </is>
      </c>
      <c r="N14" s="6" t="n"/>
      <c r="O14" s="6" t="n"/>
      <c r="P14" s="5" t="inlineStr">
        <is>
          <t>Pendiente revisión</t>
        </is>
      </c>
      <c r="Q14" s="5" t="inlineStr">
        <is>
          <t>No iniciado</t>
        </is>
      </c>
      <c r="R14" s="6" t="n"/>
      <c r="S14" s="6" t="n"/>
      <c r="T14" s="5" t="inlineStr">
        <is>
          <t>Por validar</t>
        </is>
      </c>
      <c r="U14" s="5">
        <f>IF(L14="No aplica","No aplica",IF(L14="Diferido aprobado","Diferido – hito posterior",IF(L14&lt;&gt;"Aceptado","Pendiente definición alcance",IF(Q14="Conforme","Conformado",IF(Q14="Observado","Observado",IF(Q14="Evidencia pendiente","Pendiente evidencia",IF(Q14="No aplica","No aplica",IF(Q14="Diferido","Diferido – hito posterior","Pendiente cumplimiento"))))))))</f>
        <v/>
      </c>
      <c r="V14" s="5" t="n"/>
      <c r="W14" s="5" t="n"/>
    </row>
    <row r="15" ht="118" customHeight="1">
      <c r="A15" s="7" t="inlineStr">
        <is>
          <t>TEC-M4-011</t>
        </is>
      </c>
      <c r="B15" s="7" t="inlineStr">
        <is>
          <t>Precedencia, floors y deduplicación</t>
        </is>
      </c>
      <c r="C15" s="8" t="inlineStr">
        <is>
          <t>RGL-020/RGL-021 aplican floors causales válidos que sólo retienen/empeoran; el mismo hecho no se cuenta dos veces. Recurrencia exige 2+ ciclos comparables.</t>
        </is>
      </c>
      <c r="D15" s="8" t="inlineStr">
        <is>
          <t>Validar causalidad/finalidad/recurrencia, precedencia max(base,floors) y dedupe/provenance.</t>
        </is>
      </c>
      <c r="E15" s="8" t="inlineStr">
        <is>
          <t>• R020 K2 sin floor/K1 Atención/K0 Riesgo
• R020 recurrencia→Riesgo
• R021 gasto ordinario→Atención
• R021 deuda→R020
• 2+ ciclos comparables
• no suma de floors</t>
        </is>
      </c>
      <c r="F15" s="8" t="inlineStr">
        <is>
          <t>P4-CNT-008/009/010/011/012/013/024 · M04-RGL-020/021 · TR-M04-084…089 · Guía §6.5</t>
        </is>
      </c>
      <c r="G15" s="8" t="inlineStr">
        <is>
          <t>Fixtures causales y de recurrencia; correlation del hecho; pruebas de dedupe; estado base/floor/final y reasons.</t>
        </is>
      </c>
      <c r="H15" s="8" t="inlineStr">
        <is>
          <t>Cada escenario aplica el floor correcto sin doble conteo y con provenance suficiente.</t>
        </is>
      </c>
      <c r="I15" s="8" t="inlineStr">
        <is>
          <t>Finalidad desconocida aplica floor, un ciclo confirma recurrencia, floors se suman o un hecho eleva por dos etiquetas.</t>
        </is>
      </c>
      <c r="J15" s="7" t="inlineStr">
        <is>
          <t>Validar en entrega M04</t>
        </is>
      </c>
      <c r="K15" s="8" t="inlineStr">
        <is>
          <t>Kabeli · Backend/QA</t>
        </is>
      </c>
      <c r="L15" s="7" t="inlineStr">
        <is>
          <t>Aceptado</t>
        </is>
      </c>
      <c r="M15" s="8" t="inlineStr">
        <is>
          <t>Control aceptado en el universo de alcance; no certifica implementación.</t>
        </is>
      </c>
      <c r="N15" s="8" t="n"/>
      <c r="O15" s="8" t="n"/>
      <c r="P15" s="7" t="inlineStr">
        <is>
          <t>Pendiente revisión</t>
        </is>
      </c>
      <c r="Q15" s="7" t="inlineStr">
        <is>
          <t>No iniciado</t>
        </is>
      </c>
      <c r="R15" s="8" t="n"/>
      <c r="S15" s="8" t="n"/>
      <c r="T15" s="7" t="inlineStr">
        <is>
          <t>Por validar</t>
        </is>
      </c>
      <c r="U15" s="7">
        <f>IF(L15="No aplica","No aplica",IF(L15="Diferido aprobado","Diferido – hito posterior",IF(L15&lt;&gt;"Aceptado","Pendiente definición alcance",IF(Q15="Conforme","Conformado",IF(Q15="Observado","Observado",IF(Q15="Evidencia pendiente","Pendiente evidencia",IF(Q15="No aplica","No aplica",IF(Q15="Diferido","Diferido – hito posterior","Pendiente cumplimiento"))))))))</f>
        <v/>
      </c>
      <c r="V15" s="7" t="n"/>
      <c r="W15" s="7" t="n"/>
    </row>
    <row r="16" ht="118" customHeight="1">
      <c r="A16" s="5" t="inlineStr">
        <is>
          <t>TEC-M4-012</t>
        </is>
      </c>
      <c r="B16" s="5" t="inlineStr">
        <is>
          <t>RGL-022 · fragmentación</t>
        </is>
      </c>
      <c r="C16" s="6" t="inlineStr">
        <is>
          <t>4+ cuotas y ratio agregado ≥8% es detector contextual parametrizado; no establece floor ni activa Ruta por sí solo.</t>
        </is>
      </c>
      <c r="D16" s="6" t="inlineStr">
        <is>
          <t>Validar cálculo del detector, parámetros/version y ausencia de efecto autónomo sobre Presión/Ruta.</t>
        </is>
      </c>
      <c r="E16" s="6" t="inlineStr">
        <is>
          <t>• count≥4
• ratio≥8%
• contexto/reason
• sin floor
• sin activación Ruta</t>
        </is>
      </c>
      <c r="F16" s="6" t="inlineStr">
        <is>
          <t>P4-CNT-014 · M04-RGL-022 · TR-M04-078 · Guía §6.6</t>
        </is>
      </c>
      <c r="G16" s="6" t="inlineStr">
        <is>
          <t>Fixtures 3/4 cuotas y 7.99/8%; output reason/context; versión de parámetros.</t>
        </is>
      </c>
      <c r="H16" s="6" t="inlineStr">
        <is>
          <t>Detector se activa sólo en sus bordes y no modifica autónomamente Presión/elegibilidad.</t>
        </is>
      </c>
      <c r="I16" s="6" t="inlineStr">
        <is>
          <t>Activa Ruta/floor, usa threshold distinto sin versión o ausencia del detector se interpreta En Control.</t>
        </is>
      </c>
      <c r="J16" s="5" t="inlineStr">
        <is>
          <t>Validar en entrega M04</t>
        </is>
      </c>
      <c r="K16" s="6" t="inlineStr">
        <is>
          <t>Kabeli · Backend/QA</t>
        </is>
      </c>
      <c r="L16" s="5" t="inlineStr">
        <is>
          <t>Aceptado</t>
        </is>
      </c>
      <c r="M16" s="6" t="inlineStr">
        <is>
          <t>Control aceptado en el universo de alcance; no certifica implementación.</t>
        </is>
      </c>
      <c r="N16" s="6" t="n"/>
      <c r="O16" s="6" t="n"/>
      <c r="P16" s="5" t="inlineStr">
        <is>
          <t>Pendiente revisión</t>
        </is>
      </c>
      <c r="Q16" s="5" t="inlineStr">
        <is>
          <t>No iniciado</t>
        </is>
      </c>
      <c r="R16" s="6" t="n"/>
      <c r="S16" s="6" t="n"/>
      <c r="T16" s="5" t="inlineStr">
        <is>
          <t>Por validar</t>
        </is>
      </c>
      <c r="U16" s="5">
        <f>IF(L16="No aplica","No aplica",IF(L16="Diferido aprobado","Diferido – hito posterior",IF(L16&lt;&gt;"Aceptado","Pendiente definición alcance",IF(Q16="Conforme","Conformado",IF(Q16="Observado","Observado",IF(Q16="Evidencia pendiente","Pendiente evidencia",IF(Q16="No aplica","No aplica",IF(Q16="Diferido","Diferido – hito posterior","Pendiente cumplimiento"))))))))</f>
        <v/>
      </c>
      <c r="V16" s="5" t="n"/>
      <c r="W16" s="5" t="n"/>
    </row>
    <row r="17" ht="118" customHeight="1">
      <c r="A17" s="7" t="inlineStr">
        <is>
          <t>TEC-M4-013</t>
        </is>
      </c>
      <c r="B17" s="7" t="inlineStr">
        <is>
          <t>Salud de Deuda y aging</t>
        </is>
      </c>
      <c r="C17" s="8" t="inlineStr">
        <is>
          <t>Salud es eje separado: al día+En Control=Sana; al día+Atención/Riesgo=Requiere atención; 1–59d=Requiere atención; 60+d=Presionada; ≥90 agrega criticidad interna.</t>
        </is>
      </c>
      <c r="D17" s="8" t="inlineStr">
        <is>
          <t>Validar mapping Salud/aging consumiendo estado M06 sin convertir aging en Presión ni CTA operativo M04.</t>
        </is>
      </c>
      <c r="E17" s="8" t="inlineStr">
        <is>
          <t>• 0d
• 1–29
• 30–59
• 60–89
• ≥90
• separación Salud/Presión/Ruta</t>
        </is>
      </c>
      <c r="F17" s="8" t="inlineStr">
        <is>
          <t>P4-CNT-016/017 · M04-RGL-016/037/038 · Guía §7.1</t>
        </is>
      </c>
      <c r="G17" s="8" t="inlineStr">
        <is>
          <t>Fixtures de aging y Presión; contrato M06→M04; pruebas de separación de estado y acción.</t>
        </is>
      </c>
      <c r="H17" s="8" t="inlineStr">
        <is>
          <t>Salud coincide con la tabla canónica y aging operativo conserva owner M06.</t>
        </is>
      </c>
      <c r="I17" s="8" t="inlineStr">
        <is>
          <t>Mora implica automáticamente Riesgo/Ruta o M04 crea aging paralelo/CTA operativo de pago.</t>
        </is>
      </c>
      <c r="J17" s="7" t="inlineStr">
        <is>
          <t>Validar en entrega M04</t>
        </is>
      </c>
      <c r="K17" s="8" t="inlineStr">
        <is>
          <t>Kabeli · Backend/Integración/QA; M06 owner aging operativo</t>
        </is>
      </c>
      <c r="L17" s="7" t="inlineStr">
        <is>
          <t>Aceptado</t>
        </is>
      </c>
      <c r="M17" s="8" t="inlineStr">
        <is>
          <t>Control aceptado en el universo de alcance; no certifica implementación.</t>
        </is>
      </c>
      <c r="N17" s="8" t="n"/>
      <c r="O17" s="8" t="n"/>
      <c r="P17" s="7" t="inlineStr">
        <is>
          <t>Pendiente revisión</t>
        </is>
      </c>
      <c r="Q17" s="7" t="inlineStr">
        <is>
          <t>No iniciado</t>
        </is>
      </c>
      <c r="R17" s="8" t="n"/>
      <c r="S17" s="8" t="n"/>
      <c r="T17" s="7" t="inlineStr">
        <is>
          <t>Por validar</t>
        </is>
      </c>
      <c r="U17" s="7">
        <f>IF(L17="No aplica","No aplica",IF(L17="Diferido aprobado","Diferido – hito posterior",IF(L17&lt;&gt;"Aceptado","Pendiente definición alcance",IF(Q17="Conforme","Conformado",IF(Q17="Observado","Observado",IF(Q17="Evidencia pendiente","Pendiente evidencia",IF(Q17="No aplica","No aplica",IF(Q17="Diferido","Diferido – hito posterior","Pendiente cumplimiento"))))))))</f>
        <v/>
      </c>
      <c r="V17" s="7" t="n"/>
      <c r="W17" s="7" t="n"/>
    </row>
    <row r="18" ht="118" customHeight="1">
      <c r="A18" s="5" t="inlineStr">
        <is>
          <t>TEC-M4-014</t>
        </is>
      </c>
      <c r="B18" s="5" t="inlineStr">
        <is>
          <t>Ruta · elegibilidad, activación y continuidad</t>
        </is>
      </c>
      <c r="C18" s="6" t="inlineStr">
        <is>
          <t>Riesgo + deuda confirmada + datos suficientes → elegible; el primer “Seguir plan” válido desde RD-02 activa; navegación/simulación no activa; continuidad es idempotente.</t>
        </is>
      </c>
      <c r="D18" s="6" t="inlineStr">
        <is>
          <t>Validar guards y transiciones de route_eligibility_status/route_state, entrada directa/reingreso y momento inicial.</t>
        </is>
      </c>
      <c r="E18" s="6" t="inlineStr">
        <is>
          <t>• eligibilidad separada
• primer Seguir plan activa
• Ver plan no activa
• reingreso no reactiva
• idempotencia</t>
        </is>
      </c>
      <c r="F18" s="6" t="inlineStr">
        <is>
          <t>P4-CNT-018/019/020 · M04-RGL-014/030/033 · TR-M04-061/092/093/095/098/118/119/130/131 · Guía §7.2</t>
        </is>
      </c>
      <c r="G18" s="6" t="inlineStr">
        <is>
          <t>Pruebas de state machine; eventos auditables; fixtures de navegación vs activación; reingreso/retoma.</t>
        </is>
      </c>
      <c r="H18" s="6" t="inlineStr">
        <is>
          <t>Sólo el evento canónico activa y la continuidad preserva estado/momento sin rebirth.</t>
        </is>
      </c>
      <c r="I18" s="6" t="inlineStr">
        <is>
          <t>Riesgo o visualización activa Ruta, reingreso crea nueva activación o atención queda elegible automáticamente.</t>
        </is>
      </c>
      <c r="J18" s="5" t="inlineStr">
        <is>
          <t>Validar en entrega M04</t>
        </is>
      </c>
      <c r="K18" s="6" t="inlineStr">
        <is>
          <t>Kabeli · Backend/QA</t>
        </is>
      </c>
      <c r="L18" s="5" t="inlineStr">
        <is>
          <t>Aceptado</t>
        </is>
      </c>
      <c r="M18" s="6" t="inlineStr">
        <is>
          <t>Control aceptado en el universo de alcance; no certifica implementación.</t>
        </is>
      </c>
      <c r="N18" s="6" t="n"/>
      <c r="O18" s="6" t="n"/>
      <c r="P18" s="5" t="inlineStr">
        <is>
          <t>Pendiente revisión</t>
        </is>
      </c>
      <c r="Q18" s="5" t="inlineStr">
        <is>
          <t>No iniciado</t>
        </is>
      </c>
      <c r="R18" s="6" t="n"/>
      <c r="S18" s="6" t="n"/>
      <c r="T18" s="5" t="inlineStr">
        <is>
          <t>Por validar</t>
        </is>
      </c>
      <c r="U18" s="5">
        <f>IF(L18="No aplica","No aplica",IF(L18="Diferido aprobado","Diferido – hito posterior",IF(L18&lt;&gt;"Aceptado","Pendiente definición alcance",IF(Q18="Conforme","Conformado",IF(Q18="Observado","Observado",IF(Q18="Evidencia pendiente","Pendiente evidencia",IF(Q18="No aplica","No aplica",IF(Q18="Diferido","Diferido – hito posterior","Pendiente cumplimiento"))))))))</f>
        <v/>
      </c>
      <c r="V18" s="5" t="n"/>
      <c r="W18" s="5" t="n"/>
    </row>
    <row r="19" ht="118" customHeight="1">
      <c r="A19" s="7" t="inlineStr">
        <is>
          <t>TEC-M4-015</t>
        </is>
      </c>
      <c r="B19" s="7" t="inlineStr">
        <is>
          <t>Plan y priorización snowball</t>
        </is>
      </c>
      <c r="C19" s="8" t="inlineStr">
        <is>
          <t>Ruta prioriza menor saldo actual de deuda confirmada y mantiene mínimos/compromisos de las demás; cierre recalcula siguiente deuda sin movimiento automático.</t>
        </is>
      </c>
      <c r="D19" s="8" t="inlineStr">
        <is>
          <t>Validar orden, protección de mínimos, reordenamiento tras cierre y separación de Foco del Mes.</t>
        </is>
      </c>
      <c r="E19" s="8" t="inlineStr">
        <is>
          <t>• menor saldo primero
• mínimos protegidos
• cierre recalcula
• sin transferencia automática
• next debt no reescribe foco</t>
        </is>
      </c>
      <c r="F19" s="8" t="inlineStr">
        <is>
          <t>M04-RGL-028/029/035 · TR-M04-093/094/104/127/128 · Guía §8.1</t>
        </is>
      </c>
      <c r="G19" s="8" t="inlineStr">
        <is>
          <t>Fixtures multi-deuda; snapshot de orden/supuestos; prueba post-cierre; caso Foco persistente.</t>
        </is>
      </c>
      <c r="H19" s="8" t="inlineStr">
        <is>
          <t>Orden y continuidad coinciden con el contrato sin mover dinero ni alterar Foco automáticamente.</t>
        </is>
      </c>
      <c r="I19" s="8" t="inlineStr">
        <is>
          <t>Prioridad distinta sin regla, mínimos ignorados, cierre mueve dinero o siguiente deuda cambia Foco.</t>
        </is>
      </c>
      <c r="J19" s="7" t="inlineStr">
        <is>
          <t>Validar en entrega M04</t>
        </is>
      </c>
      <c r="K19" s="8" t="inlineStr">
        <is>
          <t>Kabeli · Backend/QA</t>
        </is>
      </c>
      <c r="L19" s="7" t="inlineStr">
        <is>
          <t>Aceptado</t>
        </is>
      </c>
      <c r="M19" s="8" t="inlineStr">
        <is>
          <t>Control aceptado en el universo de alcance; no certifica implementación.</t>
        </is>
      </c>
      <c r="N19" s="8" t="n"/>
      <c r="O19" s="8" t="n"/>
      <c r="P19" s="7" t="inlineStr">
        <is>
          <t>Pendiente revisión</t>
        </is>
      </c>
      <c r="Q19" s="7" t="inlineStr">
        <is>
          <t>No iniciado</t>
        </is>
      </c>
      <c r="R19" s="8" t="n"/>
      <c r="S19" s="8" t="n"/>
      <c r="T19" s="7" t="inlineStr">
        <is>
          <t>Por validar</t>
        </is>
      </c>
      <c r="U19" s="7">
        <f>IF(L19="No aplica","No aplica",IF(L19="Diferido aprobado","Diferido – hito posterior",IF(L19&lt;&gt;"Aceptado","Pendiente definición alcance",IF(Q19="Conforme","Conformado",IF(Q19="Observado","Observado",IF(Q19="Evidencia pendiente","Pendiente evidencia",IF(Q19="No aplica","No aplica",IF(Q19="Diferido","Diferido – hito posterior","Pendiente cumplimiento"))))))))</f>
        <v/>
      </c>
      <c r="V19" s="7" t="n"/>
      <c r="W19" s="7" t="n"/>
    </row>
    <row r="20" ht="118" customHeight="1">
      <c r="A20" s="5" t="inlineStr">
        <is>
          <t>TEC-M4-016</t>
        </is>
      </c>
      <c r="B20" s="5" t="inlineStr">
        <is>
          <t>Capacidad recuperable</t>
        </is>
      </c>
      <c r="C20" s="6" t="inlineStr">
        <is>
          <t>Capacidad recuperable/liberable proviene de compromiso mensual/cargos recurrentes confirmados al cerrar/reducir deuda; no equivale a ahorro o margen M05.</t>
        </is>
      </c>
      <c r="D20" s="6" t="inlineStr">
        <is>
          <t>Validar cálculo/visibilidad del output y su semántica sin reclasificarlo como ahorro ni reasignarlo automáticamente.</t>
        </is>
      </c>
      <c r="E20" s="6" t="inlineStr">
        <is>
          <t>• requiere monto mensual confirmado
• output por deuda
• no ahorro M05
• no movimiento automático
• copy/materialización consistente</t>
        </is>
      </c>
      <c r="F20" s="6" t="inlineStr">
        <is>
          <t>M04-RGL-027/029 · TR-M04-105/123 · GAP-COPY-M04-CAPACIDAD · Guía §8.2</t>
        </is>
      </c>
      <c r="G20" s="6" t="inlineStr">
        <is>
          <t>Fixtures con/sin cuota; output sanitizado; prueba de cierre y recálculo; captura/contrato de materialización cuando aplique.</t>
        </is>
      </c>
      <c r="H20" s="6" t="inlineStr">
        <is>
          <t>El monto se deriva sólo con base confirmada y conserva identidad de capacidad liberada/recuperable.</t>
        </is>
      </c>
      <c r="I20" s="6" t="inlineStr">
        <is>
          <t>Se calcula desde saldo sin cuota, se presenta como ahorro general o dispara reasignación de dinero.</t>
        </is>
      </c>
      <c r="J20" s="5" t="inlineStr">
        <is>
          <t>Validar en entrega M04</t>
        </is>
      </c>
      <c r="K20" s="6" t="inlineStr">
        <is>
          <t>Kabeli · Backend/QA; Producto valida copy si aplica</t>
        </is>
      </c>
      <c r="L20" s="5" t="inlineStr">
        <is>
          <t>Aceptado</t>
        </is>
      </c>
      <c r="M20" s="6" t="inlineStr">
        <is>
          <t>Control aceptado en el universo de alcance; no certifica implementación.</t>
        </is>
      </c>
      <c r="N20" s="6" t="n"/>
      <c r="O20" s="6" t="n"/>
      <c r="P20" s="5" t="inlineStr">
        <is>
          <t>Pendiente revisión</t>
        </is>
      </c>
      <c r="Q20" s="5" t="inlineStr">
        <is>
          <t>No iniciado</t>
        </is>
      </c>
      <c r="R20" s="6" t="n"/>
      <c r="S20" s="6" t="n"/>
      <c r="T20" s="5" t="inlineStr">
        <is>
          <t>Por validar</t>
        </is>
      </c>
      <c r="U20" s="5">
        <f>IF(L20="No aplica","No aplica",IF(L20="Diferido aprobado","Diferido – hito posterior",IF(L20&lt;&gt;"Aceptado","Pendiente definición alcance",IF(Q20="Conforme","Conformado",IF(Q20="Observado","Observado",IF(Q20="Evidencia pendiente","Pendiente evidencia",IF(Q20="No aplica","No aplica",IF(Q20="Diferido","Diferido – hito posterior","Pendiente cumplimiento"))))))))</f>
        <v/>
      </c>
      <c r="V20" s="5" t="n"/>
      <c r="W20" s="5" t="n"/>
    </row>
    <row r="21" ht="118" customHeight="1">
      <c r="A21" s="7" t="inlineStr">
        <is>
          <t>TEC-M4-017</t>
        </is>
      </c>
      <c r="B21" s="7" t="inlineStr">
        <is>
          <t>Simulación y sostenibilidad</t>
        </is>
      </c>
      <c r="C21" s="8" t="inlineStr">
        <is>
          <t>M04 consume M05-M04-PRUD-V1 desde M05: EVALUABLE_POSITIVE / EVALUABLE_ZERO / NOT_EVALUABLE con monto/reason/version/snapshot. La simulación manual es hipotética; 5% y haircut nuevos no aplican.</t>
        </is>
      </c>
      <c r="D21" s="8" t="inlineStr">
        <is>
          <t>• P4-CNT-021 side-effect free
• P4-CNT-022 consume M05-M04-PRUD-V1
• LT_3M→ZERO; M3/M6 + headroom&gt;0→POSITIVE
• amount positivo=headroom canónico
• sin 5%/haircut
• aceptar simulación no paga ni activa Ruta</t>
        </is>
      </c>
      <c r="E21" s="8" t="inlineStr">
        <is>
          <t>• P4-CNT-021 side-effect free
• P4-CNT-022 gate prudencial
• sin 5% anterior
• aceptar simulación no paga ni activa Ruta</t>
        </is>
      </c>
      <c r="F21" s="8" t="inlineStr">
        <is>
          <t>P4-CNT-021/022 · M04-RGL-024/026/032 · TR-M04-110/112/113/114/116/117 · Guía §8.3</t>
        </is>
      </c>
      <c r="G21" s="8" t="inlineStr">
        <is>
          <t>Contrato M05-M04-PRUD-V1; fixtures PRUD-01..08; payload positivo/0/no evaluable; snapshot/version/replay; prueba de simulación manual y negativos de pago/activación.</t>
        </is>
      </c>
      <c r="H21" s="8" t="inlineStr">
        <is>
          <t>M04 distingue los tres estados, conserva 0 vs unknown y solo rotula sostenible el amount positivo entregado por M05 bajo M05-M04-PRUD-V1.</t>
        </is>
      </c>
      <c r="I21" s="8" t="inlineStr">
        <is>
          <t>Afirma máximo sin outcome, aplica 5%/haircut, trata LT_3M como positivo, convierte unknown en 0, recalcula M05 o ejecuta pago/activa Ruta.</t>
        </is>
      </c>
      <c r="J21" s="7" t="inlineStr">
        <is>
          <t>Validar en entrega M04</t>
        </is>
      </c>
      <c r="K21" s="8" t="inlineStr">
        <is>
          <t>Kabeli · Backend/QA; M05 owner productor; M04 consumidor</t>
        </is>
      </c>
      <c r="L21" s="7" t="inlineStr">
        <is>
          <t>Aceptado</t>
        </is>
      </c>
      <c r="M21" s="8" t="inlineStr">
        <is>
          <t>Control aceptado en el universo de alcance; no certifica implementación.</t>
        </is>
      </c>
      <c r="N21" s="8" t="n"/>
      <c r="O21" s="8" t="n"/>
      <c r="P21" s="7" t="inlineStr">
        <is>
          <t>Pendiente revisión</t>
        </is>
      </c>
      <c r="Q21" s="7" t="inlineStr">
        <is>
          <t>No iniciado</t>
        </is>
      </c>
      <c r="R21" s="8" t="n"/>
      <c r="S21" s="8" t="n"/>
      <c r="T21" s="7" t="inlineStr">
        <is>
          <t>Por validar</t>
        </is>
      </c>
      <c r="U21" s="7">
        <f>IF(L21="No aplica","No aplica",IF(L21="Diferido aprobado","Diferido – hito posterior",IF(L21&lt;&gt;"Aceptado","Pendiente definición alcance",IF(Q21="Conforme","Conformado",IF(Q21="Observado","Observado",IF(Q21="Evidencia pendiente","Pendiente evidencia",IF(Q21="No aplica","No aplica",IF(Q21="Diferido","Diferido – hito posterior","Pendiente cumplimiento"))))))))</f>
        <v/>
      </c>
      <c r="V21" s="7" t="n"/>
      <c r="W21" s="7" t="n"/>
    </row>
    <row r="22" ht="118" customHeight="1">
      <c r="A22" s="5" t="inlineStr">
        <is>
          <t>TEC-M4-018</t>
        </is>
      </c>
      <c r="B22" s="5" t="inlineStr">
        <is>
          <t>Proyección, cronograma y recálculo</t>
        </is>
      </c>
      <c r="C22" s="6" t="inlineStr">
        <is>
          <t>Duración/fecha son estimaciones condicionadas; cambios relevantes en deuda/headroom/aporte/cierre/ingreso/gasto/regla invalidan cálculo obsoleto y generan nuevo snapshot/version.</t>
        </is>
      </c>
      <c r="D22" s="6" t="inlineStr">
        <is>
          <t>Validar invalidación, recálculo y versionamiento de proyecciones sin reutilizar snapshots stale ni prometer fecha.</t>
        </is>
      </c>
      <c r="E22" s="6" t="inlineStr">
        <is>
          <t>• cambio input invalida
• rule/parameter version
• supuestos trazables
• estimación condicionada
• sin retroactividad sin recálculo explícito</t>
        </is>
      </c>
      <c r="F22" s="6" t="inlineStr">
        <is>
          <t>P4-CNT-023/025 · M04-RGL-031 · TR-M04-106/107/115/127 · Guía §8.3/§12</t>
        </is>
      </c>
      <c r="G22" s="6" t="inlineStr">
        <is>
          <t>Pruebas de cambio de inputs/version; snapshots before/after sanitizados; timestamp/supuestos/version; casos stale.</t>
        </is>
      </c>
      <c r="H22" s="6" t="inlineStr">
        <is>
          <t>Snapshot obsoleto queda distinguible/inválido y el nuevo resultado es reproducible.</t>
        </is>
      </c>
      <c r="I22" s="6" t="inlineStr">
        <is>
          <t>Se reutiliza cálculo stale, se mezclan versiones o cronograma se presenta como promesa determinista.</t>
        </is>
      </c>
      <c r="J22" s="5" t="inlineStr">
        <is>
          <t>Validar en entrega M04</t>
        </is>
      </c>
      <c r="K22" s="6" t="inlineStr">
        <is>
          <t>Kabeli · Backend/QA</t>
        </is>
      </c>
      <c r="L22" s="5" t="inlineStr">
        <is>
          <t>Aceptado</t>
        </is>
      </c>
      <c r="M22" s="6" t="inlineStr">
        <is>
          <t>Control aceptado en el universo de alcance; no certifica implementación.</t>
        </is>
      </c>
      <c r="N22" s="6" t="n"/>
      <c r="O22" s="6" t="n"/>
      <c r="P22" s="5" t="inlineStr">
        <is>
          <t>Pendiente revisión</t>
        </is>
      </c>
      <c r="Q22" s="5" t="inlineStr">
        <is>
          <t>No iniciado</t>
        </is>
      </c>
      <c r="R22" s="6" t="n"/>
      <c r="S22" s="6" t="n"/>
      <c r="T22" s="5" t="inlineStr">
        <is>
          <t>Por validar</t>
        </is>
      </c>
      <c r="U22" s="5">
        <f>IF(L22="No aplica","No aplica",IF(L22="Diferido aprobado","Diferido – hito posterior",IF(L22&lt;&gt;"Aceptado","Pendiente definición alcance",IF(Q22="Conforme","Conformado",IF(Q22="Observado","Observado",IF(Q22="Evidencia pendiente","Pendiente evidencia",IF(Q22="No aplica","No aplica",IF(Q22="Diferido","Diferido – hito posterior","Pendiente cumplimiento"))))))))</f>
        <v/>
      </c>
      <c r="V22" s="5" t="n"/>
      <c r="W22" s="5" t="n"/>
    </row>
    <row r="23" ht="118" customHeight="1">
      <c r="A23" s="7" t="inlineStr">
        <is>
          <t>TEC-M4-019</t>
        </is>
      </c>
      <c r="B23" s="7" t="inlineStr">
        <is>
          <t>Lifecycle de situaciones y proyección</t>
        </is>
      </c>
      <c r="C23" s="8" t="inlineStr">
        <is>
          <t>F1–F7 siguen born/update/resolved; persistencia no crea rebirth y una representación Home/Perfil no duplica identidad. functional_tag explica y no sustituye severidad/validación/CTA.</t>
        </is>
      </c>
      <c r="D23" s="8" t="inlineStr">
        <is>
          <t>Validar lifecycle productor/proyección, deduplicación por superficie y materialización de tags sin señal autónoma. Validar resolver local M04: F2→F1→F3; F5→F4; F6→F7; bandas P0–P3; m04_local_top_candidate; candidatos secundarios preservados. No evaluar winner Home.</t>
        </is>
      </c>
      <c r="E23" s="8" t="inlineStr">
        <is>
          <t>• F1–F7
• born/update/resolved
• sin rebirth
• Home/Perfil no duplican
• functional_tag no es señal/alerta
• winner global fuera M04</t>
        </is>
      </c>
      <c r="F23" s="8" t="inlineStr">
        <is>
          <t>M04-RGL-002/039 · BC-M04-002 · TR-M04-044…047/083/100…103/121…124/132…136 · GAP-MAT-M04-TAGS · Guía §9</t>
        </is>
      </c>
      <c r="G23" s="8" t="inlineStr">
        <is>
          <t>Pruebas de transición; IDs/correlation de situaciones; ejemplos Home/Perfil; evidencia de tags; casos de persistencia sin nuevo born. Evidencia/fixtures de prioridad local y export de candidatos.</t>
        </is>
      </c>
      <c r="H23" s="8" t="inlineStr">
        <is>
          <t>Una situación conserva identidad/lifecycle y cada superficie representa sólo outputs permitidos.</t>
        </is>
      </c>
      <c r="I23" s="8" t="inlineStr">
        <is>
          <t>Cada render crea nueva señal, tag reemplaza severidad/CTA o M04 decide winner global/canal/cadencia.</t>
        </is>
      </c>
      <c r="J23" s="7" t="inlineStr">
        <is>
          <t>Validar en entrega M04</t>
        </is>
      </c>
      <c r="K23" s="8" t="inlineStr">
        <is>
          <t>Kabeli · Backend/Integraciones/QA; orquestación global fuera</t>
        </is>
      </c>
      <c r="L23" s="7" t="inlineStr">
        <is>
          <t>Aceptado</t>
        </is>
      </c>
      <c r="M23" s="8" t="inlineStr">
        <is>
          <t>Control aceptado en el universo de alcance; no certifica implementación.</t>
        </is>
      </c>
      <c r="N23" s="8" t="n"/>
      <c r="O23" s="8" t="n"/>
      <c r="P23" s="7" t="inlineStr">
        <is>
          <t>Pendiente revisión</t>
        </is>
      </c>
      <c r="Q23" s="7" t="inlineStr">
        <is>
          <t>No iniciado</t>
        </is>
      </c>
      <c r="R23" s="8" t="n"/>
      <c r="S23" s="8" t="n"/>
      <c r="T23" s="7" t="inlineStr">
        <is>
          <t>Por validar</t>
        </is>
      </c>
      <c r="U23" s="7">
        <f>IF(L23="No aplica","No aplica",IF(L23="Diferido aprobado","Diferido – hito posterior",IF(L23&lt;&gt;"Aceptado","Pendiente definición alcance",IF(Q23="Conforme","Conformado",IF(Q23="Observado","Observado",IF(Q23="Evidencia pendiente","Pendiente evidencia",IF(Q23="No aplica","No aplica",IF(Q23="Diferido","Diferido – hito posterior","Pendiente cumplimiento"))))))))</f>
        <v/>
      </c>
      <c r="V23" s="7" t="n"/>
      <c r="W23" s="7" t="n"/>
    </row>
    <row r="24" ht="118" customHeight="1">
      <c r="A24" s="5" t="inlineStr">
        <is>
          <t>TEC-M4-020</t>
        </is>
      </c>
      <c r="B24" s="5" t="inlineStr">
        <is>
          <t>FLOW-M04-023 · cierre</t>
        </is>
      </c>
      <c r="C24" s="6" t="inlineStr">
        <is>
          <t>possible_closure false→true con closed=false solicita confirmación; sólo confirmación válida cierra; luego recalc y “¡Felicitaciones!”→Continuar con el plan→RD-03 Avance actualizado.</t>
        </is>
      </c>
      <c r="D24" s="6" t="inlineStr">
        <is>
          <t>Validar state transitions, idempotencia de possible_closure, confirmación explícita, recálculo y continuidad FLOW023.</t>
        </is>
      </c>
      <c r="E24" s="6" t="inlineStr">
        <is>
          <t>• possible_closure no auto-close
• confirmación→closed
• F6 born/resolved
• recalc orden/capacidad/cronograma
• modal→continuar→RD-03</t>
        </is>
      </c>
      <c r="F24" s="6" t="inlineStr">
        <is>
          <t>TR-M04-125/126/127/128/129 · M04-RGL-034/029/031/035 · FLOW-M04-023 · Guía §10</t>
        </is>
      </c>
      <c r="G24" s="6" t="inlineStr">
        <is>
          <t>Prueba E2E FLOW023; eventos/estado before-after; snapshot recalculado; captura/registro de continuidad.</t>
        </is>
      </c>
      <c r="H24" s="6" t="inlineStr">
        <is>
          <t>La secuencia exacta se cumple sin auto-cierre, duplicación F6 ni side effect financiero.</t>
        </is>
      </c>
      <c r="I24" s="6" t="inlineStr">
        <is>
          <t>Progreso 100% cierra automáticamente, possible_closure rebirth o continuidad no retorna al estado actualizado.</t>
        </is>
      </c>
      <c r="J24" s="5" t="inlineStr">
        <is>
          <t>Validar en entrega M04</t>
        </is>
      </c>
      <c r="K24" s="6" t="inlineStr">
        <is>
          <t>Kabeli · Backend/Frontend/QA</t>
        </is>
      </c>
      <c r="L24" s="5" t="inlineStr">
        <is>
          <t>Aceptado</t>
        </is>
      </c>
      <c r="M24" s="6" t="inlineStr">
        <is>
          <t>Control aceptado en el universo de alcance; no certifica implementación.</t>
        </is>
      </c>
      <c r="N24" s="6" t="n"/>
      <c r="O24" s="6" t="n"/>
      <c r="P24" s="5" t="inlineStr">
        <is>
          <t>Pendiente revisión</t>
        </is>
      </c>
      <c r="Q24" s="5" t="inlineStr">
        <is>
          <t>No iniciado</t>
        </is>
      </c>
      <c r="R24" s="6" t="n"/>
      <c r="S24" s="6" t="n"/>
      <c r="T24" s="5" t="inlineStr">
        <is>
          <t>Por validar</t>
        </is>
      </c>
      <c r="U24" s="5">
        <f>IF(L24="No aplica","No aplica",IF(L24="Diferido aprobado","Diferido – hito posterior",IF(L24&lt;&gt;"Aceptado","Pendiente definición alcance",IF(Q24="Conforme","Conformado",IF(Q24="Observado","Observado",IF(Q24="Evidencia pendiente","Pendiente evidencia",IF(Q24="No aplica","No aplica",IF(Q24="Diferido","Diferido – hito posterior","Pendiente cumplimiento"))))))))</f>
        <v/>
      </c>
      <c r="V24" s="5" t="n"/>
      <c r="W24" s="5" t="n"/>
    </row>
    <row r="25" ht="118" customHeight="1">
      <c r="A25" s="7" t="inlineStr">
        <is>
          <t>TEC-M4-021</t>
        </is>
      </c>
      <c r="B25" s="7" t="inlineStr">
        <is>
          <t>Fallbacks y no transaccionalidad</t>
        </is>
      </c>
      <c r="C25" s="8" t="inlineStr">
        <is>
          <t>Indisponibilidad de dependencias/superficies no bloquea el flujo principal ni crea función paralela; M04 no ejecuta pagos, transferencias, refinanciamiento o movimiento de dinero.</t>
        </is>
      </c>
      <c r="D25" s="8" t="inlineStr">
        <is>
          <t>Validar fallbacks, errores y cobertura negativa conservando owner/estado/siguiente acción y sin side effects financieros.</t>
        </is>
      </c>
      <c r="E25" s="8" t="inlineStr">
        <is>
          <t>• M05/M06/Home/Perfil no disponible
• fallback documentado
• sin funcionalidad paralela
• sin pago/transferencia/refinanciamiento
• missing no favorable</t>
        </is>
      </c>
      <c r="F25" s="8" t="inlineStr">
        <is>
          <t>M04-RGL-036/042 · TR-M04-057/058/097/103/120 · Guía §11</t>
        </is>
      </c>
      <c r="G25" s="8" t="inlineStr">
        <is>
          <t>Pruebas de error/timeout/dependencia ausente; oráculos de estado; pruebas negativas de operaciones financieras.</t>
        </is>
      </c>
      <c r="H25" s="8" t="inlineStr">
        <is>
          <t>Flujo principal degrada de forma segura y conserva ownership/estado sin ejecutar finanzas.</t>
        </is>
      </c>
      <c r="I25" s="8" t="inlineStr">
        <is>
          <t>Dependencia caída bloquea sin fallback, se inventa función paralela o una acción M04 mueve dinero.</t>
        </is>
      </c>
      <c r="J25" s="7" t="inlineStr">
        <is>
          <t>Validar en entrega M04</t>
        </is>
      </c>
      <c r="K25" s="8" t="inlineStr">
        <is>
          <t>Kabeli · Backend/Integraciones/QA</t>
        </is>
      </c>
      <c r="L25" s="7" t="inlineStr">
        <is>
          <t>Aceptado</t>
        </is>
      </c>
      <c r="M25" s="8" t="inlineStr">
        <is>
          <t>Control aceptado en el universo de alcance; no certifica implementación.</t>
        </is>
      </c>
      <c r="N25" s="8" t="n"/>
      <c r="O25" s="8" t="n"/>
      <c r="P25" s="7" t="inlineStr">
        <is>
          <t>Pendiente revisión</t>
        </is>
      </c>
      <c r="Q25" s="7" t="inlineStr">
        <is>
          <t>No iniciado</t>
        </is>
      </c>
      <c r="R25" s="8" t="n"/>
      <c r="S25" s="8" t="n"/>
      <c r="T25" s="7" t="inlineStr">
        <is>
          <t>Por validar</t>
        </is>
      </c>
      <c r="U25" s="7">
        <f>IF(L25="No aplica","No aplica",IF(L25="Diferido aprobado","Diferido – hito posterior",IF(L25&lt;&gt;"Aceptado","Pendiente definición alcance",IF(Q25="Conforme","Conformado",IF(Q25="Observado","Observado",IF(Q25="Evidencia pendiente","Pendiente evidencia",IF(Q25="No aplica","No aplica",IF(Q25="Diferido","Diferido – hito posterior","Pendiente cumplimiento"))))))))</f>
        <v/>
      </c>
      <c r="V25" s="7" t="n"/>
      <c r="W25" s="7" t="n"/>
    </row>
    <row r="26" ht="118" customHeight="1">
      <c r="A26" s="5" t="inlineStr">
        <is>
          <t>TEC-M4-022</t>
        </is>
      </c>
      <c r="B26" s="5" t="inlineStr">
        <is>
          <t>Fronteras intermodulares</t>
        </is>
      </c>
      <c r="C26" s="6" t="inlineStr">
        <is>
          <t>M04 consume ingreso/headroom y outcome prudencial M05; pagos/ciclo/recurrencia/aging M06; Home/Perfil consumen outputs M04. Disponible M02 tiene contrato cerrado y permanece fuera de M04; M05 lo consume para Reserva.</t>
        </is>
      </c>
      <c r="D26" s="6" t="inlineStr">
        <is>
          <t>• M05 ingreso/headroom + M05-M04-PRUD-V1
• M06 pagos/ciclo/aging
• Home/Perfil sólo outputs
• M02 Disponible no proxy M04
• no duplicar stores/recalcular owner</t>
        </is>
      </c>
      <c r="E26" s="6" t="inlineStr">
        <is>
          <t>• M05 ingreso/headroom
• M06 pagos/ciclo/aging
• Home/Perfil sólo outputs
• M02 Disponible fuera core
• no duplicar stores del owner</t>
        </is>
      </c>
      <c r="F26" s="6" t="inlineStr">
        <is>
          <t>M04-RGL-001/002/016/025/037/038/040/042 · P4-CNT-004/006/016/024 · M04-RT-07 · 10_DEPENDENCIAS_EXTERNAS_M04</t>
        </is>
      </c>
      <c r="G26" s="6" t="inlineStr">
        <is>
          <t>Dataflow/contratos internos, incluido M05-M04-PRUD-V1; owner→consumer; pruebas de no recálculo/duplicación; payload minimizado y snapshots/versiones.</t>
        </is>
      </c>
      <c r="H26" s="6" t="inlineStr">
        <is>
          <t>Cada input/output conserva owner canónico y M04/consumidores usan sólo lo necesario.</t>
        </is>
      </c>
      <c r="I26" s="6" t="inlineStr">
        <is>
          <t>M04 recalcula presupuesto/aging, Home/Perfil recalculan M04 o se persiste copia paralela sin necesidad/contrato.</t>
        </is>
      </c>
      <c r="J26" s="5" t="inlineStr">
        <is>
          <t>Validar en entrega M04</t>
        </is>
      </c>
      <c r="K26" s="6" t="inlineStr">
        <is>
          <t>Kabeli · Integraciones/Backend/QA por módulo; Producto owners</t>
        </is>
      </c>
      <c r="L26" s="5" t="inlineStr">
        <is>
          <t>Aceptado</t>
        </is>
      </c>
      <c r="M26" s="6" t="inlineStr">
        <is>
          <t>Control aceptado en el universo de alcance; no certifica implementación.</t>
        </is>
      </c>
      <c r="N26" s="6" t="n"/>
      <c r="O26" s="6" t="n"/>
      <c r="P26" s="5" t="inlineStr">
        <is>
          <t>Pendiente revisión</t>
        </is>
      </c>
      <c r="Q26" s="5" t="inlineStr">
        <is>
          <t>No iniciado</t>
        </is>
      </c>
      <c r="R26" s="6" t="n"/>
      <c r="S26" s="6" t="n"/>
      <c r="T26" s="5" t="inlineStr">
        <is>
          <t>Por validar</t>
        </is>
      </c>
      <c r="U26" s="5">
        <f>IF(L26="No aplica","No aplica",IF(L26="Diferido aprobado","Diferido – hito posterior",IF(L26&lt;&gt;"Aceptado","Pendiente definición alcance",IF(Q26="Conforme","Conformado",IF(Q26="Observado","Observado",IF(Q26="Evidencia pendiente","Pendiente evidencia",IF(Q26="No aplica","No aplica",IF(Q26="Diferido","Diferido – hito posterior","Pendiente cumplimiento"))))))))</f>
        <v/>
      </c>
      <c r="V26" s="5" t="n"/>
      <c r="W26" s="5" t="n"/>
    </row>
    <row r="27" ht="118" customHeight="1">
      <c r="A27" s="7" t="inlineStr">
        <is>
          <t>TEC-M4-023</t>
        </is>
      </c>
      <c r="B27" s="7" t="inlineStr">
        <is>
          <t>Arquitectura lógica y materialización de datos</t>
        </is>
      </c>
      <c r="C27" s="8" t="inlineStr">
        <is>
          <t>Cada uno de los 50 IDs vigentes debe poder mapearse a persistencia, cálculo transitorio o referencia canónica, sin copias paralelas innecesarias. La arquitectura física no está prescrita.</t>
        </is>
      </c>
      <c r="D27" s="8" t="inlineStr">
        <is>
          <t>Validar modelo lógico/materialización, relaciones/constraints/migraciones o evidencia equivalente, lifecycle de aplicación y frontera DB Walvy/Kabeli.</t>
        </is>
      </c>
      <c r="E27" s="8" t="inlineStr">
        <is>
          <t>• 50/50 IDs mapeables
• persistente/transitorio/referencia
• no duplicación
• modelo/esquema as-built
• migraciones/constraints cuando existan
• DB infra Walvy vs lógica Kabeli</t>
        </is>
      </c>
      <c r="F27" s="8" t="inlineStr">
        <is>
          <t>M04-RT-03 · TR-DB-01 · Registro Técnico 233 vigente · PD M04</t>
        </is>
      </c>
      <c r="G27" s="8" t="inlineStr">
        <is>
          <t>ERD/modelo lógico/esquema as-built o equivalente; mapeo ID→materialización; migraciones; pruebas de integridad/lifecycle; justificación de transitoriedad.</t>
        </is>
      </c>
      <c r="H27" s="8" t="inlineStr">
        <is>
          <t>50 IDs vigentes tienen una materialización/ausencia de persistencia explicable y coherente, sin imponer diseño físico desde Producto.</t>
        </is>
      </c>
      <c r="I27" s="8" t="inlineStr">
        <is>
          <t>ID sin tratamiento técnico explicable, copia paralela injustificada, owner alterado o diseño físico declarado cumplido sin evidencia.</t>
        </is>
      </c>
      <c r="J27" s="7" t="inlineStr">
        <is>
          <t>Validar en entrega M04</t>
        </is>
      </c>
      <c r="K27" s="8" t="inlineStr">
        <is>
          <t>Kabeli · Backend/DBA; Walvy Infra acredita servicio DB por separado</t>
        </is>
      </c>
      <c r="L27" s="7" t="inlineStr">
        <is>
          <t>Aceptado</t>
        </is>
      </c>
      <c r="M27" s="8" t="inlineStr">
        <is>
          <t>Control aceptado en el universo de alcance; no certifica implementación.</t>
        </is>
      </c>
      <c r="N27" s="8" t="n"/>
      <c r="O27" s="8" t="n"/>
      <c r="P27" s="7" t="inlineStr">
        <is>
          <t>Pendiente revisión</t>
        </is>
      </c>
      <c r="Q27" s="7" t="inlineStr">
        <is>
          <t>No iniciado</t>
        </is>
      </c>
      <c r="R27" s="8" t="n"/>
      <c r="S27" s="8" t="n"/>
      <c r="T27" s="7" t="inlineStr">
        <is>
          <t>Por validar</t>
        </is>
      </c>
      <c r="U27" s="7">
        <f>IF(L27="No aplica","No aplica",IF(L27="Diferido aprobado","Diferido – hito posterior",IF(L27&lt;&gt;"Aceptado","Pendiente definición alcance",IF(Q27="Conforme","Conformado",IF(Q27="Observado","Observado",IF(Q27="Evidencia pendiente","Pendiente evidencia",IF(Q27="No aplica","No aplica",IF(Q27="Diferido","Diferido – hito posterior","Pendiente cumplimiento"))))))))</f>
        <v/>
      </c>
      <c r="V27" s="7" t="n"/>
      <c r="W27" s="7" t="n"/>
    </row>
    <row r="28" ht="118" customHeight="1">
      <c r="A28" s="5" t="inlineStr">
        <is>
          <t>TEC-M4-024</t>
        </is>
      </c>
      <c r="B28" s="5" t="inlineStr">
        <is>
          <t>Release y ambiente vigente</t>
        </is>
      </c>
      <c r="C28" s="6" t="inlineStr">
        <is>
          <t>Toda evidencia técnica debe corresponder a una versión/release/ambiente M04 identificable y común.</t>
        </is>
      </c>
      <c r="D28" s="6" t="inlineStr">
        <is>
          <t>Validar trazabilidad de repo/branch/tag/commit/build/configuración y ambiente representado por las evidencias.</t>
        </is>
      </c>
      <c r="E28" s="6" t="inlineStr">
        <is>
          <t>• commit/build
• fecha
• ambiente
• config aplicativa relevante
• misma referencia para evidencias</t>
        </is>
      </c>
      <c r="F28" s="6" t="inlineStr">
        <is>
          <t>M04-RT-01 · PD Evidencia M04</t>
        </is>
      </c>
      <c r="G28" s="6" t="inlineStr">
        <is>
          <t>Repo/branch/tag/commit SHA; build/release; fecha; ambiente(s); configuración aplicativa relevante.</t>
        </is>
      </c>
      <c r="H28" s="6" t="inlineStr">
        <is>
          <t>La evidencia puede asociarse inequívocamente al release/ambiente que se revisa.</t>
        </is>
      </c>
      <c r="I28" s="6" t="inlineStr">
        <is>
          <t>Evidencia sin versión/ambiente, artefactos mezclados entre releases o imposibilidad de reproducir la referencia.</t>
        </is>
      </c>
      <c r="J28" s="5" t="inlineStr">
        <is>
          <t>Validar en entrega M04</t>
        </is>
      </c>
      <c r="K28" s="6" t="inlineStr">
        <is>
          <t>Kabeli · Backend/QA/DevOps de aplicación</t>
        </is>
      </c>
      <c r="L28" s="5" t="inlineStr">
        <is>
          <t>Aceptado</t>
        </is>
      </c>
      <c r="M28" s="6" t="inlineStr">
        <is>
          <t>Control aceptado en el universo de alcance; no certifica implementación.</t>
        </is>
      </c>
      <c r="N28" s="6" t="n"/>
      <c r="O28" s="6" t="n"/>
      <c r="P28" s="5" t="inlineStr">
        <is>
          <t>Pendiente revisión</t>
        </is>
      </c>
      <c r="Q28" s="5" t="inlineStr">
        <is>
          <t>No iniciado</t>
        </is>
      </c>
      <c r="R28" s="6" t="n"/>
      <c r="S28" s="6" t="n"/>
      <c r="T28" s="5" t="inlineStr">
        <is>
          <t>Por validar</t>
        </is>
      </c>
      <c r="U28" s="5">
        <f>IF(L28="No aplica","No aplica",IF(L28="Diferido aprobado","Diferido – hito posterior",IF(L28&lt;&gt;"Aceptado","Pendiente definición alcance",IF(Q28="Conforme","Conformado",IF(Q28="Observado","Observado",IF(Q28="Evidencia pendiente","Pendiente evidencia",IF(Q28="No aplica","No aplica",IF(Q28="Diferido","Diferido – hito posterior","Pendiente cumplimiento"))))))))</f>
        <v/>
      </c>
      <c r="V28" s="5" t="n"/>
      <c r="W28" s="5" t="n"/>
    </row>
    <row r="29" ht="118" customHeight="1">
      <c r="A29" s="7" t="inlineStr">
        <is>
          <t>TEC-M4-025</t>
        </is>
      </c>
      <c r="B29" s="7" t="inlineStr">
        <is>
          <t>Lifecycle, supresión y no-resurrección</t>
        </is>
      </c>
      <c r="C29" s="8" t="inlineStr">
        <is>
          <t>Datos base/derivados/simulaciones/estados deben seguir lifecycle definido; fin efectivo de acceso activa 90 días congelados cuando aplique; supresión confirmada no espera 90 días; restore no debe resucitar datos funcionales suprimidos.</t>
        </is>
      </c>
      <c r="D29" s="8" t="inlineStr">
        <is>
          <t>Validar triggers/estados/jobs de aplicación, supresión E2E, limpieza de transitorios y coordinación de no-resurrección con infraestructura.</t>
        </is>
      </c>
      <c r="E29" s="8" t="inlineStr">
        <is>
          <t>• fin efectivo vs inactividad
• 90d recuperación congelada
• supresión inmediata funcional
• resolved/replacement
• no-resurrección post-restore
• transitorios</t>
        </is>
      </c>
      <c r="F29" s="8" t="inlineStr">
        <is>
          <t>M04-RT-04 · TR-RET-01 · TRT-WAL-018 · Registro Técnico 233 vigente</t>
        </is>
      </c>
      <c r="G29" s="8" t="inlineStr">
        <is>
          <t>Pruebas E2E de término/supresión; inventario de stores; estados/jobs; prueba coordinada restore/PITR cuando aplique; evidencia de limpieza de transitorios.</t>
        </is>
      </c>
      <c r="H29" s="8" t="inlineStr">
        <is>
          <t>Lifecycle funcional se materializa sin inferir TTL físico no definido y datos suprimidos no reaparecen funcionalmente.</t>
        </is>
      </c>
      <c r="I29" s="8" t="inlineStr">
        <is>
          <t>Inactividad gatilla 90d, supresión espera indebidamente, transitorios quedan indefinidos o restore resucita el dato funcional.</t>
        </is>
      </c>
      <c r="J29" s="7" t="inlineStr">
        <is>
          <t>Validar en entrega M04 con frontera owner</t>
        </is>
      </c>
      <c r="K29" s="8" t="inlineStr">
        <is>
          <t>Kabeli · Backend/DBA/QA + Walvy Infra para restore/backups</t>
        </is>
      </c>
      <c r="L29" s="7" t="inlineStr">
        <is>
          <t>Aceptado</t>
        </is>
      </c>
      <c r="M29" s="8" t="inlineStr">
        <is>
          <t>Control aceptado en el universo de alcance; no certifica implementación.</t>
        </is>
      </c>
      <c r="N29" s="8" t="n"/>
      <c r="O29" s="8" t="n"/>
      <c r="P29" s="7" t="inlineStr">
        <is>
          <t>Pendiente revisión</t>
        </is>
      </c>
      <c r="Q29" s="7" t="inlineStr">
        <is>
          <t>No iniciado</t>
        </is>
      </c>
      <c r="R29" s="8" t="n"/>
      <c r="S29" s="8" t="n"/>
      <c r="T29" s="7" t="inlineStr">
        <is>
          <t>Por validar</t>
        </is>
      </c>
      <c r="U29" s="7">
        <f>IF(L29="No aplica","No aplica",IF(L29="Diferido aprobado","Diferido – hito posterior",IF(L29&lt;&gt;"Aceptado","Pendiente definición alcance",IF(Q29="Conforme","Conformado",IF(Q29="Observado","Observado",IF(Q29="Evidencia pendiente","Pendiente evidencia",IF(Q29="No aplica","No aplica",IF(Q29="Diferido","Diferido – hito posterior","Pendiente cumplimiento"))))))))</f>
        <v/>
      </c>
      <c r="V29" s="7" t="n"/>
      <c r="W29" s="7" t="n"/>
    </row>
    <row r="30" ht="118" customHeight="1">
      <c r="A30" s="5" t="inlineStr">
        <is>
          <t>TEC-M4-026</t>
        </is>
      </c>
      <c r="B30" s="5" t="inlineStr">
        <is>
          <t>K-read, documentos y terceros</t>
        </is>
      </c>
      <c r="C30" s="6" t="inlineStr">
        <is>
          <t>Originales financieros M04 se procesan en K-read fuera de Walvy, no son repositorio permanente y se eliminan tan pronto dejan de ser necesarios, máximo 24h del tercero; región/stores/logs/subprocesadores deben conocerse antes de concluir transferencias.</t>
        </is>
      </c>
      <c r="D30" s="6" t="inlineStr">
        <is>
          <t>Validar dataflow K-read, stores/buffers, ruteo, seguridad, error/reproceso, borrado y hechos técnicos de proveedor/transferencia.</t>
        </is>
      </c>
      <c r="E30" s="6" t="inlineStr">
        <is>
          <t>• M04-DOC-001/002
• 24h máximo tercero no TTL Walvy
• éxito/error/cancelación/reproceso
• logs sin contenido
• región/hops/subprocesadores
• contrato/DPA si aplica</t>
        </is>
      </c>
      <c r="F30" s="6" t="inlineStr">
        <is>
          <t>M04-RT-02 · TR-DOC-01 · TR-XFER-01 · PP-06/PP-10 · TRT-WAL-011</t>
        </is>
      </c>
      <c r="G30" s="6" t="inlineStr">
        <is>
          <t>Dataflow as-built; contrato/DPA disponible; hosting/región; stores/buffers; policy/config y evidencia de borrado; logs sanitizados; subprocesadores.</t>
        </is>
      </c>
      <c r="H30" s="6" t="inlineStr">
        <is>
          <t>El original/staging tiene lifecycle y frontera demostrables, no se convierte en storage Walvy y los hechos de proveedor están evidenciados.</t>
        </is>
      </c>
      <c r="I30" s="6" t="inlineStr">
        <is>
          <t>Original retenido sin regla, 24h tratado como TTL Walvy, stores/logs desconocidos o conclusión jurídica inferida sin hechos técnicos.</t>
        </is>
      </c>
      <c r="J30" s="5" t="inlineStr">
        <is>
          <t>Validar en entrega M04 con terceros</t>
        </is>
      </c>
      <c r="K30" s="6" t="inlineStr">
        <is>
          <t>Kabeli · Integraciones + K-read/proveedor; Walvy Privacidad/Legal concluye lo jurídico</t>
        </is>
      </c>
      <c r="L30" s="5" t="inlineStr">
        <is>
          <t>Aceptado</t>
        </is>
      </c>
      <c r="M30" s="6" t="inlineStr">
        <is>
          <t>Control aceptado en el universo de alcance; no certifica implementación.</t>
        </is>
      </c>
      <c r="N30" s="6" t="n"/>
      <c r="O30" s="6" t="n"/>
      <c r="P30" s="5" t="inlineStr">
        <is>
          <t>Pendiente revisión</t>
        </is>
      </c>
      <c r="Q30" s="5" t="inlineStr">
        <is>
          <t>No iniciado</t>
        </is>
      </c>
      <c r="R30" s="6" t="n"/>
      <c r="S30" s="6" t="n"/>
      <c r="T30" s="5" t="inlineStr">
        <is>
          <t>Por validar</t>
        </is>
      </c>
      <c r="U30" s="5">
        <f>IF(L30="No aplica","No aplica",IF(L30="Diferido aprobado","Diferido – hito posterior",IF(L30&lt;&gt;"Aceptado","Pendiente definición alcance",IF(Q30="Conforme","Conformado",IF(Q30="Observado","Observado",IF(Q30="Evidencia pendiente","Pendiente evidencia",IF(Q30="No aplica","No aplica",IF(Q30="Diferido","Diferido – hito posterior","Pendiente cumplimiento"))))))))</f>
        <v/>
      </c>
      <c r="V30" s="5" t="n"/>
      <c r="W30" s="5" t="n"/>
    </row>
    <row r="31" ht="118" customHeight="1">
      <c r="A31" s="7" t="inlineStr">
        <is>
          <t>TEC-M4-027</t>
        </is>
      </c>
      <c r="B31" s="7" t="inlineStr">
        <is>
          <t>Minimización, logging y seguridad de aplicación</t>
        </is>
      </c>
      <c r="C31" s="8" t="inlineStr">
        <is>
          <t>Datos/derivados M04 deben minimizarse, protegerse en tránsito/reposo cuando corresponda y no aparecer innecesariamente en logs/soporte; clasificación no impone cifrado campo-a-campo por sí sola.</t>
        </is>
      </c>
      <c r="D31" s="8" t="inlineStr">
        <is>
          <t>Validar controles de aplicación para minimización, redaction/logging, transporte/almacenamiento dentro de la capa controlada por Kabeli y manejo de secretos.</t>
        </is>
      </c>
      <c r="E31" s="8" t="inlineStr">
        <is>
          <t>• sin payload financiero completo en logs
• sin secretos/documentos
• vistas minimizadas
• protección transporte/reposo conforme diseño
• mecanismo justificado por riesgo
• evidencia por release</t>
        </is>
      </c>
      <c r="F31" s="8" t="inlineStr">
        <is>
          <t>M04-RGL-040 · M04-RT-05 · TR-SEC-01/TR-LOG-01 · PP-02/03/04/06/07/10</t>
        </is>
      </c>
      <c r="G31" s="8" t="inlineStr">
        <is>
          <t>Configuración de redaction; muestras sanitizadas; pruebas de autorización; configuración/capturas de transporte/almacenamiento de aplicación; revisión de secretos; evidencias del release.</t>
        </is>
      </c>
      <c r="H31" s="8" t="inlineStr">
        <is>
          <t>La capa de aplicación demuestra minimización y protección coherente con perfiles sin exposición innecesaria.</t>
        </is>
      </c>
      <c r="I31" s="8" t="inlineStr">
        <is>
          <t>Logs/payloads exponen finanzas/secretos, soporte recibe datos no necesarios o se afirma control criptográfico sin evidencia.</t>
        </is>
      </c>
      <c r="J31" s="7" t="inlineStr">
        <is>
          <t>Validar en entrega M04</t>
        </is>
      </c>
      <c r="K31" s="8" t="inlineStr">
        <is>
          <t>Kabeli · Aplicación/Seguridad/QA; Walvy Infra acredita su capa separada</t>
        </is>
      </c>
      <c r="L31" s="7" t="inlineStr">
        <is>
          <t>Aceptado</t>
        </is>
      </c>
      <c r="M31" s="8" t="inlineStr">
        <is>
          <t>Control aceptado en el universo de alcance; no certifica implementación.</t>
        </is>
      </c>
      <c r="N31" s="8" t="n"/>
      <c r="O31" s="8" t="n"/>
      <c r="P31" s="7" t="inlineStr">
        <is>
          <t>Pendiente revisión</t>
        </is>
      </c>
      <c r="Q31" s="7" t="inlineStr">
        <is>
          <t>No iniciado</t>
        </is>
      </c>
      <c r="R31" s="8" t="n"/>
      <c r="S31" s="8" t="n"/>
      <c r="T31" s="7" t="inlineStr">
        <is>
          <t>Por validar</t>
        </is>
      </c>
      <c r="U31" s="7">
        <f>IF(L31="No aplica","No aplica",IF(L31="Diferido aprobado","Diferido – hito posterior",IF(L31&lt;&gt;"Aceptado","Pendiente definición alcance",IF(Q31="Conforme","Conformado",IF(Q31="Observado","Observado",IF(Q31="Evidencia pendiente","Pendiente evidencia",IF(Q31="No aplica","No aplica",IF(Q31="Diferido","Diferido – hito posterior","Pendiente cumplimiento"))))))))</f>
        <v/>
      </c>
      <c r="V31" s="7" t="n"/>
      <c r="W31" s="7" t="n"/>
    </row>
    <row r="32" ht="118" customHeight="1">
      <c r="A32" s="5" t="inlineStr">
        <is>
          <t>TEC-M4-028</t>
        </is>
      </c>
      <c r="B32" s="5" t="inlineStr">
        <is>
          <t>Seguridad móvil e infraestructura separada</t>
        </is>
      </c>
      <c r="C32" s="6" t="inlineStr">
        <is>
          <t>M04 consume controles corporativos de seguridad móvil, AWS/CIS y DB sin trasladar ownership: Walvy acredita infraestructura; Kabeli acredita aplicación, modelo lógico y compatibilidad.</t>
        </is>
      </c>
      <c r="D32" s="6" t="inlineStr">
        <is>
          <t>Validar que las fronteras de responsabilidad estén materializadas y que cada parte aporte evidencia de su capa cuando el control atraviese aplicación e infraestructura.</t>
        </is>
      </c>
      <c r="E32" s="6" t="inlineStr">
        <is>
          <t>• TR-MOB-01
• TR-AWS-01
• TR-CIS-01
• TR-DB-01
• infra AWS no se transfiere a Kabeli
• app/modelo lógico no se transfiere a Walvy</t>
        </is>
      </c>
      <c r="F32" s="6" t="inlineStr">
        <is>
          <t>04_TRANSVERSALES M04 · baseline transversal vigente</t>
        </is>
      </c>
      <c r="G32" s="6" t="inlineStr">
        <is>
          <t>Kabeli: controles móviles/aplicación y compatibilidad/modelo lógico. Walvy: IaC/config/IAM/KMS/backups/PITR/CIS de su capa. Evidencia coordinada sólo donde cruce.</t>
        </is>
      </c>
      <c r="H32" s="6" t="inlineStr">
        <is>
          <t>Cada control tiene owner/evidencia de la capa correcta y no hay falso cumplimiento por trasladar responsabilidades.</t>
        </is>
      </c>
      <c r="I32" s="6" t="inlineStr">
        <is>
          <t>Se exige a Kabeli acreditar AWS administrado por Walvy, Walvy asume esquema/lógica de aplicación o se declara conforme sin evidencia de ambas capas donde corresponde.</t>
        </is>
      </c>
      <c r="J32" s="5" t="inlineStr">
        <is>
          <t>Incluido con owner separado</t>
        </is>
      </c>
      <c r="K32" s="6" t="inlineStr">
        <is>
          <t>Kabeli + Walvy Infra/Seguridad según frontera</t>
        </is>
      </c>
      <c r="L32" s="5" t="inlineStr">
        <is>
          <t>Aceptado</t>
        </is>
      </c>
      <c r="M32" s="6" t="inlineStr">
        <is>
          <t>Control aceptado en el universo de alcance; no certifica implementación.</t>
        </is>
      </c>
      <c r="N32" s="6" t="n"/>
      <c r="O32" s="6" t="n"/>
      <c r="P32" s="5" t="inlineStr">
        <is>
          <t>Pendiente revisión</t>
        </is>
      </c>
      <c r="Q32" s="5" t="inlineStr">
        <is>
          <t>No iniciado</t>
        </is>
      </c>
      <c r="R32" s="6" t="n"/>
      <c r="S32" s="6" t="n"/>
      <c r="T32" s="5" t="inlineStr">
        <is>
          <t>Por validar</t>
        </is>
      </c>
      <c r="U32" s="5">
        <f>IF(L32="No aplica","No aplica",IF(L32="Diferido aprobado","Diferido – hito posterior",IF(L32&lt;&gt;"Aceptado","Pendiente definición alcance",IF(Q32="Conforme","Conformado",IF(Q32="Observado","Observado",IF(Q32="Evidencia pendiente","Pendiente evidencia",IF(Q32="No aplica","No aplica",IF(Q32="Diferido","Diferido – hito posterior","Pendiente cumplimiento"))))))))</f>
        <v/>
      </c>
      <c r="V32" s="5" t="n"/>
      <c r="W32" s="5" t="n"/>
    </row>
    <row r="33" ht="118" customHeight="1">
      <c r="A33" s="7" t="inlineStr">
        <is>
          <t>TEC-M4-029</t>
        </is>
      </c>
      <c r="B33" s="7" t="inlineStr">
        <is>
          <t>Provenance, versiones y deduplicación técnica</t>
        </is>
      </c>
      <c r="C33" s="8" t="inlineStr">
        <is>
          <t>Una evaluación M04 debe ser reproducible con inputs/periodo, C/K/D o bandas, Presión/Salud/route_state, reasons, timestamp y rule/parameter version, sin stores paralelos innecesarios ni referencia a M04-DAT-041.</t>
        </is>
      </c>
      <c r="D33" s="8" t="inlineStr">
        <is>
          <t>Validar snapshot/provenance mínimo, invalidación/recálculo, versionamiento y dedupe del mismo hecho.</t>
        </is>
      </c>
      <c r="E33" s="8" t="inlineStr">
        <is>
          <t>• P4-CNT-023 recalc
• P4-CNT-024 dedupe/provenance
• P4-CNT-025 parameter version
• snapshot mínimo
• sin M04-DAT-041 canónico
• no duplicar upstream</t>
        </is>
      </c>
      <c r="F33" s="8" t="inlineStr">
        <is>
          <t>M04-RT-06 · P4-CNT-023/024/025 · baseline transversal vigente</t>
        </is>
      </c>
      <c r="G33" s="8" t="inlineStr">
        <is>
          <t>Muestra sanitizada de evaluación; input refs/periodo; outputs; timestamp/version; pruebas de invalidación/recalculo/dedupe.</t>
        </is>
      </c>
      <c r="H33" s="8" t="inlineStr">
        <is>
          <t>Evaluación se reproduce y distingue de snapshot obsoleto sin duplicar payload upstream ni inventar un ID canónico nuevo.</t>
        </is>
      </c>
      <c r="I33" s="8" t="inlineStr">
        <is>
          <t>No existe provenance/version suficiente, snapshot stale se reutiliza, hecho se duplica o aparece M04-DAT-041 como activo canónico.</t>
        </is>
      </c>
      <c r="J33" s="7" t="inlineStr">
        <is>
          <t>Validar en entrega M04</t>
        </is>
      </c>
      <c r="K33" s="8" t="inlineStr">
        <is>
          <t>Kabeli · Backend/QA; Producto define reglas/parámetros</t>
        </is>
      </c>
      <c r="L33" s="7" t="inlineStr">
        <is>
          <t>Aceptado</t>
        </is>
      </c>
      <c r="M33" s="8" t="inlineStr">
        <is>
          <t>Control aceptado en el universo de alcance; no certifica implementación.</t>
        </is>
      </c>
      <c r="N33" s="8" t="n"/>
      <c r="O33" s="8" t="n"/>
      <c r="P33" s="7" t="inlineStr">
        <is>
          <t>Pendiente revisión</t>
        </is>
      </c>
      <c r="Q33" s="7" t="inlineStr">
        <is>
          <t>No iniciado</t>
        </is>
      </c>
      <c r="R33" s="8" t="n"/>
      <c r="S33" s="8" t="n"/>
      <c r="T33" s="7" t="inlineStr">
        <is>
          <t>Por validar</t>
        </is>
      </c>
      <c r="U33" s="7">
        <f>IF(L33="No aplica","No aplica",IF(L33="Diferido aprobado","Diferido – hito posterior",IF(L33&lt;&gt;"Aceptado","Pendiente definición alcance",IF(Q33="Conforme","Conformado",IF(Q33="Observado","Observado",IF(Q33="Evidencia pendiente","Pendiente evidencia",IF(Q33="No aplica","No aplica",IF(Q33="Diferido","Diferido – hito posterior","Pendiente cumplimiento"))))))))</f>
        <v/>
      </c>
      <c r="V33" s="7" t="n"/>
      <c r="W33" s="7" t="n"/>
    </row>
    <row r="34" ht="118" customHeight="1">
      <c r="A34" s="5" t="inlineStr">
        <is>
          <t>TEC-M4-030</t>
        </is>
      </c>
      <c r="B34" s="5" t="inlineStr">
        <is>
          <t>QA, regresión y cobertura negativa</t>
        </is>
      </c>
      <c r="C34" s="6" t="inlineStr">
        <is>
          <t>Los casos de validación de la Matriz Cliente y fixtures de la Guía deben ser ejecutables con disparador, oráculo y evidencia, cubriendo happy path, bordes, missing, conflictos, fallbacks y FLOW023.</t>
        </is>
      </c>
      <c r="D34" s="6" t="inlineStr">
        <is>
          <t>Validar cobertura de pruebas funcional-técnicas y regresión del release sin convertir cada Trace en un control técnico independiente.</t>
        </is>
      </c>
      <c r="E34" s="6" t="inlineStr">
        <is>
          <t>• 93 Trace cubiertos por controles
• 25 P4 cubiertos
• 43 RGL cubiertas
• bordes C/K/aging
• errores/fallbacks
• FLOW023
• no compliance sin evidencia</t>
        </is>
      </c>
      <c r="F34" s="6" t="inlineStr">
        <is>
          <t>Matriz Cliente · columna Casos de validación/Evidencia; Guía Backend §15/§17</t>
        </is>
      </c>
      <c r="G34" s="6" t="inlineStr">
        <is>
          <t>Resultados de pruebas unitarias/integración/E2E/regresión; mapeo caso→release→resultado; evidencia sanitizada y reproducible.</t>
        </is>
      </c>
      <c r="H34" s="6" t="inlineStr">
        <is>
          <t>Los escenarios materiales y negativos tienen cobertura reproducible y cualquier diferimiento está explicitado.</t>
        </is>
      </c>
      <c r="I34" s="6" t="inlineStr">
        <is>
          <t>Sólo happy path, casos sin oráculo/evidencia, regresión no trazada al release o se declara cumplimiento por mera existencia del caso.</t>
        </is>
      </c>
      <c r="J34" s="5" t="inlineStr">
        <is>
          <t>Validar en entrega M04</t>
        </is>
      </c>
      <c r="K34" s="6" t="inlineStr">
        <is>
          <t>Kabeli · QA/Backend/Integraciones; Walvy valida suficiencia/cumplimiento</t>
        </is>
      </c>
      <c r="L34" s="5" t="inlineStr">
        <is>
          <t>Aceptado</t>
        </is>
      </c>
      <c r="M34" s="6" t="inlineStr">
        <is>
          <t>Control aceptado en el universo de alcance; no certifica implementación.</t>
        </is>
      </c>
      <c r="N34" s="6" t="n"/>
      <c r="O34" s="6" t="n"/>
      <c r="P34" s="5" t="inlineStr">
        <is>
          <t>Pendiente revisión</t>
        </is>
      </c>
      <c r="Q34" s="5" t="inlineStr">
        <is>
          <t>No iniciado</t>
        </is>
      </c>
      <c r="R34" s="6" t="n"/>
      <c r="S34" s="6" t="n"/>
      <c r="T34" s="5" t="inlineStr">
        <is>
          <t>Por validar</t>
        </is>
      </c>
      <c r="U34" s="5">
        <f>IF(L34="No aplica","No aplica",IF(L34="Diferido aprobado","Diferido – hito posterior",IF(L34&lt;&gt;"Aceptado","Pendiente definición alcance",IF(Q34="Conforme","Conformado",IF(Q34="Observado","Observado",IF(Q34="Evidencia pendiente","Pendiente evidencia",IF(Q34="No aplica","No aplica",IF(Q34="Diferido","Diferido – hito posterior","Pendiente cumplimiento"))))))))</f>
        <v/>
      </c>
      <c r="V34" s="5" t="n"/>
      <c r="W34" s="5" t="n"/>
    </row>
  </sheetData>
  <mergeCells count="2">
    <mergeCell ref="A2:W2"/>
    <mergeCell ref="A1:W1"/>
  </mergeCells>
  <dataValidations count="4">
    <dataValidation sqref="L5:L34" showDropDown="0" showInputMessage="0" showErrorMessage="0" allowBlank="1" type="list">
      <formula1>"Aceptado,Ajustar control,Agregar control,No aplica,Diferido aprobado"</formula1>
    </dataValidation>
    <dataValidation sqref="P5:P34" showDropDown="0" showInputMessage="0" showErrorMessage="0" allowBlank="1" type="list">
      <formula1>"Cumple,Cumple parcial,No cumple,Pendiente revisión"</formula1>
    </dataValidation>
    <dataValidation sqref="Q5:Q34" showDropDown="0" showInputMessage="0" showErrorMessage="0" allowBlank="1" type="list">
      <formula1>"No iniciado,Conforme,Observado,Evidencia pendiente,No aplica,Diferido"</formula1>
    </dataValidation>
    <dataValidation sqref="T5:T34" showDropDown="0" showInputMessage="0" showErrorMessage="0" allowBlank="1" type="list">
      <formula1>"No,Sí,Por validar"</formula1>
    </dataValidation>
  </dataValidations>
  <printOptions horizontalCentered="0"/>
  <pageMargins left="0.25" right="0.25" top="0.4" bottom="0.45" header="0.5" footer="0.5"/>
  <pageSetup orientation="landscape" fitToHeight="0" fitToWidth="2"/>
  <headerFooter>
    <oddHeader/>
    <oddFooter>&amp;C&amp;"Carlito"&amp;8 Walvy · M04 · Validación Técnica · v1.0&amp;R&amp;"Carlito"&amp;8 Página &amp;P de &amp;N</oddFooter>
    <evenHeader/>
    <evenFooter>&amp;C&amp;"Carlito"&amp;8 Walvy · M04 · Validación Técnica · v1.0&amp;R&amp;"Carlito"&amp;8 Página &amp;P de &amp;N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58" customWidth="1" min="3" max="3"/>
    <col width="28" customWidth="1" min="4" max="4"/>
    <col width="28" customWidth="1" min="5" max="5"/>
    <col width="34" customWidth="1" min="6" max="6"/>
    <col width="58" customWidth="1" min="7" max="7"/>
    <col width="58" customWidth="1" min="8" max="8"/>
    <col width="20" customWidth="1" min="9" max="9"/>
    <col width="50" customWidth="1" min="10" max="10"/>
  </cols>
  <sheetData>
    <row r="1" ht="24" customHeight="1">
      <c r="A1" s="1" t="inlineStr">
        <is>
          <t>Pendientes, dependencias y brechas visibles · M04</t>
        </is>
      </c>
    </row>
    <row r="2" ht="48" customHeight="1">
      <c r="A2" s="3" t="inlineStr">
        <is>
          <t>Estos objetos permanecen visibles para evitar que una validación técnica los cierre por inferencia. “Cubierto por TEC” significa que el control valida el guardrail o frontera, no que resuelva la decisión Producto/owner.</t>
        </is>
      </c>
    </row>
    <row r="3"/>
    <row r="4" ht="36" customHeight="1">
      <c r="A4" s="4" t="inlineStr">
        <is>
          <t>ID</t>
        </is>
      </c>
      <c r="B4" s="4" t="inlineStr">
        <is>
          <t>Tipo</t>
        </is>
      </c>
      <c r="C4" s="4" t="inlineStr">
        <is>
          <t>Definición / obligación</t>
        </is>
      </c>
      <c r="D4" s="4" t="inlineStr">
        <is>
          <t>Owner</t>
        </is>
      </c>
      <c r="E4" s="4" t="inlineStr">
        <is>
          <t>Estado vigente</t>
        </is>
      </c>
      <c r="F4" s="4" t="inlineStr">
        <is>
          <t>TEC asociado(s)</t>
        </is>
      </c>
      <c r="G4" s="4" t="inlineStr">
        <is>
          <t>Qué debe validar Tecnología</t>
        </is>
      </c>
      <c r="H4" s="4" t="inlineStr">
        <is>
          <t>Qué no debe inferirse</t>
        </is>
      </c>
      <c r="I4" s="4" t="inlineStr">
        <is>
          <t>Bloquea universo TEC</t>
        </is>
      </c>
      <c r="J4" s="4" t="inlineStr">
        <is>
          <t>Observación</t>
        </is>
      </c>
    </row>
    <row r="5" ht="68" customHeight="1">
      <c r="A5" s="7" t="inlineStr">
        <is>
          <t>DEP-M04-M02-DISP</t>
        </is>
      </c>
      <c r="B5" s="7" t="inlineStr">
        <is>
          <t>Dependencia externa</t>
        </is>
      </c>
      <c r="C5" s="8" t="inlineStr">
        <is>
          <t>Disponible M02 tiene contrato cerrado y permanece fuera del cálculo directo M04.</t>
        </is>
      </c>
      <c r="D5" s="7" t="inlineStr">
        <is>
          <t>M02</t>
        </is>
      </c>
      <c r="E5" s="7" t="inlineStr">
        <is>
          <t>CONTRATO EXTERNO CERRADO</t>
        </is>
      </c>
      <c r="F5" s="7" t="inlineStr">
        <is>
          <t>TEC-M4-022</t>
        </is>
      </c>
      <c r="G5" s="8" t="inlineStr">
        <is>
          <t>Verificar que M04 no lo use como proxy; sostenibilidad se consume desde M05 cuando aplique.</t>
        </is>
      </c>
      <c r="H5" s="8" t="inlineStr">
        <is>
          <t>No inventar stock/reserva ni tratar missing como $0.</t>
        </is>
      </c>
      <c r="I5" s="7" t="inlineStr">
        <is>
          <t>No</t>
        </is>
      </c>
      <c r="J5" s="8" t="inlineStr">
        <is>
          <t>Contrato Cliente</t>
        </is>
      </c>
    </row>
    <row r="6" ht="68" customHeight="1">
      <c r="A6" s="5" t="inlineStr">
        <is>
          <t>DEP-M04-RESERVA</t>
        </is>
      </c>
      <c r="B6" s="5" t="inlineStr">
        <is>
          <t>Owner externo M05</t>
        </is>
      </c>
      <c r="C6" s="6" t="inlineStr">
        <is>
          <t>M05 calcula Reserva 3M/6M y produce M05-M04-PRUD-V1. Para el gate P4, 3M es cobertura mínima y 6M hito superior; M04 consume solo el outcome y no usa esos hitos en Presión/Salud/K/D/Ruta.</t>
        </is>
      </c>
      <c r="D6" s="5" t="inlineStr">
        <is>
          <t>M05/Producto</t>
        </is>
      </c>
      <c r="E6" s="5" t="inlineStr">
        <is>
          <t>OWNER M05</t>
        </is>
      </c>
      <c r="F6" s="5" t="inlineStr">
        <is>
          <t>TEC-M4-017 / TEC-M4-022</t>
        </is>
      </c>
      <c r="G6" s="6" t="inlineStr">
        <is>
          <t>Validar payload M05-M04-PRUD-V1 y que M04 no reconstruya Reserva/headroom ni convierta 3/6 meses en thresholds de sus motores.</t>
        </is>
      </c>
      <c r="H6" s="6" t="inlineStr">
        <is>
          <t>No 5%, haircut, proxy Disponible ni cálculo M04 de Reserva.</t>
        </is>
      </c>
      <c r="I6" s="5" t="inlineStr">
        <is>
          <t>No</t>
        </is>
      </c>
      <c r="J6" s="6" t="inlineStr">
        <is>
          <t>Contrato Cliente</t>
        </is>
      </c>
    </row>
    <row r="7" ht="68" customHeight="1">
      <c r="A7" s="7" t="inlineStr">
        <is>
          <t>DEP-M04-HOME-WINNER</t>
        </is>
      </c>
      <c r="B7" s="7" t="inlineStr">
        <is>
          <t>Fuera de alcance</t>
        </is>
      </c>
      <c r="C7" s="8" t="inlineStr">
        <is>
          <t>Backend M04 produce candidato/estado; no decide ganador global.</t>
        </is>
      </c>
      <c r="D7" s="7" t="inlineStr">
        <is>
          <t>Transversal/Home</t>
        </is>
      </c>
      <c r="E7" s="7" t="inlineStr">
        <is>
          <t>OUT_OF_SCOPE</t>
        </is>
      </c>
      <c r="F7" s="7" t="inlineStr">
        <is>
          <t>TEC-M4-019; TEC-M4-021</t>
        </is>
      </c>
      <c r="G7" s="8" t="inlineStr">
        <is>
          <t>M04 produce candidato/estado; mantener owner y destino.</t>
        </is>
      </c>
      <c r="H7" s="8" t="inlineStr">
        <is>
          <t>No decidir ganador global desde M04.</t>
        </is>
      </c>
      <c r="I7" s="7" t="inlineStr">
        <is>
          <t>No</t>
        </is>
      </c>
      <c r="J7" s="8" t="inlineStr">
        <is>
          <t>Contrato Cliente</t>
        </is>
      </c>
    </row>
    <row r="8" ht="68" customHeight="1">
      <c r="A8" s="5" t="inlineStr">
        <is>
          <t>DEP-M04-CANALES</t>
        </is>
      </c>
      <c r="B8" s="5" t="inlineStr">
        <is>
          <t>Fuera de alcance</t>
        </is>
      </c>
      <c r="C8" s="6" t="inlineStr">
        <is>
          <t>No fabricar canal de notificación desde M04.</t>
        </is>
      </c>
      <c r="D8" s="5" t="inlineStr">
        <is>
          <t>Transversal</t>
        </is>
      </c>
      <c r="E8" s="5" t="inlineStr">
        <is>
          <t>OUT_OF_SCOPE</t>
        </is>
      </c>
      <c r="F8" s="5" t="inlineStr">
        <is>
          <t>TEC-M4-019; TEC-M4-021</t>
        </is>
      </c>
      <c r="G8" s="6" t="inlineStr">
        <is>
          <t>No fabricar canales o cadencia desde esta matriz.</t>
        </is>
      </c>
      <c r="H8" s="6" t="inlineStr">
        <is>
          <t>No inferir notification center, push/email, cooldown o campana.</t>
        </is>
      </c>
      <c r="I8" s="5" t="inlineStr">
        <is>
          <t>No</t>
        </is>
      </c>
      <c r="J8" s="6" t="inlineStr">
        <is>
          <t>Contrato Cliente</t>
        </is>
      </c>
    </row>
    <row r="9" ht="68" customHeight="1">
      <c r="A9" s="7" t="inlineStr">
        <is>
          <t>DEP-M04-CORE-SIGNAL</t>
        </is>
      </c>
      <c r="B9" s="7" t="inlineStr">
        <is>
          <t>Fuera de M04</t>
        </is>
      </c>
      <c r="C9" s="8" t="inlineStr">
        <is>
          <t>No crear motor transversal en M04.</t>
        </is>
      </c>
      <c r="D9" s="7" t="inlineStr">
        <is>
          <t>Transversal</t>
        </is>
      </c>
      <c r="E9" s="7" t="inlineStr">
        <is>
          <t>OWNER TRANSVERSAL</t>
        </is>
      </c>
      <c r="F9" s="7" t="inlineStr">
        <is>
          <t>TEC-M4-019; TEC-M4-021</t>
        </is>
      </c>
      <c r="G9" s="8" t="inlineStr">
        <is>
          <t>No construir como parte de M04; no bloquea implementación M04.</t>
        </is>
      </c>
      <c r="H9" s="8" t="inlineStr">
        <is>
          <t>No crear motor transversal por similitud con familias M04.</t>
        </is>
      </c>
      <c r="I9" s="7" t="inlineStr">
        <is>
          <t>No</t>
        </is>
      </c>
      <c r="J9" s="8" t="inlineStr">
        <is>
          <t>Contrato Cliente</t>
        </is>
      </c>
    </row>
    <row r="10" ht="68" customHeight="1">
      <c r="A10" s="5" t="inlineStr">
        <is>
          <t>DEP-M04-ARQ</t>
        </is>
      </c>
      <c r="B10" s="5" t="inlineStr">
        <is>
          <t>Diseño técnico</t>
        </is>
      </c>
      <c r="C10" s="6" t="inlineStr">
        <is>
          <t>La guía define semántica, no arquitectura.</t>
        </is>
      </c>
      <c r="D10" s="5" t="inlineStr">
        <is>
          <t>Kabeli/Arquitectura</t>
        </is>
      </c>
      <c r="E10" s="5" t="inlineStr">
        <is>
          <t>DISEÑO TÉCNICO</t>
        </is>
      </c>
      <c r="F10" s="5" t="inlineStr">
        <is>
          <t>TEC-M4-023; TEC-M4-028</t>
        </is>
      </c>
      <c r="G10" s="6" t="inlineStr">
        <is>
          <t>Elegir diseño físico conservando contratos observables/reproducibles.</t>
        </is>
      </c>
      <c r="H10" s="6" t="inlineStr">
        <is>
          <t>No transformar ejemplos/documentación en obligación de endpoint, tabla o microservicio.</t>
        </is>
      </c>
      <c r="I10" s="5" t="inlineStr">
        <is>
          <t>No</t>
        </is>
      </c>
      <c r="J10" s="6" t="inlineStr">
        <is>
          <t>Contrato Cliente</t>
        </is>
      </c>
    </row>
    <row r="11" ht="68" customHeight="1">
      <c r="A11" s="7" t="inlineStr">
        <is>
          <t>DEP-M04-PD</t>
        </is>
      </c>
      <c r="B11" s="7" t="inlineStr">
        <is>
          <t>Documentación PD vigente / runtime pendiente</t>
        </is>
      </c>
      <c r="C11" s="8" t="inlineStr">
        <is>
          <t>Aplicar guardrails; controles/evidencia detallados se individualizan en artefactos M04 PD.</t>
        </is>
      </c>
      <c r="D11" s="7" t="inlineStr">
        <is>
          <t>Seguridad/Privacidad/Kabeli</t>
        </is>
      </c>
      <c r="E11" s="7" t="inlineStr">
        <is>
          <t>DOCUMENTACIÓN PD VIGENTE · RUNTIME NO EVALUADO</t>
        </is>
      </c>
      <c r="F11" s="7" t="inlineStr">
        <is>
          <t>TEC-M4-022</t>
        </is>
      </c>
      <c r="G11" s="8" t="inlineStr">
        <is>
          <t>Consumir los artefactos PD M04 vigentes; implementar controles aplicables y aportar evidencia para validación de cumplimiento técnico runtime. No inferir cumplimiento.</t>
        </is>
      </c>
      <c r="H11" s="8" t="inlineStr">
        <is>
          <t>No inventar cifrado, IAM, retención o evidencia técnica específica.</t>
        </is>
      </c>
      <c r="I11" s="7" t="inlineStr">
        <is>
          <t>No</t>
        </is>
      </c>
      <c r="J11" s="8" t="inlineStr">
        <is>
          <t>Contrato Cliente</t>
        </is>
      </c>
    </row>
    <row r="12" ht="68" customHeight="1">
      <c r="A12" s="5" t="inlineStr">
        <is>
          <t>GAP-COPY-M04-CAPACIDAD</t>
        </is>
      </c>
      <c r="B12" s="5" t="inlineStr">
        <is>
          <t>Copy / materialización</t>
        </is>
      </c>
      <c r="C12" s="6" t="inlineStr">
        <is>
          <t>Semántica vigente: capacidad recuperable/liberable por deuda; separada de ahorro general M05.</t>
        </is>
      </c>
      <c r="D12" s="5" t="inlineStr">
        <is>
          <t>Kabeli + Producto según materialización</t>
        </is>
      </c>
      <c r="E12" s="5" t="inlineStr">
        <is>
          <t>Abierto · materialización</t>
        </is>
      </c>
      <c r="F12" s="5" t="inlineStr">
        <is>
          <t>TEC-M4-016</t>
        </is>
      </c>
      <c r="G12" s="6" t="inlineStr">
        <is>
          <t>Ajustar copy/etiqueta a la semántica vigente sin cambiar cálculo.</t>
        </is>
      </c>
      <c r="H12" s="6" t="inlineStr">
        <is>
          <t>No convertir capacidad liberada en ahorro, margen o transferencia automática.</t>
        </is>
      </c>
      <c r="I12" s="5" t="inlineStr">
        <is>
          <t>No</t>
        </is>
      </c>
      <c r="J12" s="6" t="inlineStr">
        <is>
          <t>Brecha de materialización; no brecha semántica nueva</t>
        </is>
      </c>
    </row>
    <row r="13" ht="68" customHeight="1">
      <c r="A13" s="7" t="inlineStr">
        <is>
          <t>GAP-COPY-M04-FOCO</t>
        </is>
      </c>
      <c r="B13" s="7" t="inlineStr">
        <is>
          <t>Copy / materialización</t>
        </is>
      </c>
      <c r="C13" s="8" t="inlineStr">
        <is>
          <t>Próxima deuda / próximo paso no reescribe Foco del Mes.</t>
        </is>
      </c>
      <c r="D13" s="7" t="inlineStr">
        <is>
          <t>Kabeli + Producto según materialización</t>
        </is>
      </c>
      <c r="E13" s="7" t="inlineStr">
        <is>
          <t>Abierto · materialización</t>
        </is>
      </c>
      <c r="F13" s="7" t="inlineStr">
        <is>
          <t>TEC-M4-015; TEC-M4-020</t>
        </is>
      </c>
      <c r="G13" s="8" t="inlineStr">
        <is>
          <t>Ajustar wording que sugiera cambio de Foco cuando no existe decisión formal.</t>
        </is>
      </c>
      <c r="H13" s="8" t="inlineStr">
        <is>
          <t>No alterar Foco persistente ni crear regla nueva.</t>
        </is>
      </c>
      <c r="I13" s="7" t="inlineStr">
        <is>
          <t>No</t>
        </is>
      </c>
      <c r="J13" s="8" t="inlineStr">
        <is>
          <t>Brecha de materialización; no brecha semántica nueva</t>
        </is>
      </c>
    </row>
    <row r="14" ht="68" customHeight="1">
      <c r="A14" s="5" t="inlineStr">
        <is>
          <t>GAP-MAT-M04-TAGS</t>
        </is>
      </c>
      <c r="B14" s="5" t="inlineStr">
        <is>
          <t>Materialización</t>
        </is>
      </c>
      <c r="C14" s="6" t="inlineStr">
        <is>
          <t>functional_tag explica dato/regla; no reemplaza severidad, validación ni CTA dominante.</t>
        </is>
      </c>
      <c r="D14" s="5" t="inlineStr">
        <is>
          <t>Kabeli + Producto según materialización</t>
        </is>
      </c>
      <c r="E14" s="5" t="inlineStr">
        <is>
          <t>Abierto · materialización</t>
        </is>
      </c>
      <c r="F14" s="5" t="inlineStr">
        <is>
          <t>TEC-M4-019</t>
        </is>
      </c>
      <c r="G14" s="6" t="inlineStr">
        <is>
          <t>Materializar taxonomía/etiquetas solo donde exista soporte funcional.</t>
        </is>
      </c>
      <c r="H14" s="6" t="inlineStr">
        <is>
          <t>No crear una Regla Walvy por superficie ni convertir tag en señal/alerta autónoma.</t>
        </is>
      </c>
      <c r="I14" s="5" t="inlineStr">
        <is>
          <t>No</t>
        </is>
      </c>
      <c r="J14" s="6" t="inlineStr">
        <is>
          <t>Brecha de materialización; no brecha semántica nueva</t>
        </is>
      </c>
    </row>
    <row r="15" ht="68" customHeight="1">
      <c r="A15" s="7" t="inlineStr">
        <is>
          <t>TR-CONS-01</t>
        </is>
      </c>
      <c r="B15" s="7" t="inlineStr">
        <is>
          <t>Dependencia PD</t>
        </is>
      </c>
      <c r="C15" s="8" t="inlineStr">
        <is>
          <t>Consentimiento financiero central</t>
        </is>
      </c>
      <c r="D15" s="7" t="inlineStr">
        <is>
          <t>M01</t>
        </is>
      </c>
      <c r="E15" s="7" t="inlineStr">
        <is>
          <t>DEPENDENCIA ACTIVA</t>
        </is>
      </c>
      <c r="F15" s="7" t="inlineStr">
        <is>
          <t>TEC-M4-001 / TEC-M4-022</t>
        </is>
      </c>
      <c r="G15" s="8" t="inlineStr">
        <is>
          <t>M04 reutiliza el consentimiento aplicable al tratamiento financiero central; no crea UI, checkbox ni evento duplicado.</t>
        </is>
      </c>
      <c r="H15" s="8" t="inlineStr">
        <is>
          <t>No duplicar registro de consentimiento en M04; consumir su estado/evidencia cuando corresponda.</t>
        </is>
      </c>
      <c r="I15" s="7" t="inlineStr">
        <is>
          <t>No</t>
        </is>
      </c>
      <c r="J15" s="8" t="inlineStr">
        <is>
          <t>Dependencia PD M04 vigente</t>
        </is>
      </c>
    </row>
    <row r="16" ht="68" customHeight="1">
      <c r="A16" s="5" t="inlineStr">
        <is>
          <t>DEP-PD-M04-M05</t>
        </is>
      </c>
      <c r="B16" s="5" t="inlineStr">
        <is>
          <t>Dependencia PD</t>
        </is>
      </c>
      <c r="C16" s="6" t="inlineStr">
        <is>
          <t>Ingreso mensual canónico + headroom</t>
        </is>
      </c>
      <c r="D16" s="5" t="inlineStr">
        <is>
          <t>M05</t>
        </is>
      </c>
      <c r="E16" s="5" t="inlineStr">
        <is>
          <t>DEPENDENCIA ACTIVA</t>
        </is>
      </c>
      <c r="F16" s="5" t="inlineStr">
        <is>
          <t>TEC-M4-022</t>
        </is>
      </c>
      <c r="G16" s="6" t="inlineStr">
        <is>
          <t>M04 consume ingreso/headroom para C/K; no recalcula presupuesto ni redefine el output M05.</t>
        </is>
      </c>
      <c r="H16" s="6" t="inlineStr">
        <is>
          <t>No copiar inventario M05 ni mantener store paralelo del presupuesto/headroom.</t>
        </is>
      </c>
      <c r="I16" s="5" t="inlineStr">
        <is>
          <t>No</t>
        </is>
      </c>
      <c r="J16" s="6" t="inlineStr">
        <is>
          <t>Dependencia PD M04 vigente</t>
        </is>
      </c>
    </row>
    <row r="17" ht="68" customHeight="1">
      <c r="A17" s="7" t="inlineStr">
        <is>
          <t>DEP-PD-M04-M06</t>
        </is>
      </c>
      <c r="B17" s="7" t="inlineStr">
        <is>
          <t>Dependencia PD</t>
        </is>
      </c>
      <c r="C17" s="8" t="inlineStr">
        <is>
          <t>Pagos + ciclo + recurrencia + aging</t>
        </is>
      </c>
      <c r="D17" s="7" t="inlineStr">
        <is>
          <t>M06</t>
        </is>
      </c>
      <c r="E17" s="7" t="inlineStr">
        <is>
          <t>DEPENDENCIA ACTIVA</t>
        </is>
      </c>
      <c r="F17" s="7" t="inlineStr">
        <is>
          <t>TEC-M4-022</t>
        </is>
      </c>
      <c r="G17" s="8" t="inlineStr">
        <is>
          <t>M04 consume solo lo necesario para D, Salud y continuidad; el aging operativo y los pagos siguen siendo M06.</t>
        </is>
      </c>
      <c r="H17" s="8" t="inlineStr">
        <is>
          <t>No mantener historial paralelo de pagos/ciclo/aging; conservar provenance/correlation mínima.</t>
        </is>
      </c>
      <c r="I17" s="7" t="inlineStr">
        <is>
          <t>No</t>
        </is>
      </c>
      <c r="J17" s="8" t="inlineStr">
        <is>
          <t>Dependencia PD M04 vigente</t>
        </is>
      </c>
    </row>
    <row r="18" ht="68" customHeight="1">
      <c r="A18" s="5" t="inlineStr">
        <is>
          <t>DEP-PD-M04-M02</t>
        </is>
      </c>
      <c r="B18" s="5" t="inlineStr">
        <is>
          <t>Dependencia PD</t>
        </is>
      </c>
      <c r="C18" s="6" t="inlineStr">
        <is>
          <t>Disponible</t>
        </is>
      </c>
      <c r="D18" s="5" t="inlineStr">
        <is>
          <t>M02</t>
        </is>
      </c>
      <c r="E18" s="5" t="inlineStr">
        <is>
          <t>CONTRATO EXTERNO CERRADO</t>
        </is>
      </c>
      <c r="F18" s="5" t="inlineStr">
        <is>
          <t>TEC-M4-022</t>
        </is>
      </c>
      <c r="G18" s="6" t="inlineStr">
        <is>
          <t>M04 no persiste ni usa Disponible como proxy; respetar owner M02.</t>
        </is>
      </c>
      <c r="H18" s="6" t="inlineStr">
        <is>
          <t>No persistir, duplicar ni introducir en cálculos M04 actuales.</t>
        </is>
      </c>
      <c r="I18" s="5" t="inlineStr">
        <is>
          <t>No</t>
        </is>
      </c>
      <c r="J18" s="6" t="inlineStr">
        <is>
          <t>Dependencia PD M04 vigente</t>
        </is>
      </c>
    </row>
    <row r="19" ht="68" customHeight="1">
      <c r="A19" s="7" t="inlineStr">
        <is>
          <t>DEP-PD-M04-CONSUMIDORES</t>
        </is>
      </c>
      <c r="B19" s="7" t="inlineStr">
        <is>
          <t>Dependencia PD</t>
        </is>
      </c>
      <c r="C19" s="8" t="inlineStr">
        <is>
          <t>Outputs M04 permitidos</t>
        </is>
      </c>
      <c r="D19" s="7" t="inlineStr">
        <is>
          <t>Home / Perfil</t>
        </is>
      </c>
      <c r="E19" s="7" t="inlineStr">
        <is>
          <t>CONSUMIDORES</t>
        </is>
      </c>
      <c r="F19" s="7" t="inlineStr">
        <is>
          <t>TEC-M4-022</t>
        </is>
      </c>
      <c r="G19" s="8" t="inlineStr">
        <is>
          <t>Home/Perfil pueden consumir outputs canónicos M04 para representación; no recalculan Presión/Salud/Ruta.</t>
        </is>
      </c>
      <c r="H19" s="8" t="inlineStr">
        <is>
          <t>No crear señal, historial ni persistencia paralela por superficie; una representación no cambia identidad/lifecycle.</t>
        </is>
      </c>
      <c r="I19" s="7" t="inlineStr">
        <is>
          <t>No</t>
        </is>
      </c>
      <c r="J19" s="8" t="inlineStr">
        <is>
          <t>Dependencia PD M04 vigente</t>
        </is>
      </c>
    </row>
    <row r="20" ht="68" customHeight="1">
      <c r="A20" s="10" t="inlineStr">
        <is>
          <t>M04-DAT-041</t>
        </is>
      </c>
      <c r="B20" s="10" t="inlineStr">
        <is>
          <t>ID PD propuesto</t>
        </is>
      </c>
      <c r="C20" s="11" t="inlineStr">
        <is>
          <t>Snapshot reproducible C/K/D + Presión + versiones</t>
        </is>
      </c>
      <c r="D20" s="10" t="inlineStr">
        <is>
          <t>M04</t>
        </is>
      </c>
      <c r="E20" s="10" t="inlineStr">
        <is>
          <t>PROPUESTO · NO CANÓNICO</t>
        </is>
      </c>
      <c r="F20" s="10" t="inlineStr">
        <is>
          <t>TEC-M4-018 / TEC-M4-029</t>
        </is>
      </c>
      <c r="G20" s="11" t="inlineStr">
        <is>
          <t>Validar reproducibilidad sin exigir este ID como activo separado.</t>
        </is>
      </c>
      <c r="H20" s="11" t="inlineStr">
        <is>
          <t>No crear fila, alias, store o dependencia canónica M04-DAT-041.</t>
        </is>
      </c>
      <c r="I20" s="10" t="inlineStr">
        <is>
          <t>No</t>
        </is>
      </c>
      <c r="J20" s="11" t="inlineStr">
        <is>
          <t>Excluido por decisión vigente; reabrir sólo si as-built demuestra persistencia autónoma con lifecycle propio.</t>
        </is>
      </c>
    </row>
  </sheetData>
  <mergeCells count="2">
    <mergeCell ref="A1:J1"/>
    <mergeCell ref="A2:J2"/>
  </mergeCells>
  <printOptions horizontalCentered="0"/>
  <pageMargins left="0.25" right="0.25" top="0.4" bottom="0.45" header="0.5" footer="0.5"/>
  <pageSetup orientation="landscape" fitToHeight="0" fitToWidth="1"/>
  <headerFooter>
    <oddHeader/>
    <oddFooter>&amp;C&amp;"Carlito"&amp;8 Walvy · M04 · Pendientes y Dependencias · v1.0&amp;R&amp;"Carlito"&amp;8 Página &amp;P de &amp;N</oddFooter>
    <evenHeader/>
    <evenFooter>&amp;C&amp;"Carlito"&amp;8 Walvy · M04 · Pendientes y Dependencias · v1.0&amp;R&amp;"Carlito"&amp;8 Página &amp;P de &amp;N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Walvy · Producto</dc:creator>
  <dc:title xmlns:dc="http://purl.org/dc/elements/1.1/">Walvy M04 · Matriz de Validación Técnica v1.0</dc:title>
  <dc:description xmlns:dc="http://purl.org/dc/elements/1.1/">Matriz técnica previa a evidencia. QA de suficiencia del universo; no certifica cumplimiento.</dc:description>
  <dc:subject xmlns:dc="http://purl.org/dc/elements/1.1/">Etapa E · Universo de controles técnicos M04</dc:subject>
  <dcterms:created xmlns:dcterms="http://purl.org/dc/terms/" xmlns:xsi="http://www.w3.org/2001/XMLSchema-instance" xsi:type="dcterms:W3CDTF">2026-08-24T16:37:13Z</dcterms:created>
  <dcterms:modified xmlns:dcterms="http://purl.org/dc/terms/" xmlns:xsi="http://www.w3.org/2001/XMLSchema-instance" xsi:type="dcterms:W3CDTF">2026-09-14T22:42:17Z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0x01010058FCD4A6AF5D0146B0CDBDC1ECCDCBE7</vt:lpwstr>
  </property>
</Properties>
</file>