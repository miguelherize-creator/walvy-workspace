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Trazabilidad" sheetId="1" r:id="rId4"/>
    <sheet state="visible" name="Historias y CA" sheetId="2" r:id="rId5"/>
    <sheet state="visible" name="Reglas de Negocio" sheetId="3" r:id="rId6"/>
    <sheet state="visible" name="Fuentes" sheetId="4" r:id="rId7"/>
    <sheet state="visible" name="Pendientes Cliente" sheetId="5" r:id="rId8"/>
    <sheet state="visible" name="Resumen" sheetId="6" r:id="rId9"/>
  </sheets>
  <definedNames>
    <definedName hidden="1" localSheetId="0" name="_xlnm._FilterDatabase">'Matriz Trazabilidad'!$A$4:$T$4</definedName>
  </definedNames>
  <calcPr/>
  <extLst>
    <ext uri="GoogleSheetsCustomDataVersion2">
      <go:sheetsCustomData xmlns:go="http://customooxmlschemas.google.com/" r:id="rId10" roundtripDataChecksum="+au/HXPdT039tsuasgfWu0wL9sq5uzGIxDbD/L8lbTw="/>
    </ext>
  </extLst>
</workbook>
</file>

<file path=xl/sharedStrings.xml><?xml version="1.0" encoding="utf-8"?>
<sst xmlns="http://schemas.openxmlformats.org/spreadsheetml/2006/main" count="1787" uniqueCount="925">
  <si>
    <t>WALVY | M6 – Matriz completa de Reglas Funcionales</t>
  </si>
  <si>
    <t>WALVY | M6 – Historias de Usuario y Criterios de Aceptación</t>
  </si>
  <si>
    <t>WALVY | M6 – Matriz de trazabilidad para validación con Cliente</t>
  </si>
  <si>
    <t>WALVY | M6 – Fuentes documentales, blueprint y Figma</t>
  </si>
  <si>
    <t>ID</t>
  </si>
  <si>
    <t>Código</t>
  </si>
  <si>
    <t>Nombre / Grupo</t>
  </si>
  <si>
    <t>Fuente</t>
  </si>
  <si>
    <t>Tipo</t>
  </si>
  <si>
    <t>Regla</t>
  </si>
  <si>
    <t>Uso / cobertura</t>
  </si>
  <si>
    <t>URL / referencia</t>
  </si>
  <si>
    <t>Estado / Origen</t>
  </si>
  <si>
    <t>Código fuente RN</t>
  </si>
  <si>
    <t>M6-F1</t>
  </si>
  <si>
    <t>Descripción fuente RN</t>
  </si>
  <si>
    <t>Cadena de trazabilidad: Historia de Usuario → Criterio de Aceptación → Regla Funcional → Variante → Caso de Prueba → Evidencia QA. Las HU de esta matriz se derivan de F1–F5 para ordenar la trazabilidad; las definiciones exclusivamente visuales de Figma permanecen identificadas como referencia visual/pendiente de validación cuando corresponda.</t>
  </si>
  <si>
    <t>Walvy_Modulo6_Pagos_Fase1_Definicion_Funcional_v1_0</t>
  </si>
  <si>
    <t>Documento funcional</t>
  </si>
  <si>
    <t>R-M6-001</t>
  </si>
  <si>
    <t>Propósito, alcance MVP, estados, reglas base, capacidades transversales, dependencias y guardrails</t>
  </si>
  <si>
    <t>Adjunto cliente</t>
  </si>
  <si>
    <t>Creación</t>
  </si>
  <si>
    <t>M6-F2</t>
  </si>
  <si>
    <t>Walvy_Modulo6_Pagos_Fase2_Inventario_Pantallas_Estados_Componentes_v1_0</t>
  </si>
  <si>
    <t>Si el usuario crea una cuenta con descripción y fecha de vencimiento, M6 puede crear una cuenta por pagar activa.</t>
  </si>
  <si>
    <t>Documento funcional / modelado</t>
  </si>
  <si>
    <t>Pantallas candidatas, estados visibles, componentes, CTAs, acciones y superficies consumidoras</t>
  </si>
  <si>
    <t>MVP / Fase 3</t>
  </si>
  <si>
    <t>M6-F3</t>
  </si>
  <si>
    <t>Walvy_Modulo6_Pagos_Fase3_Reglas_Funcionales_Severidad_Anexo_BDD_v1_0</t>
  </si>
  <si>
    <t>Reglas / BDD</t>
  </si>
  <si>
    <t>Reglas R-M6-001..141, severidad, presión de flujo, señales Home/M5/M4 y BDD-M6-001..027</t>
  </si>
  <si>
    <t>M6-F4</t>
  </si>
  <si>
    <t>Fase 3 – Reglas Funcionales, Severidad y Anexo BDD M6 Pagos v1.0: reglas R-M6, severidad, semáforo de presión, señales intermodulares y BDD.
Resultado/Gatillo documentado: Pendiente.
Guardrail/condición: No ejecuta pago.</t>
  </si>
  <si>
    <t>Walvy_Modulo6_Pagos_Fase4_Copy_UX_CTAs_Mensajeria_Contextual_v1_0</t>
  </si>
  <si>
    <t>Copy / CTAs</t>
  </si>
  <si>
    <t>CTAs oficiales, copy por estado, lenguaje permitido/restringido/prohibido y mensajería contextual</t>
  </si>
  <si>
    <t>M6-F5</t>
  </si>
  <si>
    <t>Walvy_Modulo6_Pagos_Fase5_Briefing_UX_Matriz_Obligaciones_UX_v1_0</t>
  </si>
  <si>
    <t>Briefing UX funcional</t>
  </si>
  <si>
    <t>Matriz OUX-M6-001..024, obligaciones MVP, equivalencia de superficie, prioridad y guardrails</t>
  </si>
  <si>
    <t>M6-BP</t>
  </si>
  <si>
    <t>Walvy_Modulo6_Pagos_Plaintext_Nodos_Cards_Modales_v1_0</t>
  </si>
  <si>
    <t>Blueprint textual</t>
  </si>
  <si>
    <t>Mapa M6-FLOW-02, M6-SCR-01..11, cards, modales, rutas, retornos, memoria y señales externas</t>
  </si>
  <si>
    <t>M6-FIG</t>
  </si>
  <si>
    <t>Walvi APP – Edifícate Inteligente / M6 Pagos</t>
  </si>
  <si>
    <t>Figma</t>
  </si>
  <si>
    <t>Referencia visual del módulo M6 Pagos. Se conserva como fuente visual y requiere validación UX/QA para elevar comportamientos Figma-only a definición cerrada.</t>
  </si>
  <si>
    <t>https://www.figma.com/design/v45c4HTKnPnU0XABMa5vjY/Walvi-APP---Edificate-Inteligente?node-id=8859-31712</t>
  </si>
  <si>
    <t>ID Variante</t>
  </si>
  <si>
    <t>Historia</t>
  </si>
  <si>
    <t>M6-RECTOR</t>
  </si>
  <si>
    <t>Walvy_Rector_Producto_y_Funcionalidades_MVP_v1.0</t>
  </si>
  <si>
    <t>Rector MVP declarado por F1–F5</t>
  </si>
  <si>
    <t>Redacción</t>
  </si>
  <si>
    <t>Fuente rectora citada por la documentación M6; no fue adjuntada en esta entrega, por lo que no se incorporan reglas nuevas desde ella.</t>
  </si>
  <si>
    <t>R-M6-002</t>
  </si>
  <si>
    <t>Fuente declarada en M6; no adjunta</t>
  </si>
  <si>
    <t>Criterios de aceptación</t>
  </si>
  <si>
    <t>Flujo / Subflujo</t>
  </si>
  <si>
    <t>Variante / Escenario</t>
  </si>
  <si>
    <t>Condición / Disparador</t>
  </si>
  <si>
    <t>Si falta descripción o fecha de vencimiento, la cuenta no debe quedar activa como pendiente completa.</t>
  </si>
  <si>
    <t>Comportamiento esperado</t>
  </si>
  <si>
    <t>M6-HU-001</t>
  </si>
  <si>
    <t>HU asociada</t>
  </si>
  <si>
    <t>CA asociado</t>
  </si>
  <si>
    <t>Consultar consolidado de pagos</t>
  </si>
  <si>
    <t>Regla de negocio asociada</t>
  </si>
  <si>
    <t>Origen / Estado RN</t>
  </si>
  <si>
    <t>Fase 3 – Reglas Funcionales, Severidad y Anexo BDD M6 Pagos v1.0: reglas R-M6, severidad, semáforo de presión, señales intermodulares y BDD.
Resultado/Gatillo documentado: Borrador / Sin datos suficientes.
Guardrail/condición: No gatillar alerta fuerte.</t>
  </si>
  <si>
    <t>Caso de Prueba</t>
  </si>
  <si>
    <t>Evidencia QA</t>
  </si>
  <si>
    <t>Estado evidencia</t>
  </si>
  <si>
    <t>R-M6-003</t>
  </si>
  <si>
    <t>Nodo Figma</t>
  </si>
  <si>
    <t>URL Figma</t>
  </si>
  <si>
    <t>Clasificación de soporte</t>
  </si>
  <si>
    <t>Si el monto falta, la cuenta puede existir, pero su severidad por impacto económico debe quedar limitada.</t>
  </si>
  <si>
    <t>Validación Cliente</t>
  </si>
  <si>
    <t>Como usuario, quiero ver mis compromisos de pago organizados por estado, para entender qué tengo pendiente, próximo, vencido, realizado o por revisar.</t>
  </si>
  <si>
    <t>Decisión PO / Comentarios</t>
  </si>
  <si>
    <t>CA1. Debe existir una superficie Pagos o equivalente funcional aprobada que concentre las obligaciones mínimas de M6.
CA2. Se distinguen estados pendientes, próximos, vencidos, realizados y casos que requieren revisión.
CA3. Cada elemento ofrece una acción segura y no transaccional según su estado.</t>
  </si>
  <si>
    <t>ID Pendiente Cliente</t>
  </si>
  <si>
    <t>M6-HU-002</t>
  </si>
  <si>
    <t>Fase 3 – Reglas Funcionales, Severidad y Anexo BDD M6 Pagos v1.0: reglas R-M6, severidad, semáforo de presión, señales intermodulares y BDD.
Resultado/Gatillo documentado: Pendiente / Requiere revisión.
Guardrail/condición: No marcar crítica solo por monto ausente.</t>
  </si>
  <si>
    <t>Registrar cuenta por pagar manualmente</t>
  </si>
  <si>
    <t>M6-V01</t>
  </si>
  <si>
    <t>Como usuario, quiero registrar manualmente una cuenta por pagar, para hacer seguimiento de un compromiso aunque Walvy no lo haya detectado.</t>
  </si>
  <si>
    <t>R-M6-004</t>
  </si>
  <si>
    <t>Pagos / Hub</t>
  </si>
  <si>
    <t>CA1. Con descripción y fecha de vencimiento puede crearse una cuenta activa.
CA2. Si faltan datos mínimos queda como borrador o sin datos suficientes.
CA3. El origen manual se conserva y la acción no ejecuta ningún pago.</t>
  </si>
  <si>
    <t>Sin pagos registrados</t>
  </si>
  <si>
    <t>Toda cuenta creada manualmente debe conservar origen manual.</t>
  </si>
  <si>
    <t>Usuario no tiene cuentas por pagar registradas</t>
  </si>
  <si>
    <t>Mostrar empty state orientativo y CTA Registrar cuenta por pagar, sin presión artificial.</t>
  </si>
  <si>
    <t>M6-HU-003</t>
  </si>
  <si>
    <t>M6-HU-017</t>
  </si>
  <si>
    <t>Revisar candidato detectado</t>
  </si>
  <si>
    <t>CA1</t>
  </si>
  <si>
    <t>Fase 3 – Reglas Funcionales, Severidad y Anexo BDD M6 Pagos v1.0: reglas R-M6, severidad, semáforo de presión, señales intermodulares y BDD.
Resultado/Gatillo documentado: Estado correspondiente.
Guardrail/condición: Trazabilidad obligatoria.</t>
  </si>
  <si>
    <t>R-M6-001 / BDD-M6-024</t>
  </si>
  <si>
    <t>Como usuario, quiero revisar un posible pago detectado antes de consolidarlo, para confirmar, corregir o descartar información sugerida por Walvy.</t>
  </si>
  <si>
    <t>MVP</t>
  </si>
  <si>
    <t>F2 | F4 | F5 | M6-BP</t>
  </si>
  <si>
    <t>R-M6-005</t>
  </si>
  <si>
    <t>CA1. El candidato muestra origen y nivel de confianza cuando corresponde.
CA2. El CTA oficial para una posible cuenta es Confirmar cuenta o Confirmar como pago pendiente según contexto.
CA3. No existe consolidación automática sin confirmación o regla funcional suficiente.</t>
  </si>
  <si>
    <t>Una cuenta manual puede corregirse antes o después de ser registrada, según reglas de edición/corrección.</t>
  </si>
  <si>
    <t>M6-HU-004</t>
  </si>
  <si>
    <t>Gestionar datos insuficientes o de baja confianza</t>
  </si>
  <si>
    <t>Como usuario, quiero identificar y completar datos incompletos o poco confiables, para evitar que Walvy use información incierta como confirmada.</t>
  </si>
  <si>
    <t>Fase 2 – Inventario de Pantallas, Estados y Componentes M6 Pagos v1.0: superficies, pantallas candidatas, estados, componentes, CTAs y acciones.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</si>
  <si>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CP-M6-001</t>
  </si>
  <si>
    <t>CA1. La baja confianza se muestra como revisión, no como certeza.
CA2. Sin fecha confiable no se calcula Próximo/Vencido y sin datos suficientes no se eleva a criticidad.
CA3. El usuario puede revisar, completar, corregir o descartar según el caso.</t>
  </si>
  <si>
    <t>Fase 3 – Reglas Funcionales, Severidad y Anexo BDD M6 Pagos v1.0: reglas R-M6, severidad, semáforo de presión, señales intermodulares y BDD.
Resultado/Gatillo documentado: Estado actualizado.
Guardrail/condición: Mantener historial funcional.</t>
  </si>
  <si>
    <t>M6-HU-005</t>
  </si>
  <si>
    <t>R-M6-010</t>
  </si>
  <si>
    <t>Revisar pago próximo</t>
  </si>
  <si>
    <t>Candidato detectado</t>
  </si>
  <si>
    <t>Como usuario, quiero identificar pagos próximos a vencer, para revisar con anticipación mis compromisos del mes.</t>
  </si>
  <si>
    <t>Si captura, ingesta, glosa, documento, cartola o patrón sugiere un pago, M6 debe crear candidato detectado, no cuenta confirmada automática.</t>
  </si>
  <si>
    <t>CA1. El estado Próximo depende de un umbral funcional parametrizable.
CA2. Con datos confiables e impacto relevante puede elevarse a Urgente.
CA3. El CTA orienta a Revisar pago o Registrar pago realizado, nunca a pagar desde Walvy.</t>
  </si>
  <si>
    <t>M6-HU-006</t>
  </si>
  <si>
    <t>Revisar pago vencido</t>
  </si>
  <si>
    <t>Fase 3 – Reglas Funcionales, Severidad y Anexo BDD M6 Pagos v1.0: reglas R-M6, severidad, semáforo de presión, señales intermodulares y BDD.
Resultado/Gatillo documentado: Detectado.
Guardrail/condición: No consolidación automática.</t>
  </si>
  <si>
    <t>Como usuario, quiero identificar pagos vencidos, para revisar su estado y registrar si ya los pagué fuera de Walvy.</t>
  </si>
  <si>
    <t>CA1. Vencido requiere fecha confiable superada sin pago registrado ni vínculo suficiente.
CA2. Puede gatillar alerta y, con datos suficientes, severidad Urgente/Crítica.
CA3. El CTA no debe ser transaccional ni usar lenguaje alarmista.</t>
  </si>
  <si>
    <t>R-M6-011</t>
  </si>
  <si>
    <t>M6-HU-007</t>
  </si>
  <si>
    <t>Todo candidato detectado debe mostrar origen y nivel de confianza funcional.</t>
  </si>
  <si>
    <t>Registrar pago realizado fuera de Walvy</t>
  </si>
  <si>
    <t>Como usuario, quiero registrar que un pago ya fue realizado fuera de Walvy, para mantener actualizado el seguimiento de mis compromisos.</t>
  </si>
  <si>
    <t>Pendiente de evidencia QA ejecutada</t>
  </si>
  <si>
    <t>CA1. Registrar pago realizado no ejecuta ni instruye un pago.
CA2. El registro conserva fecha, origen y acción del usuario o dato detectado cuando aplique.
CA3. Al registrarse puede limpiar o reducir una señal pendiente, próxima o vencida sin borrar el historial.</t>
  </si>
  <si>
    <t>Pendiente</t>
  </si>
  <si>
    <t>8859:31712 · ID lógico blueprint M6-SCR-01 / M6-SCR-10</t>
  </si>
  <si>
    <t>Fase 3 – Reglas Funcionales, Severidad y Anexo BDD M6 Pagos v1.0: reglas R-M6, severidad, semáforo de presión, señales intermodulares y BDD.
Resultado/Gatillo documentado: Detectado.
Guardrail/condición: Trazabilidad.</t>
  </si>
  <si>
    <t>M6-HU-008</t>
  </si>
  <si>
    <t>Confirmado documental + Figma sección</t>
  </si>
  <si>
    <t>Corregir o deshacer un pago realizado</t>
  </si>
  <si>
    <t>R-M6-012</t>
  </si>
  <si>
    <t>Como usuario, quiero corregir o deshacer un pago marcado como realizado por error, para recuperar el estado correcto sin perder trazabilidad.</t>
  </si>
  <si>
    <t>Si el candidato tiene datos incompletos o ambiguos, debe marcarse como requiere revisión.</t>
  </si>
  <si>
    <t>CA1. Debe existir tratamiento de Corregir / Deshacer.
CA2. El estado se recalcula a Pendiente, Próximo, Vencido, Requiere revisión o Corregido según datos vigentes.
CA3. Se conserva historial mínimo de estado anterior, acción y fecha.</t>
  </si>
  <si>
    <t>M6-HU-009</t>
  </si>
  <si>
    <t>Revisar registro u origen del dato</t>
  </si>
  <si>
    <t>Fase 3 – Reglas Funcionales, Severidad y Anexo BDD M6 Pagos v1.0: reglas R-M6, severidad, semáforo de presión, señales intermodulares y BDD.
Resultado/Gatillo documentado: Requiere revisión.
Guardrail/condición: No alerta crítica.</t>
  </si>
  <si>
    <t>Como usuario, quiero revisar el registro u origen del dato asociado a un pago, para entender de dónde proviene sin asumir que está validado formalmente.</t>
  </si>
  <si>
    <t>CA1. Puede mostrarse origen manual, documento, cartola, movimiento, glosa, patrón u otra fuente permitida.
CA2. El origen del dato no equivale por sí solo a pago validado, comprobante formal o deuda cerrada.
CA3. Si el dato es ilegible, incompleto o contradictorio queda en revisión.</t>
  </si>
  <si>
    <t>R-M6-013</t>
  </si>
  <si>
    <t>M6-HU-010</t>
  </si>
  <si>
    <t>Revisar duplicado probable</t>
  </si>
  <si>
    <t>M6-V02</t>
  </si>
  <si>
    <t>Si el usuario confirma candidato con datos mínimos, puede transformarse en cuenta pendiente, próxima o pagada según contexto.</t>
  </si>
  <si>
    <t>Como usuario, quiero revisar un pago que podría estar duplicado, para decidir si corresponde al mismo compromiso o a uno distinto.</t>
  </si>
  <si>
    <t>Consolidado con pagos en distintos estados</t>
  </si>
  <si>
    <t>Existen compromisos registrados o detectados</t>
  </si>
  <si>
    <t>CA1. La coincidencia puede considerar monto, fecha, descripción, glosa o categoría.
CA2. No se fusiona ni consolida automáticamente.
CA3. El usuario puede mantener separado, descartar o vincular según la regla aplicable.</t>
  </si>
  <si>
    <t>Mostrar una superficie Pagos o equivalente que permita distinguir Pendiente, Próximo, Vencido, Pagado, Detectado, Revisión, recurrencia y duplicidad con acciones seguras.</t>
  </si>
  <si>
    <t>CA1-CA3</t>
  </si>
  <si>
    <t>M6-HU-011</t>
  </si>
  <si>
    <t>R-M6-001 / R-M6-020 / R-M6-030 / R-M6-040</t>
  </si>
  <si>
    <t>Fase 3 – Reglas Funcionales, Severidad y Anexo BDD M6 Pagos v1.0: reglas R-M6, severidad, semáforo de presión, señales intermodulares y BDD.
Resultado/Gatillo documentado: Pendiente / Próximo / Pagado.
Guardrail/condición: Confirmación usuario.</t>
  </si>
  <si>
    <t>Gestionar recurrencia probable</t>
  </si>
  <si>
    <t>F1 | F2 | F5 | M6-BP</t>
  </si>
  <si>
    <t>Como usuario, quiero confirmar o rechazar un patrón de pago recurrente, para anticipar compromisos repetidos sin activar pagos automáticos.</t>
  </si>
  <si>
    <t>R-M6-014</t>
  </si>
  <si>
    <t>CA1. La recurrencia probable se sugiere por patrón y requiere confirmación o regla suficiente.
CA2. El usuario puede Confirmar recurrencia o indicar No es recurrente.
CA3. Baja confianza mantiene el caso en revisión y no crea compromisos futuros automáticamente.</t>
  </si>
  <si>
    <t>Si el usuario corrige candidato, debe guardarse el dato corregido como fuente funcional prioritaria.</t>
  </si>
  <si>
    <t>M6-HU-012</t>
  </si>
  <si>
    <t>Fase 1 – Definición Funcional M6 Pagos v1.0: propósito, alcance MVP, estados, reglas base, dependencias y guardrails.
Fase 2 – Inventario de Pantallas, Estados y Componentes M6 Pagos v1.0: superficies, pantallas candidatas, estados, componentes, CTAs y acciones.
Fase 5 – Briefing UX y Matriz Maestra de Obligaciones UX M6 Pagos v1.0: obligaciones UX OUX-M6-001..024, superficies, prioridad y guardrails.
Blueprint plaintext M6-FLOW-02: nodos M6-SCR-01..11, cards, modales, rutas, retornos, memoria y señales externas.</t>
  </si>
  <si>
    <t>CP-M6-002</t>
  </si>
  <si>
    <t>Consultar historial de pagos y estados</t>
  </si>
  <si>
    <t>Como usuario, quiero revisar el historial funcional de mis pagos y cambios de estado, para entender qué decisiones se registraron.</t>
  </si>
  <si>
    <t>Fase 3 – Reglas Funcionales, Severidad y Anexo BDD M6 Pagos v1.0: reglas R-M6, severidad, semáforo de presión, señales intermodulares y BDD.
Resultado/Gatillo documentado: Estado corregido.
Guardrail/condición: Mantener origen original.</t>
  </si>
  <si>
    <t>8859:31712 · ID lógico blueprint M6-SCR-01</t>
  </si>
  <si>
    <t>CA1. El historial permite revisar pagos/estados y cambios relevantes.
CA2. No se presenta como cartola bancaria, conciliación contable ni comprobante.
CA3. Mantiene trazabilidad de correcciones, descartes y reversibilidad cuando aplique.</t>
  </si>
  <si>
    <t>Confirmado documental; arquitectura visual final pendiente + Figma sección</t>
  </si>
  <si>
    <t>R-M6-015</t>
  </si>
  <si>
    <t>M6-HU-013</t>
  </si>
  <si>
    <t>PD-M6-02</t>
  </si>
  <si>
    <t>Recibir alertas y recordatorios seguros</t>
  </si>
  <si>
    <t>Si el usuario descarta candidato, no debe volver a proponerse de forma insistente salvo nueva senal, dato autorizado o regla posterior.</t>
  </si>
  <si>
    <t>M6-V03</t>
  </si>
  <si>
    <t>Como usuario, quiero recibir avisos sobre pagos próximos, vencidos o datos por revisar, para no perder de vista compromisos relevantes.</t>
  </si>
  <si>
    <t>Pagos / Detalle</t>
  </si>
  <si>
    <t>Revisar detalle de pago</t>
  </si>
  <si>
    <t>CA1. Próximo puede gatillar recordatorio y Vencido puede gatillar alerta operativa.
CA2. Baja confianza o datos incompletos generan aviso de revisión, no urgencia artificial.
CA3. El CTA orienta a revisar o registrar pago realizado fuera de Walvy.</t>
  </si>
  <si>
    <t>Usuario abre Ver detalle / Revisar pago</t>
  </si>
  <si>
    <t>Mostrar estado, fecha, monto, origen, relación y acciones seguras; no representar checkout ni confirmación bancaria.</t>
  </si>
  <si>
    <t>Fase 3 – Reglas Funcionales, Severidad y Anexo BDD M6 Pagos v1.0: reglas R-M6, severidad, semáforo de presión, señales intermodulares y BDD.
Resultado/Gatillo documentado: Descartado.
Guardrail/condición: Evitar ruido.</t>
  </si>
  <si>
    <t>M6-HU-001 / M6-HU-009</t>
  </si>
  <si>
    <t>M6-HU-014</t>
  </si>
  <si>
    <t>CA2-CA3</t>
  </si>
  <si>
    <t>R-M6-050 / R-M6-051</t>
  </si>
  <si>
    <t>Recibir recomendaciones contextuales seguras</t>
  </si>
  <si>
    <t>R-M6-020</t>
  </si>
  <si>
    <t>Próximo vencimiento</t>
  </si>
  <si>
    <t>Una cuenta pendiente pasa a próximo cuando entra en el umbral funcional de vencimiento definido para M6.</t>
  </si>
  <si>
    <t>CP-M6-003</t>
  </si>
  <si>
    <t>Fase 3 – Reglas Funcionales, Severidad y Anexo BDD M6 Pagos v1.0: reglas R-M6, severidad, semáforo de presión, señales intermodulares y BDD.
Resultado/Gatillo documentado: Próximo.
Guardrail/condición: Atención</t>
  </si>
  <si>
    <t>Como usuario, quiero recibir mensajes contextuales sobre mis pagos, para ordenar el mes sin recibir asesoría financiera regulada.</t>
  </si>
  <si>
    <t>8859:31712 · ID lógico blueprint M6-SCR-02</t>
  </si>
  <si>
    <t>CA1. Los mensajes son informativos/contextuales y basados en datos observados.
CA2. No recomiendan productos financieros ni instruyen pagos.
CA3. El copy usa los textos/guardrails de Fase 4 y evita culpa, amenaza o promesas.</t>
  </si>
  <si>
    <t>R-M6-021</t>
  </si>
  <si>
    <t>M6-HU-015</t>
  </si>
  <si>
    <t>Reflejar impacto de pagos en Home y Presupuesto Vivo</t>
  </si>
  <si>
    <t>M6-V04</t>
  </si>
  <si>
    <t>El umbral de próximo vencimiento queda parametrizable y no se cierra como valor definitivo en Fase 3.</t>
  </si>
  <si>
    <t>Alta manual</t>
  </si>
  <si>
    <t>Como usuario, quiero que los compromisos relevantes puedan reflejarse como señales en Home o Presupuesto Vivo, para entender su impacto en el mes.</t>
  </si>
  <si>
    <t>Registro completo</t>
  </si>
  <si>
    <t>MVP – parametrizable</t>
  </si>
  <si>
    <t>Usuario ingresa descripción y fecha de vencimiento</t>
  </si>
  <si>
    <t>Crear cuenta activa en estado Pendiente, conservar origen manual y no ejecutar pago.</t>
  </si>
  <si>
    <t>CA1. M6 puede emitir señales candidatas a Home y de impacto a M5.
CA2. Home no se convierte en panel de pagos y M6 no reabre ni reasigna M5 automáticamente.
CA3. La prioridad visual final corresponde a una etapa posterior de UX/Producto.</t>
  </si>
  <si>
    <t>CA1 / CA3</t>
  </si>
  <si>
    <t>R-M6-001 / R-M6-004</t>
  </si>
  <si>
    <t>F1 | F3 | M6-BP</t>
  </si>
  <si>
    <t>Fase 3 – Reglas Funcionales, Severidad y Anexo BDD M6 Pagos v1.0: reglas R-M6, severidad, semáforo de presión, señales intermodulares y BDD.
Resultado/Gatillo documentado: Pendiente / Próximo.
Guardrail/condición: Según fecha</t>
  </si>
  <si>
    <t>M6-HU-016</t>
  </si>
  <si>
    <t>Derivar señal controlada a M4</t>
  </si>
  <si>
    <t>R-M6-022</t>
  </si>
  <si>
    <t>Como usuario con deuda bajo presión, quiero que un compromiso de pago pueda generar una señal controlada hacia M4, para que la estrategia de deuda sea evaluada en el módulo correcto.</t>
  </si>
  <si>
    <t>Fase 1 – Definición Funcional M6 Pagos v1.0: propósito, alcance MVP, estados, reglas base, dependencias y guardrails.
Fase 3 – Reglas Funcionales, Severidad y Anexo BDD M6 Pagos v1.0: reglas R-M6, severidad, semáforo de presión, señales intermodulares y BDD.
Blueprint plaintext M6-FLOW-02: nodos M6-SCR-01..11, cards, modales, rutas, retornos, memoria y señales externas.</t>
  </si>
  <si>
    <t>CP-M6-004</t>
  </si>
  <si>
    <t>CA1. Un pago asociado a deuda no deriva a M4 por sí solo; requiere presión, mora, pago mínimo recurrente, pago parcial, saldo arrastrado u otra condición suficiente.
CA2. M6 no activa Ruta Despeje automáticamente ni define estrategia de deuda.
CA3. M4 conserva el dominio sobre priorización y tratamiento estratégico.</t>
  </si>
  <si>
    <t>Fase 3 no define valor, rango ni número de días para el umbral de próximo vencimiento. Ese parámetro queda sujeto a decisión producto, configuración posterior o criterio funcional validado en una fase futura.</t>
  </si>
  <si>
    <t>8859:31712 · ID lógico blueprint M6-SCR-03</t>
  </si>
  <si>
    <t>Gestionar estados vacíos y errores</t>
  </si>
  <si>
    <t>Como usuario, quiero recibir estados claros cuando no hay pagos o cuando una fuente no puede interpretarse, para saber cómo continuar sin que se inventen datos.</t>
  </si>
  <si>
    <t>M6-V05</t>
  </si>
  <si>
    <t>CA1. Sin pagos registrados se muestra un empty state orientativo con CTA Registrar cuenta por pagar.
CA2. Error de lectura o dato no interpretable no consolida información.
CA3. Debe existir opción de revisar archivo/dato o ingresar manualmente según corresponda.</t>
  </si>
  <si>
    <t>Registro incompleto</t>
  </si>
  <si>
    <t>Falta descripción o fecha de vencimiento</t>
  </si>
  <si>
    <t>Mantener Borrador / Sin datos suficientes; CTA Completar datos; no gatillar alerta fuerte.</t>
  </si>
  <si>
    <t>M6-HU-002 / M6-HU-004</t>
  </si>
  <si>
    <t>M6-HU-018</t>
  </si>
  <si>
    <t>CA2</t>
  </si>
  <si>
    <t>R-M6-023</t>
  </si>
  <si>
    <t>R-M6-002 / R-M6-080 / R-M6-081 / BDD-M6-002</t>
  </si>
  <si>
    <t>Mantener experiencia no transaccional y trazable</t>
  </si>
  <si>
    <t>F3 | F4 | M6-BP</t>
  </si>
  <si>
    <t>Como usuario, quiero que Walvy organice mis pagos sin mover dinero ni presentar acciones ambiguas, para mantener claridad sobre el alcance del servicio.</t>
  </si>
  <si>
    <t>Si el pago próximo tiene datos confiables y además monto relevante, deuda asociada o impacto mensual trazable, puede elevarse a urgente.</t>
  </si>
  <si>
    <t>CA1. Se bloquean CTAs y lenguaje de pago directo, wallet, transferencias o pago automático.
CA2. Todo dato detectado conserva origen, confianza y acción del usuario cuando corresponda.
CA3. Los estados y severidades no deben presentar certeza o criticidad sin datos suficientes.</t>
  </si>
  <si>
    <t>M6-HU-019</t>
  </si>
  <si>
    <t>Interpretar presión de flujo por compromisos</t>
  </si>
  <si>
    <t>Fase 3 – Reglas Funcionales, Severidad y Anexo BDD M6 Pagos v1.0: reglas R-M6, severidad, semáforo de presión, señales intermodulares y BDD.
Resultado/Gatillo documentado: Próximo.
Guardrail/condición: Urgente</t>
  </si>
  <si>
    <t>Como usuario, quiero que Walvy interprete la presión de flujo provocada por compromisos, para recibir señales coherentes según la causa.</t>
  </si>
  <si>
    <t>CA1. La lectura funcional usa los umbrales 50/80/90/100/110 definidos en Fase 3.
CA2. &gt;=80% es alerta preventiva y no activa M4 automáticamente.
CA3. La derivación se bifurca por causa: M5/Home para presupuesto general, M6 para compromisos cerrables y M4 solo con deuda bajo presión.</t>
  </si>
  <si>
    <t>R-M6-024</t>
  </si>
  <si>
    <t>Fase 3 – Reglas Funcionales, Severidad y Anexo BDD M6 Pagos v1.0: reglas R-M6, severidad, semáforo de presión, señales intermodulares y BDD.
Fase 4 – Copy UX, CTAs y Mensajería Contextual M6 Pagos v1.0: CTAs oficiales, copy permitido/restringido/prohibido y mensajes por estado.
Blueprint plaintext M6-FLOW-02: nodos M6-SCR-01..11, cards, modales, rutas, retornos, memoria y señales externas.</t>
  </si>
  <si>
    <t>CP-M6-005</t>
  </si>
  <si>
    <t>8859:31712 · ID lógico blueprint M6-SCR-03 / M6-SCR-10</t>
  </si>
  <si>
    <t>Si el pago próximo carece de fecha confiable, origen claro o dato suficiente, no debe gatillar alerta urgente ni severidad crítica.</t>
  </si>
  <si>
    <t>M6-V06</t>
  </si>
  <si>
    <t>Monto ausente</t>
  </si>
  <si>
    <t>Descripción y fecha existen, pero falta monto</t>
  </si>
  <si>
    <t>Fase 3 – Reglas Funcionales, Severidad y Anexo BDD M6 Pagos v1.0: reglas R-M6, severidad, semáforo de presión, señales intermodulares y BDD.
Resultado/Gatillo documentado: Requiere revisión.
Guardrail/condición: Atención</t>
  </si>
  <si>
    <t>La cuenta puede existir, pero el impacto económico no debe elevarse a severidad crítica solo por monto ausente.</t>
  </si>
  <si>
    <t>CA1-CA2</t>
  </si>
  <si>
    <t>R-M6-003 / R-M6-082</t>
  </si>
  <si>
    <t>R-M6-030</t>
  </si>
  <si>
    <t>Pago vencido</t>
  </si>
  <si>
    <t>F3</t>
  </si>
  <si>
    <t>Una cuenta pasa a vencida cuando supera la fecha de vencimiento confiable sin pago registrado ni vínculo validado suficiente.</t>
  </si>
  <si>
    <t>Fase 3 – Reglas Funcionales, Severidad y Anexo BDD M6 Pagos v1.0: reglas R-M6, severidad, semáforo de presión, señales intermodulares y BDD.</t>
  </si>
  <si>
    <t>CP-M6-006</t>
  </si>
  <si>
    <t>Fase 3 – Reglas Funcionales, Severidad y Anexo BDD M6 Pagos v1.0: reglas R-M6, severidad, semáforo de presión, señales intermodulares y BDD.
Resultado/Gatillo documentado: Vencido.
Guardrail/condición: Urgente</t>
  </si>
  <si>
    <t>R-M6-031</t>
  </si>
  <si>
    <t>M6-V07</t>
  </si>
  <si>
    <t>Crear candidato, no cuenta confirmada</t>
  </si>
  <si>
    <t>Captura, ingesta, glosa, documento, cartola o patrón sugiere un pago</t>
  </si>
  <si>
    <t>Crear estado Detectado con origen/confianza; no consolidar automáticamente.</t>
  </si>
  <si>
    <t>Un pago vencido con datos confiables, monto relevante, deuda bajo presion, mora, pago parcial, pago minimo recurrente o fuerte impacto mensual puede elevarse a critica.</t>
  </si>
  <si>
    <t>R-M6-010 / R-M6-011</t>
  </si>
  <si>
    <t>F1 | F3 | F5 | M6-BP</t>
  </si>
  <si>
    <t>Fase 3 – Reglas Funcionales, Severidad y Anexo BDD M6 Pagos v1.0: reglas R-M6, severidad, semáforo de presión, señales intermodulares y BDD.
Resultado/Gatillo documentado: Vencido.
Guardrail/condición: Crítica</t>
  </si>
  <si>
    <t>Fase 1 – Definición Funcional M6 Pagos v1.0: propósito, alcance MVP, estados, reglas base, dependencias y guardrails.
Fase 3 – Reglas Funcionales, Severidad y Anexo BDD M6 Pagos v1.0: reglas R-M6, severidad, semáforo de presión, señales intermodulares y BDD.
Fase 5 – Briefing UX y Matriz Maestra de Obligaciones UX M6 Pagos v1.0: obligaciones UX OUX-M6-001..024, superficies, prioridad y guardrails.
Blueprint plaintext M6-FLOW-02: nodos M6-SCR-01..11, cards, modales, rutas, retornos, memoria y señales externas.</t>
  </si>
  <si>
    <t>R-M6-032</t>
  </si>
  <si>
    <t>CP-M6-007</t>
  </si>
  <si>
    <t>8859:31712 · ID lógico blueprint M6-SCR-04</t>
  </si>
  <si>
    <t>Un pago vencido sin monto, sin origen confiable, con fecha ambigua, dato detectado insuficiente o baja confianza debe requerir revision antes de escalar a critica.</t>
  </si>
  <si>
    <t>M6-V08</t>
  </si>
  <si>
    <t>Confirmar cuenta detectada</t>
  </si>
  <si>
    <t>Candidato con datos mínimos y usuario confirma</t>
  </si>
  <si>
    <t>Transformar a Pendiente, Próximo o Pagado según contexto; usar CTA oficial Confirmar cuenta / Confirmar como pago pendiente.</t>
  </si>
  <si>
    <t>R-M6-013 / BDD-M6-003</t>
  </si>
  <si>
    <t>F3 | F4 | F5 | M6-BP</t>
  </si>
  <si>
    <t>R-M6-033</t>
  </si>
  <si>
    <t>Un pago vencido puede gatillar alerta operativa.</t>
  </si>
  <si>
    <t>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</si>
  <si>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CP-M6-008</t>
  </si>
  <si>
    <t>R-M6-034</t>
  </si>
  <si>
    <t>M6-V09</t>
  </si>
  <si>
    <t>Corregir candidato</t>
  </si>
  <si>
    <t>Un pago vencido puede gatillar recomendación contextual si el mensaje es informativo y no transaccional.</t>
  </si>
  <si>
    <t>Usuario corrige datos antes de consolidar</t>
  </si>
  <si>
    <t>Guardar dato corregido como fuente funcional prioritaria, conservar origen original y recalcular estado.</t>
  </si>
  <si>
    <t>R-M6-014 / BDD-M6-004</t>
  </si>
  <si>
    <t>R-M6-035</t>
  </si>
  <si>
    <t>Un pago vencido crítico puede enviar señal funcional a Home como foco o próxima acción candidata, sin definir prioridad visual final ni layout de Home.</t>
  </si>
  <si>
    <t>CP-M6-009</t>
  </si>
  <si>
    <t>R-M6-040</t>
  </si>
  <si>
    <t>Pago realizado</t>
  </si>
  <si>
    <t>M6-V10</t>
  </si>
  <si>
    <t>Registrar pago realizado significa que el usuario declara que pago fuera de Walvy o que Walvy detecta un pago desde documento financiero autorizado.</t>
  </si>
  <si>
    <t>Descartar candidato</t>
  </si>
  <si>
    <t>Usuario indica que el candidato no corresponde</t>
  </si>
  <si>
    <t>Estado Descartado; evitar reproponer de forma insistente salvo nueva señal/dato/regla.</t>
  </si>
  <si>
    <t>CA3</t>
  </si>
  <si>
    <t>R-M6-015 / BDD-M6-005</t>
  </si>
  <si>
    <t>Fase 3 – Reglas Funcionales, Severidad y Anexo BDD M6 Pagos v1.0: reglas R-M6, severidad, semáforo de presión, señales intermodulares y BDD.
Resultado/Gatillo documentado: Pagado.
Guardrail/condición: No ejecutar pago ni exigir comprobante.</t>
  </si>
  <si>
    <t>R-M6-041</t>
  </si>
  <si>
    <t>CP-M6-010</t>
  </si>
  <si>
    <t>Al registrar pago realizado, M6 debe conservar fecha de registro, origen de accion u origen del dato y usuario/actor funcional cuando aplique.</t>
  </si>
  <si>
    <t>Fase 3 – Reglas Funcionales, Severidad y Anexo BDD M6 Pagos v1.0: reglas R-M6, severidad, semáforo de presión, señales intermodulares y BDD.
Resultado/Gatillo documentado: Pagado.
Guardrail/condición: Trazabilidad.</t>
  </si>
  <si>
    <t>M6-V11</t>
  </si>
  <si>
    <t>Baja confianza</t>
  </si>
  <si>
    <t>R-M6-042</t>
  </si>
  <si>
    <t>Candidato con dato ambiguo o de baja confianza</t>
  </si>
  <si>
    <t>Mantener Requiere revisión; CTA Revisar dato; no consolidar ni escalar a alerta crítica.</t>
  </si>
  <si>
    <t>Si el pago estaba próximo o vencido, registrar pago realizado debe limpiar o reducir la señal pendiente cuando corresponda.</t>
  </si>
  <si>
    <t>R-M6-012 / R-M6-083 / R-M6-084 / BDD-M6-006</t>
  </si>
  <si>
    <t>Fase 3 – Reglas Funcionales, Severidad y Anexo BDD M6 Pagos v1.0: reglas R-M6, severidad, semáforo de presión, señales intermodulares y BDD.
Resultado/Gatillo documentado: Pagado.
Guardrail/condición: No borrar historial.</t>
  </si>
  <si>
    <t>R-M6-043</t>
  </si>
  <si>
    <t>CP-M6-011</t>
  </si>
  <si>
    <t>Si el usuario registró pago realizado por error, debe existir tratamiento funcional para corregir, deshacer o reabrir el estado.</t>
  </si>
  <si>
    <t>8859:31712 · ID lógico blueprint M6-SCR-10</t>
  </si>
  <si>
    <t>Fase 3 – Reglas Funcionales, Severidad y Anexo BDD M6 Pagos v1.0: reglas R-M6, severidad, semáforo de presión, señales intermodulares y BDD.
Resultado/Gatillo documentado: Pendiente / Próximo / Vencido / Corregido.
Guardrail/condición: Obligación Fase 3.</t>
  </si>
  <si>
    <t>M6-V12</t>
  </si>
  <si>
    <t>R-M6-044</t>
  </si>
  <si>
    <t>Vencimiento</t>
  </si>
  <si>
    <t>Paso a Próximo</t>
  </si>
  <si>
    <t>Cuenta Pendiente entra en umbral funcional</t>
  </si>
  <si>
    <t>La corrección/deshacer debe conservar historial funcional mínimo: estado anterior, acción realizada y fecha.</t>
  </si>
  <si>
    <t>Cambiar a Próximo con severidad Atención; umbral parametrizable.</t>
  </si>
  <si>
    <t>R-M6-020 / R-M6-021 / BDD-M6-007</t>
  </si>
  <si>
    <t>F3 | F5</t>
  </si>
  <si>
    <t>Fase 3 – Reglas Funcionales, Severidad y Anexo BDD M6 Pagos v1.0: reglas R-M6, severidad, semáforo de presión, señales intermodulares y BDD.
Resultado/Gatillo documentado: Estado corregido.
Guardrail/condición: Trazabilidad.</t>
  </si>
  <si>
    <t>R-M6-045</t>
  </si>
  <si>
    <t>Fase 3 – Reglas Funcionales, Severidad y Anexo BDD M6 Pagos v1.0: reglas R-M6, severidad, semáforo de presión, señales intermodulares y BDD.
Fase 5 – Briefing UX y Matriz Maestra de Obligaciones UX M6 Pagos v1.0: obligaciones UX OUX-M6-001..024, superficies, prioridad y guardrails.</t>
  </si>
  <si>
    <t>CP-M6-012</t>
  </si>
  <si>
    <t>Si el pago realizado esta asociado a registro manual o dato detectado, el origen puede mantenerse, corregirse o marcarse como no aplicable segun accion del usuario.</t>
  </si>
  <si>
    <t>8859:31712 · ID lógico blueprint M6-SCR-01 / M6-SCR-02</t>
  </si>
  <si>
    <t>Fase 3 – Reglas Funcionales, Severidad y Anexo BDD M6 Pagos v1.0: reglas R-M6, severidad, semáforo de presión, señales intermodulares y BDD.
Resultado/Gatillo documentado: Pagado / Revision / Corregido.
Guardrail/condición: No validacion probatoria ni cierre de deuda desde M6.</t>
  </si>
  <si>
    <t>PD-M6-01</t>
  </si>
  <si>
    <t>M6-V13</t>
  </si>
  <si>
    <t>R-M6-050</t>
  </si>
  <si>
    <t>Próximo con impacto relevante</t>
  </si>
  <si>
    <t>Registro/origen del dato</t>
  </si>
  <si>
    <t>Pago Próximo tiene fecha/origen confiables y alto impacto o deuda asociada</t>
  </si>
  <si>
    <t>Puede elevarse a Urgente y gatillar señal/recordatorio seguro; no implica pago directo.</t>
  </si>
  <si>
    <t>Un pago o compromiso puede tener registro manual del usuario o dato detectado desde documento financiero autorizado.</t>
  </si>
  <si>
    <t>R-M6-023 / R-M6-090</t>
  </si>
  <si>
    <t>F3 | F4</t>
  </si>
  <si>
    <t>Fase 3 – Reglas Funcionales, Severidad y Anexo BDD M6 Pagos v1.0: reglas R-M6, severidad, semáforo de presión, señales intermodulares y BDD.
Resultado/Gatillo documentado: Con registro / Dato detectado.
Guardrail/condición: Segun origen y calidad</t>
  </si>
  <si>
    <t>Fase 3 – Reglas Funcionales, Severidad y Anexo BDD M6 Pagos v1.0: reglas R-M6, severidad, semáforo de presión, señales intermodulares y BDD.
Fase 4 – Copy UX, CTAs y Mensajería Contextual M6 Pagos v1.0: CTAs oficiales, copy permitido/restringido/prohibido y mensajes por estado.</t>
  </si>
  <si>
    <t>CP-M6-013</t>
  </si>
  <si>
    <t>PD-M6-05</t>
  </si>
  <si>
    <t>M6-V14</t>
  </si>
  <si>
    <t>Próximo sin fecha confiable</t>
  </si>
  <si>
    <t>Falta fecha confiable, origen claro o dato suficiente</t>
  </si>
  <si>
    <t>Mantener Requiere revisión / Atención; no gatillar urgencia ni criticidad.</t>
  </si>
  <si>
    <t>M6-HU-004 / M6-HU-005</t>
  </si>
  <si>
    <t>R-M6-024 / R-M6-080</t>
  </si>
  <si>
    <t>CP-M6-014</t>
  </si>
  <si>
    <t>R-M6-051</t>
  </si>
  <si>
    <t>El registro u origen del dato no equivale automaticamente a pago validado, pago ejecutado, comprobante formal ni deuda cerrada.</t>
  </si>
  <si>
    <t>M6-V15</t>
  </si>
  <si>
    <t>Fecha confiable superada sin pago registrado ni vínculo suficiente</t>
  </si>
  <si>
    <t>Estado Vencido, severidad Urgente; puede gatillar alerta operativa; CTA Registrar pago realizado / Revisar pago.</t>
  </si>
  <si>
    <t>Fase 3 – Reglas Funcionales, Severidad y Anexo BDD M6 Pagos v1.0: reglas R-M6, severidad, semáforo de presión, señales intermodulares y BDD.
Resultado/Gatillo documentado: Con registro / Requiere revision.
Guardrail/condición: Variable</t>
  </si>
  <si>
    <t>R-M6-030 / R-M6-033 / BDD-M6-008 / BDD-M6-018</t>
  </si>
  <si>
    <t>F3 | F4 | F5</t>
  </si>
  <si>
    <t>R-M6-052</t>
  </si>
  <si>
    <t>Para asociar un dato detectado a un pago se requiere coincidencia funcional minima: monto, fecha aproximada, descripcion/glosa, categoria, proveedor o identificacion razonable.</t>
  </si>
  <si>
    <t>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t>
  </si>
  <si>
    <t>CP-M6-015</t>
  </si>
  <si>
    <t>Fase 3 – Reglas Funcionales, Severidad y Anexo BDD M6 Pagos v1.0: reglas R-M6, severidad, semáforo de presión, señales intermodulares y BDD.
Resultado/Gatillo documentado: Vinculado / Revision.
Guardrail/condición: Media/alta</t>
  </si>
  <si>
    <t>R-M6-053</t>
  </si>
  <si>
    <t>Si el dato detectado es ilegible, incompleto o ambiguo, debe marcarse como baja confianza o requiere revision.</t>
  </si>
  <si>
    <t>M6-V16</t>
  </si>
  <si>
    <t>Pago vencido con severidad crítica</t>
  </si>
  <si>
    <t>Vencido con datos confiables y monto relevante, deuda bajo presión, mora, pago parcial/mínimo recurrente o fuerte impacto</t>
  </si>
  <si>
    <t>Fase 3 – Reglas Funcionales, Severidad y Anexo BDD M6 Pagos v1.0: reglas R-M6, severidad, semáforo de presión, señales intermodulares y BDD.
Resultado/Gatillo documentado: Requiere revision.
Guardrail/condición: Baja</t>
  </si>
  <si>
    <t>Elevar a Crítica internamente y mostrar revisión prioritaria sin usar 'crítico' como etiqueta visible por defecto.</t>
  </si>
  <si>
    <t>M6-HU-006 / M6-HU-018</t>
  </si>
  <si>
    <t>R-M6-054</t>
  </si>
  <si>
    <t>R-M6-031 / R-M6-035</t>
  </si>
  <si>
    <t>Fase 3 no habilita flujo documental de comprobantes ni solicitud obligatoria de evidencia formal.</t>
  </si>
  <si>
    <t>Fase 3 – Reglas Funcionales, Severidad y Anexo BDD M6 Pagos v1.0: reglas R-M6, severidad, semáforo de presión, señales intermodulares y BDD.
Resultado/Gatillo documentado: Con origen registrado.
Guardrail/condición: No aplica</t>
  </si>
  <si>
    <t>CP-M6-016</t>
  </si>
  <si>
    <t>R-M6-055</t>
  </si>
  <si>
    <t>Si el dato detectado contradice el dato declarado, debe solicitar revision o correccion.</t>
  </si>
  <si>
    <t>M6-V17</t>
  </si>
  <si>
    <t>Fase 3 – Reglas Funcionales, Severidad y Anexo BDD M6 Pagos v1.0: reglas R-M6, severidad, semáforo de presión, señales intermodulares y BDD.
Resultado/Gatillo documentado: Requiere revision.
Guardrail/condición: Media/baja</t>
  </si>
  <si>
    <t>Vencido con datos insuficientes</t>
  </si>
  <si>
    <t>Monto/origen/fecha ambiguos o baja confianza</t>
  </si>
  <si>
    <t>R-M6-056</t>
  </si>
  <si>
    <t>No escalar a Crítica; mantener Requiere revisión / Atención.</t>
  </si>
  <si>
    <t>M6-HU-004 / M6-HU-006</t>
  </si>
  <si>
    <t>Un pago puede considerarse registrado como realizado si existe accion explicita del usuario o deteccion con confianza funcional suficiente, sin que eso implique validacion probatoria.</t>
  </si>
  <si>
    <t>R-M6-032 / R-M6-084</t>
  </si>
  <si>
    <t>Fase 3 – Reglas Funcionales, Severidad y Anexo BDD M6 Pagos v1.0: reglas R-M6, severidad, semáforo de presión, señales intermodulares y BDD.
Resultado/Gatillo documentado: Pagado / Registrado / Revision.
Guardrail/condición: Media/alta</t>
  </si>
  <si>
    <t>CP-M6-017</t>
  </si>
  <si>
    <t>R-M6-057</t>
  </si>
  <si>
    <t>Un pago informado o detectado sin confianza suficiente debe mantenerse como requiere revision, no como pagado por defecto.</t>
  </si>
  <si>
    <t>M6-V18</t>
  </si>
  <si>
    <t>Registrar desde Pendiente/Próximo/Vencido</t>
  </si>
  <si>
    <t>Fase 3 – Reglas Funcionales, Severidad y Anexo BDD M6 Pagos v1.0: reglas R-M6, severidad, semáforo de presión, señales intermodulares y BDD.
Resultado/Gatillo documentado: Requiere revision.
Guardrail/condición: Variable</t>
  </si>
  <si>
    <t>Usuario declara que ya pagó fuera de Walvy</t>
  </si>
  <si>
    <t>Estado Pagado; conservar fecha/origen/actor; limpiar o reducir señal pendiente sin borrar historial.</t>
  </si>
  <si>
    <t>R-M6-060</t>
  </si>
  <si>
    <t>Duplicidad</t>
  </si>
  <si>
    <t>R-M6-040 / R-M6-041 / R-M6-042 / BDD-M6-009</t>
  </si>
  <si>
    <t>Si un candidato coincide con una cuenta existente por monto, fecha, descripción, glosa o categoría, debe evaluarse duplicidad probable.</t>
  </si>
  <si>
    <t>F1 | F3 | F4 | F5 | M6-BP</t>
  </si>
  <si>
    <t>Fase 3 – Reglas Funcionales, Severidad y Anexo BDD M6 Pagos v1.0: reglas R-M6, severidad, semáforo de presión, señales intermodulares y BDD.
Resultado/Gatillo documentado: Duplicado probable.
Guardrail/condición: No consolidar automático.</t>
  </si>
  <si>
    <t>R-M6-061</t>
  </si>
  <si>
    <t>Fase 1 – Definición Funcional M6 Pagos v1.0: propósito, alcance MVP, estados, reglas base, dependencias y guardrails.
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</si>
  <si>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Duplicado probable debe requerir revisión antes de crear o fusionar.</t>
  </si>
  <si>
    <t>CP-M6-018</t>
  </si>
  <si>
    <t>8859:31712 · ID lógico blueprint M6-SCR-05</t>
  </si>
  <si>
    <t>Fase 3 – Reglas Funcionales, Severidad y Anexo BDD M6 Pagos v1.0: reglas R-M6, severidad, semáforo de presión, señales intermodulares y BDD.
Resultado/Gatillo documentado: Requiere revisión.
Guardrail/condición: Acción usuario.</t>
  </si>
  <si>
    <t>R-M6-062</t>
  </si>
  <si>
    <t>M6-V19</t>
  </si>
  <si>
    <t>M6 no debe fusionar pagos automáticamente sin regla suficiente o confirmación.</t>
  </si>
  <si>
    <t>Pago realizado probable por ingesta</t>
  </si>
  <si>
    <t>Documento/cartola/movimiento sugiere que el pago ocurrió fuera de Walvy</t>
  </si>
  <si>
    <t>Representar Pago realizado probable; si coincidencia/validación suficiente puede registrarse Pagado; si no, mantener sugerencia/revisión.</t>
  </si>
  <si>
    <t>M6-HU-007 / M6-HU-009</t>
  </si>
  <si>
    <t>R-M6-050 / R-M6-052 / R-M6-056 / R-M6-057 / BDD-M6-015</t>
  </si>
  <si>
    <t>Fase 3 – Reglas Funcionales, Severidad y Anexo BDD M6 Pagos v1.0: reglas R-M6, severidad, semáforo de presión, señales intermodulares y BDD.
Resultado/Gatillo documentado: Duplicado probable.
Guardrail/condición: No fusión automática.</t>
  </si>
  <si>
    <t>R-M6-063</t>
  </si>
  <si>
    <t>Si el usuario confirma que no es duplicado, puede mantenerse como cuenta separada.</t>
  </si>
  <si>
    <t>CP-M6-019</t>
  </si>
  <si>
    <t>8859:31712 · ID lógico blueprint M6-SCR-07 / M6-SCR-02</t>
  </si>
  <si>
    <t>Fase 3 – Reglas Funcionales, Severidad y Anexo BDD M6 Pagos v1.0: reglas R-M6, severidad, semáforo de presión, señales intermodulares y BDD.
Resultado/Gatillo documentado: Pendiente / Detectado.
Guardrail/condición: Trazabilidad.</t>
  </si>
  <si>
    <t>R-M6-064</t>
  </si>
  <si>
    <t>M6-V20</t>
  </si>
  <si>
    <t>Corregir pago marcado</t>
  </si>
  <si>
    <t>Si el usuario confirma duplicado, puede descartarse o vincularse al pago existente según regla posterior.</t>
  </si>
  <si>
    <t>Usuario detecta un dato incorrecto en un registro Pagado</t>
  </si>
  <si>
    <t>Permitir corregir fecha, monto, origen o vínculo; conservar historial funcional.</t>
  </si>
  <si>
    <t>R-M6-043 / R-M6-044 / R-M6-045 / BDD-M6-010</t>
  </si>
  <si>
    <t>Fase 3 – Reglas Funcionales, Severidad y Anexo BDD M6 Pagos v1.0: reglas R-M6, severidad, semáforo de presión, señales intermodulares y BDD.
Resultado/Gatillo documentado: Descartado / Vinculado.
Guardrail/condición: Mantener historial.</t>
  </si>
  <si>
    <t>R-M6-070</t>
  </si>
  <si>
    <t>Recurrencia probable</t>
  </si>
  <si>
    <t>Una recurrencia probable puede sugerirse por patrón de fecha, monto, glosa, categoría, proveedor o historial.</t>
  </si>
  <si>
    <t>CP-M6-020</t>
  </si>
  <si>
    <t>8859:31712 · ID lógico blueprint M6-SCR-06</t>
  </si>
  <si>
    <t>Fase 3 – Reglas Funcionales, Severidad y Anexo BDD M6 Pagos v1.0: reglas R-M6, severidad, semáforo de presión, señales intermodulares y BDD.
Resultado/Gatillo documentado: Recurrente probable.
Guardrail/condición: No activar automático.</t>
  </si>
  <si>
    <t>R-M6-071</t>
  </si>
  <si>
    <t>M6-V21</t>
  </si>
  <si>
    <t>Deshacer pago marcado</t>
  </si>
  <si>
    <t>La recurrencia probable debe requerir confirmación del usuario o regla suficiente antes de crear compromisos futuros.</t>
  </si>
  <si>
    <t>Usuario deshace un pago realizado por error</t>
  </si>
  <si>
    <t>Recalcular a Pendiente, Próximo, Vencido, Requiere revisión o Corregido según datos vigentes; mantener trazabilidad.</t>
  </si>
  <si>
    <t>R-M6-043 / R-M6-044 / BDD-M6-010</t>
  </si>
  <si>
    <t>Fase 3 – Reglas Funcionales, Severidad y Anexo BDD M6 Pagos v1.0: reglas R-M6, severidad, semáforo de presión, señales intermodulares y BDD.
Resultado/Gatillo documentado: Recurrente probable.
Guardrail/condición: Confirmación.</t>
  </si>
  <si>
    <t>R-M6-072</t>
  </si>
  <si>
    <t>Si el usuario confirma recurrencia, M6 puede preparar compromisos futuros según regla definida.</t>
  </si>
  <si>
    <t>CP-M6-021</t>
  </si>
  <si>
    <t>MVP – condicionado / requiere regla suficiente</t>
  </si>
  <si>
    <t>Fase 3 – Reglas Funcionales, Severidad y Anexo BDD M6 Pagos v1.0: reglas R-M6, severidad, semáforo de presión, señales intermodulares y BDD.
Resultado/Gatillo documentado: Recurrente confirmado / Pendiente futuro.
Guardrail/condición: Parametrizable.</t>
  </si>
  <si>
    <t>M6-V22</t>
  </si>
  <si>
    <t>R-M6-073</t>
  </si>
  <si>
    <t>Origen del dato</t>
  </si>
  <si>
    <t>Mostrar origen asociado</t>
  </si>
  <si>
    <t>Pago tiene registro manual o dato detectado asociado</t>
  </si>
  <si>
    <t>Si el usuario descarta recurrencia, el pago puede mantenerse como evento único.</t>
  </si>
  <si>
    <t>Mostrar origen/registro de forma acotada; no interpretarlo como comprobante formal, pago ejecutado o deuda cerrada.</t>
  </si>
  <si>
    <t>Fase 3 – Reglas Funcionales, Severidad y Anexo BDD M6 Pagos v1.0: reglas R-M6, severidad, semáforo de presión, señales intermodulares y BDD.
Resultado/Gatillo documentado: Pendiente / Descartado recurrencia.
Guardrail/condición: No insistencia.</t>
  </si>
  <si>
    <t>R-M6-074</t>
  </si>
  <si>
    <t>Si el patrón tiene baja confianza, debe mostrarse como revisión, no como recurrencia sugerida fuerte.</t>
  </si>
  <si>
    <t>CP-M6-022</t>
  </si>
  <si>
    <t>8859:31712 · ID lógico blueprint M6-SCR-07</t>
  </si>
  <si>
    <t>Fase 3 – Reglas Funcionales, Severidad y Anexo BDD M6 Pagos v1.0: reglas R-M6, severidad, semáforo de presión, señales intermodulares y BDD.
Resultado/Gatillo documentado: Requiere revisión.
Guardrail/condición: No automatismo opaco.</t>
  </si>
  <si>
    <t>R-M6-080</t>
  </si>
  <si>
    <t>Baja confianza y datos incompletos</t>
  </si>
  <si>
    <t>M6-V23</t>
  </si>
  <si>
    <t>Si falta fecha de vencimiento, no debe calcularse próximo/vencido.</t>
  </si>
  <si>
    <t>Dato detectado con coincidencia mínima</t>
  </si>
  <si>
    <t>Existe coincidencia funcional por monto, fecha, glosa, categoría/proveedor u otro identificador razonable</t>
  </si>
  <si>
    <t>Permitir vínculo/revisión con confianza media/alta; no consolidar de forma opaca.</t>
  </si>
  <si>
    <t>Fase 3 – Reglas Funcionales, Severidad y Anexo BDD M6 Pagos v1.0: reglas R-M6, severidad, semáforo de presión, señales intermodulares y BDD.
Resultado/Gatillo documentado: Sin datos suficientes.
Guardrail/condición: Bloquea alerta de vencimiento.</t>
  </si>
  <si>
    <t>R-M6-081</t>
  </si>
  <si>
    <t>Si falta descripción mínima, no debe consolidarse como cuenta clara.</t>
  </si>
  <si>
    <t>CP-M6-023</t>
  </si>
  <si>
    <t>Fase 3 – Reglas Funcionales, Severidad y Anexo BDD M6 Pagos v1.0: reglas R-M6, severidad, semáforo de presión, señales intermodulares y BDD.
Resultado/Gatillo documentado: Borrador / Revisión.
Guardrail/condición: Bloquea consolidación.</t>
  </si>
  <si>
    <t>R-M6-082</t>
  </si>
  <si>
    <t>M6-V24</t>
  </si>
  <si>
    <t>Si falta monto, puede existir pago, pero limita severidad por impacto económico.</t>
  </si>
  <si>
    <t>Dato ilegible o insuficiente</t>
  </si>
  <si>
    <t>Documento/dato no permite lectura confiable</t>
  </si>
  <si>
    <t>Estado Requiere revisión / baja confianza; CTA Revisar archivo/origen o ingresar manualmente; no exigir comprobante obligatorio.</t>
  </si>
  <si>
    <t>M6-HU-004 / M6-HU-009 / M6-HU-017</t>
  </si>
  <si>
    <t>R-M6-053 / R-M6-054 / BDD-M6-016</t>
  </si>
  <si>
    <t>F2 | F3 | F4 | F5 | M6-BP</t>
  </si>
  <si>
    <t>Fase 3 – Reglas Funcionales, Severidad y Anexo BDD M6 Pagos v1.0: reglas R-M6, severidad, semáforo de presión, señales intermodulares y BDD.
Resultado/Gatillo documentado: Pendiente / Revisión.
Guardrail/condición: Bloquea severidad crítica por monto.</t>
  </si>
  <si>
    <t>R-M6-083</t>
  </si>
  <si>
    <t>Si origen del dato es incierto, debe mantenerse como baja confianza.</t>
  </si>
  <si>
    <t>Fase 2 – Inventario de Pantallas, Estados y Componentes M6 Pagos v1.0: superficies, pantallas candidatas, estados, componentes, CTAs y acciones.
Fase 3 – Reglas Funcionales, Severidad y Anexo BDD M6 Pagos v1.0: reglas R-M6, severidad, semáforo de presión, señales intermodulares y BDD.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</si>
  <si>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CP-M6-024</t>
  </si>
  <si>
    <t>Fase 3 – Reglas Funcionales, Severidad y Anexo BDD M6 Pagos v1.0: reglas R-M6, severidad, semáforo de presión, señales intermodulares y BDD.
Resultado/Gatillo documentado: Requiere revisión.
Guardrail/condición: Bloquea consolidación automática.</t>
  </si>
  <si>
    <t>R-M6-084</t>
  </si>
  <si>
    <t>8859:31712 · ID lógico blueprint M6-SCR-10 / M6-SCR-07</t>
  </si>
  <si>
    <t>Baja confianza no debe gatillar recomendación fuerte ni alerta crítica sin validación.</t>
  </si>
  <si>
    <t>M6-V25</t>
  </si>
  <si>
    <t>Dato contradictorio</t>
  </si>
  <si>
    <t>Fase 3 – Reglas Funcionales, Severidad y Anexo BDD M6 Pagos v1.0: reglas R-M6, severidad, semáforo de presión, señales intermodulares y BDD.
Resultado/Gatillo documentado: Requiere revisión.
Guardrail/condición: Bloquea escalamiento.</t>
  </si>
  <si>
    <t>Dato detectado contradice dato declarado</t>
  </si>
  <si>
    <t>Solicitar revisión o corrección; no confirmar sin revisión.</t>
  </si>
  <si>
    <t>R-M6-090</t>
  </si>
  <si>
    <t>M6-HU-004 / M6-HU-009</t>
  </si>
  <si>
    <t>Alertas</t>
  </si>
  <si>
    <t>Pago próximo puede gatillar recordatorio.</t>
  </si>
  <si>
    <t>Fase 3 – Reglas Funcionales, Severidad y Anexo BDD M6 Pagos v1.0: reglas R-M6, severidad, semáforo de presión, señales intermodulares y BDD.
Resultado/Gatillo documentado: Estado próximo.
Guardrail/condición: No pago directo.</t>
  </si>
  <si>
    <t>CP-M6-025</t>
  </si>
  <si>
    <t>R-M6-091</t>
  </si>
  <si>
    <t>Pago vencido debe poder gatillar alerta operativa.</t>
  </si>
  <si>
    <t>M6-V26</t>
  </si>
  <si>
    <t>Fase 3 – Reglas Funcionales, Severidad y Anexo BDD M6 Pagos v1.0: reglas R-M6, severidad, semáforo de presión, señales intermodulares y BDD.
Resultado/Gatillo documentado: Estado vencido.
Guardrail/condición: No pagar ahora.</t>
  </si>
  <si>
    <t>Pago informado sin confianza suficiente</t>
  </si>
  <si>
    <t>Dato informado/detectado no alcanza confianza suficiente</t>
  </si>
  <si>
    <t>Mantener Requiere revisión y no marcar Pagado por defecto.</t>
  </si>
  <si>
    <t>R-M6-092</t>
  </si>
  <si>
    <t>Dato incompleto puede gatillar aviso de revisión.</t>
  </si>
  <si>
    <t>CP-M6-026</t>
  </si>
  <si>
    <t>Fase 3 – Reglas Funcionales, Severidad y Anexo BDD M6 Pagos v1.0: reglas R-M6, severidad, semáforo de presión, señales intermodulares y BDD.
Resultado/Gatillo documentado: Requiere revisión.
Guardrail/condición: No urgencia artificial.</t>
  </si>
  <si>
    <t>8859:31712 · ID lógico blueprint M6-SCR-07 / M6-SCR-10</t>
  </si>
  <si>
    <t>R-M6-093</t>
  </si>
  <si>
    <t>Recurrencia probable puede gatillar aviso de confirmación.</t>
  </si>
  <si>
    <t>M6-V27</t>
  </si>
  <si>
    <t>Detectar duplicado probable</t>
  </si>
  <si>
    <t>Candidato coincide con cuenta existente por monto, fecha, descripción, glosa o categoría</t>
  </si>
  <si>
    <t>Estado Duplicado probable; bloquear fusión/consolidación automática y CTA Revisar duplicado.</t>
  </si>
  <si>
    <t>R-M6-060 / R-M6-061 / R-M6-062 / BDD-M6-011</t>
  </si>
  <si>
    <t>R-M6-094</t>
  </si>
  <si>
    <t>Alerta debe orientar a revisar o registrar pago realizado fuera de Walvy.</t>
  </si>
  <si>
    <t>Fase 3 – Reglas Funcionales, Severidad y Anexo BDD M6 Pagos v1.0: reglas R-M6, severidad, semáforo de presión, señales intermodulares y BDD.
Resultado/Gatillo documentado: Próximo/Vencido.
Guardrail/condición: No transacción.</t>
  </si>
  <si>
    <t>CP-M6-027</t>
  </si>
  <si>
    <t>R-M6-100</t>
  </si>
  <si>
    <t>Recomendaciones contextuales</t>
  </si>
  <si>
    <t>8859:31712 · ID lógico blueprint M6-SCR-08</t>
  </si>
  <si>
    <t>Pago vencido puede gatillar recomendación contextual para ordenar el compromiso.</t>
  </si>
  <si>
    <t>M6-V28</t>
  </si>
  <si>
    <t>Confirmar que no es duplicado</t>
  </si>
  <si>
    <t>Fase 3 – Reglas Funcionales, Severidad y Anexo BDD M6 Pagos v1.0: reglas R-M6, severidad, semáforo de presión, señales intermodulares y BDD.
Resultado/Gatillo documentado: Vencido.
Guardrail/condición: No asesoría.</t>
  </si>
  <si>
    <t>Usuario determina que corresponde a compromiso distinto</t>
  </si>
  <si>
    <t>Mantener cuenta separada como Pendiente/Detectado y conservar trazabilidad.</t>
  </si>
  <si>
    <t>R-M6-101</t>
  </si>
  <si>
    <t>Pago recurrente probable puede gatillar recomendación para anticipar compromiso.</t>
  </si>
  <si>
    <t>Fase 3 – Reglas Funcionales, Severidad y Anexo BDD M6 Pagos v1.0: reglas R-M6, severidad, semáforo de presión, señales intermodulares y BDD.
Resultado/Gatillo documentado: Recurrente probable.
Guardrail/condición: No producto financiero.</t>
  </si>
  <si>
    <t>CP-M6-028</t>
  </si>
  <si>
    <t>R-M6-102</t>
  </si>
  <si>
    <t>Dato incompleto puede gatillar recomendación para mejorar precisión.</t>
  </si>
  <si>
    <t>M6-V29</t>
  </si>
  <si>
    <t>Fase 3 – Reglas Funcionales, Severidad y Anexo BDD M6 Pagos v1.0: reglas R-M6, severidad, semáforo de presión, señales intermodulares y BDD.
Resultado/Gatillo documentado: Revisión.
Guardrail/condición: No presión indebida.</t>
  </si>
  <si>
    <t>Confirmar duplicado</t>
  </si>
  <si>
    <t>Usuario confirma que corresponde al mismo pago</t>
  </si>
  <si>
    <t>R-M6-103</t>
  </si>
  <si>
    <t>Descartar o vincular al pago existente según regla; mantener historial y no borrar de forma opaca.</t>
  </si>
  <si>
    <t>Pago que presiona el mes puede gatillar recomendación de revisión operativa.</t>
  </si>
  <si>
    <t>Fase 3 – Reglas Funcionales, Severidad y Anexo BDD M6 Pagos v1.0: reglas R-M6, severidad, semáforo de presión, señales intermodulares y BDD.
Resultado/Gatillo documentado: Próximo/Vencido + impacto.
Guardrail/condición: No inversión/crédito.</t>
  </si>
  <si>
    <t>CP-M6-029</t>
  </si>
  <si>
    <t>R-M6-104</t>
  </si>
  <si>
    <t>Toda recomendación debe basarse en datos cargados, declarados o validados por el usuario.</t>
  </si>
  <si>
    <t>M6-V30</t>
  </si>
  <si>
    <t>Recurrencia</t>
  </si>
  <si>
    <t>Fase 3 – Reglas Funcionales, Severidad y Anexo BDD M6 Pagos v1.0: reglas R-M6, severidad, semáforo de presión, señales intermodulares y BDD.
Resultado/Gatillo documentado: Cualquier recomendación.
Guardrail/condición: No inferencia opaca.</t>
  </si>
  <si>
    <t>Sugerir recurrencia probable</t>
  </si>
  <si>
    <t>Patrón de fecha, monto, glosa, categoría, proveedor o historial sugiere repetición</t>
  </si>
  <si>
    <t>Estado Recurrente probable; CTA Confirmar recurrencia; no activar automáticamente.</t>
  </si>
  <si>
    <t>R-M6-110</t>
  </si>
  <si>
    <t>Señales a Home</t>
  </si>
  <si>
    <t>R-M6-070 / R-M6-071 / BDD-M6-012</t>
  </si>
  <si>
    <t>Pago vencido urgente o crítico puede enviar señal funcional a Home.</t>
  </si>
  <si>
    <t>Fase 3 – Reglas Funcionales, Severidad y Anexo BDD M6 Pagos v1.0: reglas R-M6, severidad, semáforo de presión, señales intermodulares y BDD.
Resultado/Gatillo documentado: Vencido urgente/crítico.
Guardrail/condición: No rediseñar Home.</t>
  </si>
  <si>
    <t>R-M6-111</t>
  </si>
  <si>
    <t>Pago próximo con datos confiables y alto impacto puede enviar señal funcional a Home.</t>
  </si>
  <si>
    <t>CP-M6-030</t>
  </si>
  <si>
    <t>8859:31712 · ID lógico blueprint M6-SCR-09</t>
  </si>
  <si>
    <t>Fase 3 – Reglas Funcionales, Severidad y Anexo BDD M6 Pagos v1.0: reglas R-M6, severidad, semáforo de presión, señales intermodulares y BDD.
Resultado/Gatillo documentado: Próximo urgente/crítico.
Guardrail/condición: Home no se convierte en panel de pagos.</t>
  </si>
  <si>
    <t>R-M6-112</t>
  </si>
  <si>
    <t>Candidato de baja confianza solo debe ir a Home si afecta claridad del mes y requiere acción del usuario.</t>
  </si>
  <si>
    <t>M6-V31</t>
  </si>
  <si>
    <t>Confirmar recurrencia</t>
  </si>
  <si>
    <t>Usuario confirma recurrencia</t>
  </si>
  <si>
    <t>Marcar recurrencia confirmada/preparable; cualquier compromiso futuro depende de regla definida y no de pago automático.</t>
  </si>
  <si>
    <t>R-M6-072 / BDD-M6-013</t>
  </si>
  <si>
    <t>CP-M6-031</t>
  </si>
  <si>
    <t>Fase 3 – Reglas Funcionales, Severidad y Anexo BDD M6 Pagos v1.0: reglas R-M6, severidad, semáforo de presión, señales intermodulares y BDD.
Resultado/Gatillo documentado: Revisión relevante.
Guardrail/condición: Evitar ruido.</t>
  </si>
  <si>
    <t>PD-M6-06</t>
  </si>
  <si>
    <t>M6-V32</t>
  </si>
  <si>
    <t>R-M6-113</t>
  </si>
  <si>
    <t>Rechazar recurrencia</t>
  </si>
  <si>
    <t>Usuario indica No es recurrente</t>
  </si>
  <si>
    <t>Fase 3 define gatillos funcionales hacia Home, no prioridad visual final, layout, jerarquía de cards ni diseño de Home.</t>
  </si>
  <si>
    <t>Mantener como pago único / recurrencia descartada, evitando insistencia.</t>
  </si>
  <si>
    <t>MVP – gatillo funcional, visual posterior</t>
  </si>
  <si>
    <t>R-M6-073 / BDD-M6-014</t>
  </si>
  <si>
    <t>Fase 3 – Reglas Funcionales, Severidad y Anexo BDD M6 Pagos v1.0: reglas R-M6, severidad, semáforo de presión, señales intermodulares y BDD.
Resultado/Gatillo documentado: Señal Home.
Guardrail/condición: Representación visual posterior.</t>
  </si>
  <si>
    <t>R-M6-120</t>
  </si>
  <si>
    <t>Señales a M5</t>
  </si>
  <si>
    <t>CP-M6-032</t>
  </si>
  <si>
    <t>Cuenta por pagar puede enviar impacto mensual/categoría a M5.</t>
  </si>
  <si>
    <t>Fase 3 – Reglas Funcionales, Severidad y Anexo BDD M6 Pagos v1.0: reglas R-M6, severidad, semáforo de presión, señales intermodulares y BDD.
Resultado/Gatillo documentado: Pendiente/próximo/vencido.
Guardrail/condición: No reabrir M5.</t>
  </si>
  <si>
    <t>M6-V33</t>
  </si>
  <si>
    <t>R-M6-121</t>
  </si>
  <si>
    <t>Patrón de baja confianza</t>
  </si>
  <si>
    <t>Se detecta posible recurrencia con confianza baja</t>
  </si>
  <si>
    <t>Pago realizado vinculado puede limpiar o explicar impacto.</t>
  </si>
  <si>
    <t>Mostrar Requiere revisión; no presentar recurrencia sugerida fuerte ni crear futuros.</t>
  </si>
  <si>
    <t>M6-HU-004 / M6-HU-011</t>
  </si>
  <si>
    <t>Fase 3 – Reglas Funcionales, Severidad y Anexo BDD M6 Pagos v1.0: reglas R-M6, severidad, semáforo de presión, señales intermodulares y BDD.
Resultado/Gatillo documentado: Pagado/vinculado.
Guardrail/condición: No reasignar automáticamente.</t>
  </si>
  <si>
    <t>WALVY | M6 – Decisiones funcionales / UX / técnicas pendientes del Cliente</t>
  </si>
  <si>
    <t>CP-M6-033</t>
  </si>
  <si>
    <t>R-M6-122</t>
  </si>
  <si>
    <t>Recurrente confirmado puede alimentar previsibilidad futura.</t>
  </si>
  <si>
    <t>8859:31712 · ID lógico blueprint M6-SCR-10 / M6-SCR-09</t>
  </si>
  <si>
    <t>Fase 3 – Reglas Funcionales, Severidad y Anexo BDD M6 Pagos v1.0: reglas R-M6, severidad, semáforo de presión, señales intermodulares y BDD.
Resultado/Gatillo documentado: Recurrencia confirmada.
Guardrail/condición: Requiere regla suficiente.</t>
  </si>
  <si>
    <t>M6-V34</t>
  </si>
  <si>
    <t>Recordatorio de pago próximo</t>
  </si>
  <si>
    <t>R-M6-123</t>
  </si>
  <si>
    <t>Estado Próximo</t>
  </si>
  <si>
    <t>Gatillar alerta/recordatorio seguro con CTA Revisar pago; no inducir pago.</t>
  </si>
  <si>
    <t>Fase 3 define gatillos funcionales hacia M5, no componentes visuales, prioridad visual ni cambios estructurales en Presupuesto Vivo.</t>
  </si>
  <si>
    <t>R-M6-090 / R-M6-094 / BDD-M6-017 / BDD-M6-023</t>
  </si>
  <si>
    <t>Fase 3 – Reglas Funcionales, Severidad y Anexo BDD M6 Pagos v1.0: reglas R-M6, severidad, semáforo de presión, señales intermodulares y BDD.
Resultado/Gatillo documentado: Señal M5.
Guardrail/condición: M5 se mantiene cerrado como fuente/dependencia.</t>
  </si>
  <si>
    <t>R-M6-124</t>
  </si>
  <si>
    <t>Presion de flujo mensual puede enviar senal a M5/Home cuando proviene de gasto general, fugas, categorias o sobreconsumo no asociado a deuda.</t>
  </si>
  <si>
    <t>Fase 3 – Reglas Funcionales, Severidad y Anexo BDD M6 Pagos v1.0: reglas R-M6, severidad, semáforo de presión, señales intermodulares y BDD.
Resultado/Gatillo documentado: Presion de flujo.
Guardrail/condición: M5/Home explican impacto; M6 no reabre presupuesto.</t>
  </si>
  <si>
    <t>CP-M6-034</t>
  </si>
  <si>
    <t>R-M6-125</t>
  </si>
  <si>
    <t>Compromisos recurrentes, suscripciones o pagos cerrables que presionan el flujo pueden permanecer en M6 para revision operativa.</t>
  </si>
  <si>
    <t>Fase 3 – Reglas Funcionales, Severidad y Anexo BDD M6 Pagos v1.0: reglas R-M6, severidad, semáforo de presión, señales intermodulares y BDD.
Resultado/Gatillo documentado: Compromisos cerrables.
Guardrail/condición: M6 no cancela automaticamente.</t>
  </si>
  <si>
    <t>R-M6-130</t>
  </si>
  <si>
    <t>Señales a M4</t>
  </si>
  <si>
    <t>PD-M6-03</t>
  </si>
  <si>
    <t>Pago asociado a deuda solo puede generar senal controlada hacia evaluacion M4 si ademas existe presion financiera, mora, pago minimo recurrente, pago parcial, saldo arrastrado, atraso acumulado o riesgo de incumplimiento.</t>
  </si>
  <si>
    <t>Esta pestaña no replica las variantes pendientes de aprobación. Incluye únicamente definiciones, parámetros o comportamientos que requieren una decisión explícita. La aprobación de cada variante se registra en “Validación Cliente” de la Matriz Trazabilidad.</t>
  </si>
  <si>
    <t>M6-V35</t>
  </si>
  <si>
    <t>Alerta de pago vencido</t>
  </si>
  <si>
    <t>Estado Vencido</t>
  </si>
  <si>
    <t>Gatillar alerta operativa con CTA seguro; no usar Pagar ahora ni lenguaje transaccional.</t>
  </si>
  <si>
    <t>Fase 3 – Reglas Funcionales, Severidad y Anexo BDD M6 Pagos v1.0: reglas R-M6, severidad, semáforo de presión, señales intermodulares y BDD.
Resultado/Gatillo documentado: Deuda + presion.
Guardrail/condición: No activacion automatica de Ruta Despeje.</t>
  </si>
  <si>
    <t>R-M6-091 / R-M6-094 / BDD-M6-018</t>
  </si>
  <si>
    <t>R-M6-131</t>
  </si>
  <si>
    <t>Pago vencido de deuda, mora o atraso acumulado puede elevar urgencia operativa y generar evaluacion M4 si hay datos suficientes.</t>
  </si>
  <si>
    <t>CP-M6-035</t>
  </si>
  <si>
    <t>Fase 3 – Reglas Funcionales, Severidad y Anexo BDD M6 Pagos v1.0: reglas R-M6, severidad, semáforo de presión, señales intermodulares y BDD.
Resultado/Gatillo documentado: Deuda + vencido/mora.
Guardrail/condición: M4 mantiene estrategia.</t>
  </si>
  <si>
    <t>R-M6-132</t>
  </si>
  <si>
    <t>M6 no define pago sugerido, capacidad recuperable ni prioridad estrategica de deuda.</t>
  </si>
  <si>
    <t>M6-V36</t>
  </si>
  <si>
    <t>Aviso por dato incompleto</t>
  </si>
  <si>
    <t>Estado Requiere revisión / dato incompleto</t>
  </si>
  <si>
    <t>Mostrar aviso de revisión, sin urgencia artificial ni criticidad.</t>
  </si>
  <si>
    <t>M6-HU-013 / M6-HU-004</t>
  </si>
  <si>
    <t>Fase 3 – Reglas Funcionales, Severidad y Anexo BDD M6 Pagos v1.0: reglas R-M6, severidad, semáforo de presión, señales intermodulares y BDD.
Resultado/Gatillo documentado: Cualquier pago deuda.
Guardrail/condición: Frontera M4.</t>
  </si>
  <si>
    <t>R-M6-133</t>
  </si>
  <si>
    <t>Fase 3 define gatillos funcionales hacia M4, no prioridad visual final, activacion automatica ni rediseno de Ruta Despeje.</t>
  </si>
  <si>
    <t>CP-M6-036</t>
  </si>
  <si>
    <t>Fase 3 – Reglas Funcionales, Severidad y Anexo BDD M6 Pagos v1.0: reglas R-M6, severidad, semáforo de presión, señales intermodulares y BDD.
Resultado/Gatillo documentado: Senal M4.
Guardrail/condición: M4 conserva dominio estrategico.</t>
  </si>
  <si>
    <t>R-M6-134</t>
  </si>
  <si>
    <t>M6-V37</t>
  </si>
  <si>
    <t>Pago minimo, pago parcial o saldo arrastrado no debe tratarse como estado sano. Si es recurrente o presiona el flujo, genera alerta y posible evaluacion M4.</t>
  </si>
  <si>
    <t>Aviso de recurrencia probable</t>
  </si>
  <si>
    <t>Estado Recurrente probable</t>
  </si>
  <si>
    <t>Solicitar confirmación, sin activar recurrencia ni pagos futuros automáticamente.</t>
  </si>
  <si>
    <t>M6-HU-013 / M6-HU-011</t>
  </si>
  <si>
    <t>Fase 3 – Reglas Funcionales, Severidad y Anexo BDD M6 Pagos v1.0: reglas R-M6, severidad, semáforo de presión, señales intermodulares y BDD.
Resultado/Gatillo documentado: Pago minimo/parcial.
Guardrail/condición: No recomendar pago minimo.</t>
  </si>
  <si>
    <t>R-M6-135</t>
  </si>
  <si>
    <t>Presion de flujo mensual igual o superior a 80% es alerta preventiva; igual o superior a 90% o 100% puede gatillar evaluacion M4 solo si la causa incluye deuda o compromiso financiero bajo presion.</t>
  </si>
  <si>
    <t>CP-M6-037</t>
  </si>
  <si>
    <t>ID Pendiente</t>
  </si>
  <si>
    <t>Fase 3 – Reglas Funcionales, Severidad y Anexo BDD M6 Pagos v1.0: reglas R-M6, severidad, semáforo de presión, señales intermodulares y BDD.
Resultado/Gatillo documentado: Presion flujo + deuda.
Guardrail/condición: M5/Home explican presupuesto; M4 evalua deuda.</t>
  </si>
  <si>
    <t>Tipo de decisión</t>
  </si>
  <si>
    <t>M6-V38</t>
  </si>
  <si>
    <t>Variantes / RN afectadas</t>
  </si>
  <si>
    <t>Recomendaciones</t>
  </si>
  <si>
    <t>Tema a definir</t>
  </si>
  <si>
    <t>Recomendación contextual segura</t>
  </si>
  <si>
    <t>Motivo / Fuente</t>
  </si>
  <si>
    <t>Vencido, recurrente o dato por revisar</t>
  </si>
  <si>
    <t>R-M6-136</t>
  </si>
  <si>
    <t>Nodo(s) Figma</t>
  </si>
  <si>
    <t>Mensaje informativo para ordenar/revisar; sin asesoría financiera regulada, promesa, culpa o instrucción de pago.</t>
  </si>
  <si>
    <t>R-M6-100 / R-M6-101 / R-M6-102 / R-M6-104 / BDD-M6-019</t>
  </si>
  <si>
    <t>Pago informado o detectado que impacta mora, saldo, avance, cierre o presion de flujo puede generar referencia controlada a M4.</t>
  </si>
  <si>
    <t>Fase 3 – Reglas Funcionales, Severidad y Anexo BDD M6 Pagos v1.0: reglas R-M6, severidad, semáforo de presión, señales intermodulares y BDD.
Resultado/Gatillo documentado: Pago informado/detectado + impacto deuda.
Guardrail/condición: M6 no valida comprobante ni cierra deuda.</t>
  </si>
  <si>
    <t>CP-M6-038</t>
  </si>
  <si>
    <t>R-M6-140</t>
  </si>
  <si>
    <t>Confirmado documental</t>
  </si>
  <si>
    <t>Calidad de dato/Perfil</t>
  </si>
  <si>
    <t>Datos incompletos recurrentes pueden alimentar calidad de dato.</t>
  </si>
  <si>
    <t>M6-V39</t>
  </si>
  <si>
    <t>Estado decisión</t>
  </si>
  <si>
    <t>Señal Home</t>
  </si>
  <si>
    <t>Pago vencido urgente/crítico</t>
  </si>
  <si>
    <t>Pago vencido relevante con datos confiables</t>
  </si>
  <si>
    <t>Enviar foco o próxima acción candidata a Home; no definir prioridad visual final ni convertir Home en panel de pagos.</t>
  </si>
  <si>
    <t>R-M6-110 / R-M6-113 / BDD-M6-020</t>
  </si>
  <si>
    <t>Fase 3 – Reglas Funcionales, Severidad y Anexo BDD M6 Pagos v1.0: reglas R-M6, severidad, semáforo de presión, señales intermodulares y BDD.
Resultado/Gatillo documentado: Revisión repetida.
Guardrail/condición: No operar pagos.</t>
  </si>
  <si>
    <t>R-M6-141</t>
  </si>
  <si>
    <t>CP-M6-039</t>
  </si>
  <si>
    <t>Dato detectado insuficiente o baja confianza puede indicar baja confiabilidad.</t>
  </si>
  <si>
    <t>PD-M6-04</t>
  </si>
  <si>
    <t>Fase 3 – Reglas Funcionales, Severidad y Anexo BDD M6 Pagos v1.0: reglas R-M6, severidad, semáforo de presión, señales intermodulares y BDD.
Resultado/Gatillo documentado: Dato baja confianza.
Guardrail/condición: No validar automáticamente.</t>
  </si>
  <si>
    <t>M6-V40</t>
  </si>
  <si>
    <t>Pago próximo de alto impacto</t>
  </si>
  <si>
    <t>Próximo urgente/crítico con datos confiables</t>
  </si>
  <si>
    <t>Enviar foco candidato a Home, sujeto a priorización posterior.</t>
  </si>
  <si>
    <t>R-M6-111 / R-M6-113</t>
  </si>
  <si>
    <t>CP-M6-040</t>
  </si>
  <si>
    <t>Producto / Configuración</t>
  </si>
  <si>
    <t>M6-V12 | R-M6-020, R-M6-021, R-M6-022</t>
  </si>
  <si>
    <t>Definir el valor/rango del umbral de “Próximo vencimiento”.</t>
  </si>
  <si>
    <t>F3-D01 deja el umbral parametrizable y explícitamente no fija número de días.</t>
  </si>
  <si>
    <t>M6-V41</t>
  </si>
  <si>
    <t>8859:31712</t>
  </si>
  <si>
    <t>Revisión relevante por baja confianza</t>
  </si>
  <si>
    <t>Dato de baja confianza afecta materialmente la claridad del mes</t>
  </si>
  <si>
    <t>Puede enviar foco de revisión evitando ruido; no presentar certeza.</t>
  </si>
  <si>
    <t>M6-HU-015 / M6-HU-004</t>
  </si>
  <si>
    <t>R-M6-112 / R-M6-113</t>
  </si>
  <si>
    <t>CP-M6-041</t>
  </si>
  <si>
    <t>Producto / UX</t>
  </si>
  <si>
    <t>M6-V42</t>
  </si>
  <si>
    <t>Señal M5</t>
  </si>
  <si>
    <t>M6-V02, M6-V59 | F5 sección 6</t>
  </si>
  <si>
    <t>Impacto mensual/categoría</t>
  </si>
  <si>
    <t>Cuenta Pendiente/Próxima/Vencida tiene impacto trazable</t>
  </si>
  <si>
    <t>Enviar señal de impacto a Presupuesto Vivo; M6 no reasigna presupuesto ni reabre M5.</t>
  </si>
  <si>
    <t>Confirmar cierre visual de Pantalla principal Pagos versus superficie equivalente aprobada, incluyendo arquitectura de navegación.</t>
  </si>
  <si>
    <t>R-M6-120 / R-M6-123 / BDD-M6-021</t>
  </si>
  <si>
    <t>F2/F5 recomiendan pantalla propia como candidata fuerte, pero no la cierran como obligación visual final. El nodo Figma se incorpora como referencia visual, no como aprobación de Producto.</t>
  </si>
  <si>
    <t>CP-M6-042</t>
  </si>
  <si>
    <t>Producto / UX / Técnica</t>
  </si>
  <si>
    <t>M6-V36 | F3-D10 / M6-PAN-06</t>
  </si>
  <si>
    <t>M6-V43</t>
  </si>
  <si>
    <t>Definir personalización avanzada de recordatorios: catálogo, anticipación, persistencia y configuración del usuario.</t>
  </si>
  <si>
    <t>Pago realizado explica impacto</t>
  </si>
  <si>
    <t>F2 deja Configuración de recordatorios pendiente y F3 deriva personalización avanzada fuera de su alcance.</t>
  </si>
  <si>
    <t>Pago vinculado pasa a Pagado</t>
  </si>
  <si>
    <t>Enviar señal de ajuste/explicación a M5 sin reasignación automática.</t>
  </si>
  <si>
    <t>CP-M6-043</t>
  </si>
  <si>
    <t>M6-V41–M6-V43 | R-M6-110..113</t>
  </si>
  <si>
    <t>Definir prioridad y representación visual final de señales M6 en Home y superficies consumidoras.</t>
  </si>
  <si>
    <t>M6-V44</t>
  </si>
  <si>
    <t>Recurrencia confirmada futura</t>
  </si>
  <si>
    <t>F3/F5 solo definen gatillos funcionales; no fijan jerarquía, layout ni prioridad visual final.</t>
  </si>
  <si>
    <t>Recurrencia confirmada y regla suficiente</t>
  </si>
  <si>
    <t>Puede alimentar previsibilidad futura a M5; requiere regla suficiente.</t>
  </si>
  <si>
    <t>M6-HU-015 / M6-HU-011</t>
  </si>
  <si>
    <t>MVP – condicionado</t>
  </si>
  <si>
    <t>CP-M6-044</t>
  </si>
  <si>
    <t>Producto / Reglas</t>
  </si>
  <si>
    <t>M6-V13, M6-V16 | R-M6-023 / R-M6-031</t>
  </si>
  <si>
    <t>M6-V45</t>
  </si>
  <si>
    <t>Definir criterio parametrizable de “monto relevante / alto impacto mensual” cuando se use para elevar severidad a Urgente o Crítica.</t>
  </si>
  <si>
    <t>Señal M4</t>
  </si>
  <si>
    <t>Pago asociado a deuda sin presión</t>
  </si>
  <si>
    <t>F3 utiliza el criterio de monto relevante/impacto con condición de confianza, pero no documenta un umbral cuantitativo específico.</t>
  </si>
  <si>
    <t>Existe deuda asociada, pero sin mora/presión/atraso material</t>
  </si>
  <si>
    <t>—</t>
  </si>
  <si>
    <t>Mantener el compromiso en M6; no activar M4 ni Ruta Despeje por la sola asociación.</t>
  </si>
  <si>
    <t>R-M6-130 / R-M6-132 / R-M6-133</t>
  </si>
  <si>
    <t>F1 | F3 | F5</t>
  </si>
  <si>
    <t>Producto / Reglas / Técnica</t>
  </si>
  <si>
    <t>Fase 1 – Definición Funcional M6 Pagos v1.0: propósito, alcance MVP, estados, reglas base, dependencias y guardrails.
Fase 3 – Reglas Funcionales, Severidad y Anexo BDD M6 Pagos v1.0: reglas R-M6, severidad, semáforo de presión, señales intermodulares y BDD.
Fase 5 – Briefing UX y Matriz Maestra de Obligaciones UX M6 Pagos v1.0: obligaciones UX OUX-M6-001..024, superficies, prioridad y guardrails.</t>
  </si>
  <si>
    <t>CP-M6-045</t>
  </si>
  <si>
    <t>M6-V33, M6-V46 | R-M6-072 / R-M6-122</t>
  </si>
  <si>
    <t>Definir regla para preparar compromisos futuros tras confirmar recurrencia: horizonte, fecha, monto y mecanismo de actualización.</t>
  </si>
  <si>
    <t>F3 permite preparar futuros “según regla definida” y exige regla suficiente, pero no cierra los parámetros de generación.</t>
  </si>
  <si>
    <t>M6-V46</t>
  </si>
  <si>
    <t>Deuda bajo presión</t>
  </si>
  <si>
    <t>Pago asociado a deuda presenta presión, mora, pago mínimo recurrente, pago parcial, saldo arrastrado, atraso acumulado o riesgo de incumplimiento</t>
  </si>
  <si>
    <t>Enviar señal controlada a evaluación M4; M4 conserva estrategia y M6 no activa Ruta Despeje automáticamente.</t>
  </si>
  <si>
    <t>R-M6-130 / R-M6-131 / R-M6-132 / R-M6-133 / BDD-M6-022</t>
  </si>
  <si>
    <t>PD-M6-07</t>
  </si>
  <si>
    <t>Técnica / Datos</t>
  </si>
  <si>
    <t>M6-V20–M6-V21 / M6-V50 | R-M6-041, R-M6-044</t>
  </si>
  <si>
    <t>CP-M6-046</t>
  </si>
  <si>
    <t>Definir retención, modelo de auditoría y nivel de detalle técnico del historial funcional.</t>
  </si>
  <si>
    <t>La documentación exige trazabilidad mínima, pero no define retención, estructura física de auditoría ni política técnica de conservación.</t>
  </si>
  <si>
    <t>M6-V47</t>
  </si>
  <si>
    <t>Pago mínimo / parcial / saldo arrastrado</t>
  </si>
  <si>
    <t>Se registra o detecta de forma recurrente o presiona el flujo</t>
  </si>
  <si>
    <t>Tratar como señal de alerta/deterioro y posible evaluación M4; no recomendar pago mínimo ni considerarlo sano.</t>
  </si>
  <si>
    <t>M6-HU-016 / M6-HU-019</t>
  </si>
  <si>
    <t>R-M6-134 / BDD-M6-026</t>
  </si>
  <si>
    <t>PD-M6-08</t>
  </si>
  <si>
    <t>UX / QA / Producto</t>
  </si>
  <si>
    <t>M6-V01–M6-V59 | Figma 8859:31712</t>
  </si>
  <si>
    <t>CP-M6-047</t>
  </si>
  <si>
    <t>Validar correspondencia visual entre el nodo Figma M6 y las obligaciones F1–F5 / blueprint M6-SCR-01..11 antes de considerar el diseño como fuente cerrada.</t>
  </si>
  <si>
    <t>Las fases documentales declaran que Figma/mockups requieren QA y aprobación posterior. La matriz conserva esa clasificación de autoridad.</t>
  </si>
  <si>
    <t>M6-V48</t>
  </si>
  <si>
    <t>Presión de flujo</t>
  </si>
  <si>
    <t>Zona de atención 50%-79%</t>
  </si>
  <si>
    <t>Presión mensual entre 50% y 79%</t>
  </si>
  <si>
    <t>M6 puede mostrar señales preventivas si hay concentración, pagos próximos o pérdida de margen.</t>
  </si>
  <si>
    <t>R-M6-124 / R-M6-125</t>
  </si>
  <si>
    <t>CP-M6-048</t>
  </si>
  <si>
    <t>M6-V49</t>
  </si>
  <si>
    <t>Alerta preventiva &gt;=80%</t>
  </si>
  <si>
    <t>Presión mensual &gt;=80% sin condición suficiente de deuda bajo presión</t>
  </si>
  <si>
    <t>Advertir poco margen de reacción; no activar M4 automáticamente.</t>
  </si>
  <si>
    <t>R-M6-135 / BDD-M6-025</t>
  </si>
  <si>
    <t>CP-M6-049</t>
  </si>
  <si>
    <t>M6-V50</t>
  </si>
  <si>
    <t>Presión alta &gt;=90% con deuda</t>
  </si>
  <si>
    <t>Presión &gt;=90% y causa incluye deuda/compromiso financiero bajo presión</t>
  </si>
  <si>
    <t>Puede gatillar evaluación M4 de forma controlada.</t>
  </si>
  <si>
    <t>R-M6-135 / BDD-M6-022</t>
  </si>
  <si>
    <t>CP-M6-050</t>
  </si>
  <si>
    <t>WALVY | M6 – Resumen de trazabilidad</t>
  </si>
  <si>
    <t>M6-V51</t>
  </si>
  <si>
    <t>Flujo negativo &gt;=100% sin deuda bajo presión</t>
  </si>
  <si>
    <t>Mes no cierra por gasto general o compromisos cerrables sin condición de deuda bajo presión</t>
  </si>
  <si>
    <t>Bifurcar: M5/Home explica presupuesto; M6 revisa compromisos cerrables; M4 no se activa sin deuda bajo presión.</t>
  </si>
  <si>
    <t>R-M6-124 / R-M6-125 / R-M6-135 / BDD-M6-025</t>
  </si>
  <si>
    <t>CP-M6-051</t>
  </si>
  <si>
    <t>M6-V52</t>
  </si>
  <si>
    <t>Sobrepresión &gt;=110% o recurrente 2+ ciclos</t>
  </si>
  <si>
    <t>Presión extrema o estructural</t>
  </si>
  <si>
    <t>Elevar severidad/señal a Home/M5; evaluar M4 solo si existe deuda o compromiso financiero presionante.</t>
  </si>
  <si>
    <t>M6-HU-019 / M6-HU-016</t>
  </si>
  <si>
    <t>CP-M6-052</t>
  </si>
  <si>
    <t>Indicador</t>
  </si>
  <si>
    <t>M6-V53</t>
  </si>
  <si>
    <t>Historial</t>
  </si>
  <si>
    <t>Valor</t>
  </si>
  <si>
    <t>Ver historial de pagos y estados</t>
  </si>
  <si>
    <t>Usuario selecciona Ver historial</t>
  </si>
  <si>
    <t>Mostrar cambios y estados funcionales con trazabilidad; no cartola bancaria ni conciliación contable.</t>
  </si>
  <si>
    <t>Cómo revisar</t>
  </si>
  <si>
    <t>CP-M6-053</t>
  </si>
  <si>
    <t>8859:31712 · ID lógico blueprint M6-SCR-11</t>
  </si>
  <si>
    <t>M6-V54</t>
  </si>
  <si>
    <t>Calidad de dato</t>
  </si>
  <si>
    <t>Revisión repetida</t>
  </si>
  <si>
    <t>Existen datos incompletos recurrentes</t>
  </si>
  <si>
    <t>Puede alimentar una señal de calidad de dato a Perfil; no operar pagos desde Perfil.</t>
  </si>
  <si>
    <t>M6-HU-004 / M6-HU-018</t>
  </si>
  <si>
    <t>Variantes</t>
  </si>
  <si>
    <t>CP-M6-054</t>
  </si>
  <si>
    <t>M6-V55</t>
  </si>
  <si>
    <t>Baja confianza como señal de calidad</t>
  </si>
  <si>
    <t>Dato detectado insuficiente o baja confianza</t>
  </si>
  <si>
    <t>Puede indicar baja confiabilidad; no validar automáticamente.</t>
  </si>
  <si>
    <t>CP-M6-055</t>
  </si>
  <si>
    <t>M6-V56</t>
  </si>
  <si>
    <t>Guardrail transversal</t>
  </si>
  <si>
    <t>Bloqueo de lenguaje transaccional</t>
  </si>
  <si>
    <t>Cualquier pantalla/card/modal/alerta de M6</t>
  </si>
  <si>
    <t>No usar Pagar ahora, Pagar desde Walvy, Transferir, pago automático ni lenguaje que sugiera movimiento de fondos.</t>
  </si>
  <si>
    <t>R-M6-040 / R-M6-094</t>
  </si>
  <si>
    <t>MVP / guardrail</t>
  </si>
  <si>
    <t>F1 | F4 | F5 | M6-BP</t>
  </si>
  <si>
    <t>Fase 1 – Definición Funcional M6 Pagos v1.0: propósito, alcance MVP, estados, reglas base, dependencias y guardrails.
Fase 4 – Copy UX, CTAs y Mensajería Contextual M6 Pagos v1.0: CTAs oficiales, copy permitido/restringido/prohibido y mensajes por estado.
Fase 5 – Briefing UX y Matriz Maestra de Obligaciones UX M6 Pagos v1.0: obligaciones UX OUX-M6-001..024, superficies, prioridad y guardrails.
Blueprint plaintext M6-FLOW-02: nodos M6-SCR-01..11, cards, modales, rutas, retornos, memoria y señales externas.</t>
  </si>
  <si>
    <t>CP-M6-056</t>
  </si>
  <si>
    <t>8859:31712 · ID lógico blueprint M6-SCR-01..11</t>
  </si>
  <si>
    <t>M6-V57</t>
  </si>
  <si>
    <t>Severidad crítica no visible por defecto</t>
  </si>
  <si>
    <t>Estado interno Crítica</t>
  </si>
  <si>
    <t>Comunicar revisión prioritaria sin usar 'Crítica' como etiqueta visible por defecto, con datos confiables suficientes y sin alarmismo.</t>
  </si>
  <si>
    <t>M6-HU-018 / M6-HU-006</t>
  </si>
  <si>
    <t>R-M6-031 / R-M6-084</t>
  </si>
  <si>
    <t>CP-M6-057</t>
  </si>
  <si>
    <t>M6-V58</t>
  </si>
  <si>
    <t>Sin comprobante obligatorio</t>
  </si>
  <si>
    <t>Pago informado o detectado</t>
  </si>
  <si>
    <t>No abrir flujo obligatorio de comprobantes ni exigir evidencia formal; conservar origen funcional y confianza.</t>
  </si>
  <si>
    <t>M6-HU-007 / M6-HU-009 / M6-HU-018</t>
  </si>
  <si>
    <t>R-M6-040 / R-M6-051 / R-M6-054</t>
  </si>
  <si>
    <t>CP-M6-058</t>
  </si>
  <si>
    <t>M6-V59</t>
  </si>
  <si>
    <t>Diseño / Equivalencia</t>
  </si>
  <si>
    <t>Pantalla Pagos vs superficie equivalente</t>
  </si>
  <si>
    <t>Se debe representar M6 en UX</t>
  </si>
  <si>
    <t>La solución debe cubrir todas las obligaciones MVP mínimas; la pantalla propia es candidata fuerte, pero el cierre visual final requiere validación UX/QA.</t>
  </si>
  <si>
    <t>R-M6-113 / R-M6-123 / R-M6-133</t>
  </si>
  <si>
    <t>Fase 5 / decisión UX</t>
  </si>
  <si>
    <t>F2 | F5 | M6-BP | M6-FIG</t>
  </si>
  <si>
    <t>Fase 2 – Inventario de Pantallas, Estados y Componentes M6 Pagos v1.0: superficies, pantallas candidatas, estados, componentes, CTAs y acciones.
Fase 5 – Briefing UX y Matriz Maestra de Obligaciones UX M6 Pagos v1.0: obligaciones UX OUX-M6-001..024, superficies, prioridad y guardrails.
Blueprint plaintext M6-FLOW-02: nodos M6-SCR-01..11, cards, modales, rutas, retornos, memoria y señales externas.
Figma Walvi APP – sección M6 Pagos, nodo padre 8859:31712. Se usa como referencia visual; no convierte por sí solo una definición visual en regla de Producto.</t>
  </si>
  <si>
    <t>CP-M6-059</t>
  </si>
  <si>
    <t>Documento + blueprint + Figma; decisión visual final pendiente</t>
  </si>
  <si>
    <t>1</t>
  </si>
  <si>
    <t>Revisar HU/CA</t>
  </si>
  <si>
    <t>Confirmar que intención y criterios representan el comportamiento esperado.</t>
  </si>
  <si>
    <t>Historias de Usuario</t>
  </si>
  <si>
    <t>2</t>
  </si>
  <si>
    <t>Revisar RN</t>
  </si>
  <si>
    <t>Ratificar reglas y especialmente las marcadas como Figma/pendiente.</t>
  </si>
  <si>
    <t>Reglas de Negocio</t>
  </si>
  <si>
    <t>3</t>
  </si>
  <si>
    <t>Revisar variante</t>
  </si>
  <si>
    <t>Aprobar, ajustar o excluir cada escenario.</t>
  </si>
  <si>
    <t>Variantes con evidencia Passed</t>
  </si>
  <si>
    <t>4</t>
  </si>
  <si>
    <t>Revisar CP/QA</t>
  </si>
  <si>
    <t>Confirmar caso de prueba y luego vincular evidencia real.</t>
  </si>
  <si>
    <t>Variantes con evidencia pendiente</t>
  </si>
  <si>
    <t>Puntos de decisión/validación Cliente</t>
  </si>
  <si>
    <t>Nota Fuente RN</t>
  </si>
  <si>
    <t>El código identifica el artefacto de origen; la descripción explica su nombre y cobertura. Las HU M6 fueron derivadas de las obligaciones documentales F1–F5 para estructurar la cadena de trazabilidad y deben ser validadas junto con las variantes.</t>
  </si>
  <si>
    <t>Métrica de revisión del Cliente</t>
  </si>
  <si>
    <t>Decisiones funcionales pendientes</t>
  </si>
  <si>
    <t>Estado de validación</t>
  </si>
  <si>
    <t>Cantidad</t>
  </si>
  <si>
    <t>% del total</t>
  </si>
  <si>
    <t>Aprobado</t>
  </si>
  <si>
    <t>Resuelto</t>
  </si>
  <si>
    <t>Ajustar</t>
  </si>
  <si>
    <t>Requiere análisis</t>
  </si>
  <si>
    <t>Fuera de alcance</t>
  </si>
  <si>
    <t>Variantes revisadas</t>
  </si>
  <si>
    <t>Avance de revisión</t>
  </si>
  <si>
    <t>Aprobación sobre revisadas</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</si>
</sst>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b/>
      <sz val="15.0"/>
      <color rgb="FFFFFFFF"/>
      <name val="Carlito"/>
    </font>
    <font/>
    <font>
      <b/>
      <sz val="11.0"/>
      <color rgb="FFFFFFFF"/>
      <name val="Carlito"/>
    </font>
    <font>
      <sz val="9.0"/>
      <color theme="1"/>
      <name val="Carlito"/>
    </font>
    <font>
      <sz val="10.0"/>
      <color rgb="FF103F43"/>
      <name val="Carlito"/>
    </font>
    <font>
      <sz val="11.0"/>
      <color theme="1"/>
      <name val="Carlito"/>
    </font>
    <font>
      <b/>
      <sz val="9.0"/>
      <color rgb="FFFFFFFF"/>
      <name val="Carlito"/>
    </font>
    <font>
      <sz val="9.0"/>
      <color rgb="FF1F2A33"/>
      <name val="Carlito"/>
    </font>
    <font>
      <b/>
      <sz val="13.0"/>
      <color rgb="FFFFFFFF"/>
      <name val="Carlito"/>
    </font>
    <font>
      <i/>
      <sz val="11.0"/>
      <color rgb="FF334155"/>
      <name val="Carlito"/>
    </font>
    <font>
      <b/>
      <sz val="14.0"/>
      <color rgb="FFFFFFFF"/>
      <name val="Carlito"/>
    </font>
    <font>
      <sz val="10.0"/>
      <color theme="1"/>
      <name val="Carlito"/>
    </font>
    <font>
      <b/>
      <sz val="12.0"/>
      <color rgb="FFFFFFFF"/>
      <name val="Carlito"/>
    </font>
    <font>
      <b/>
      <sz val="11.0"/>
      <color theme="1"/>
      <name val="Carlito"/>
    </font>
  </fonts>
  <fills count="14">
    <fill>
      <patternFill patternType="none"/>
    </fill>
    <fill>
      <patternFill patternType="lightGray"/>
    </fill>
    <fill>
      <patternFill patternType="solid">
        <fgColor rgb="FF0D5C63"/>
        <bgColor rgb="FF0D5C63"/>
      </patternFill>
    </fill>
    <fill>
      <patternFill patternType="solid">
        <fgColor rgb="FF0F666B"/>
        <bgColor rgb="FF0F666B"/>
      </patternFill>
    </fill>
    <fill>
      <patternFill patternType="solid">
        <fgColor rgb="FFE8F3F2"/>
        <bgColor rgb="FFE8F3F2"/>
      </patternFill>
    </fill>
    <fill>
      <patternFill patternType="solid">
        <fgColor rgb="FF126D73"/>
        <bgColor rgb="FF126D73"/>
      </patternFill>
    </fill>
    <fill>
      <patternFill patternType="solid">
        <fgColor rgb="FFEEF6F6"/>
        <bgColor rgb="FFEEF6F6"/>
      </patternFill>
    </fill>
    <fill>
      <patternFill patternType="solid">
        <fgColor rgb="FFB27600"/>
        <bgColor rgb="FFB27600"/>
      </patternFill>
    </fill>
    <fill>
      <patternFill patternType="solid">
        <fgColor rgb="FF1C7B80"/>
        <bgColor rgb="FF1C7B80"/>
      </patternFill>
    </fill>
    <fill>
      <patternFill patternType="solid">
        <fgColor rgb="FFDCFCE7"/>
        <bgColor rgb="FFDCFCE7"/>
      </patternFill>
    </fill>
    <fill>
      <patternFill patternType="solid">
        <fgColor rgb="FFF3F4F6"/>
        <bgColor rgb="FFF3F4F6"/>
      </patternFill>
    </fill>
    <fill>
      <patternFill patternType="solid">
        <fgColor rgb="FFFEF3C7"/>
        <bgColor rgb="FFFEF3C7"/>
      </patternFill>
    </fill>
    <fill>
      <patternFill patternType="solid">
        <fgColor rgb="FFE5E7EB"/>
        <bgColor rgb="FFE5E7EB"/>
      </patternFill>
    </fill>
    <fill>
      <patternFill patternType="solid">
        <fgColor rgb="FFFEE2E2"/>
        <bgColor rgb="FFFEE2E2"/>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0" fillId="0" fontId="4" numFmtId="0" xfId="0" applyAlignment="1" applyFont="1">
      <alignment shrinkToFit="0" vertical="top" wrapText="1"/>
    </xf>
    <xf borderId="1" fillId="4" fontId="5" numFmtId="0" xfId="0" applyAlignment="1" applyBorder="1" applyFill="1" applyFont="1">
      <alignment shrinkToFit="0" vertical="center" wrapText="1"/>
    </xf>
    <xf borderId="4" fillId="5" fontId="3" numFmtId="0" xfId="0" applyAlignment="1" applyBorder="1" applyFill="1" applyFont="1">
      <alignment shrinkToFit="0" wrapText="1"/>
    </xf>
    <xf borderId="0" fillId="0" fontId="6" numFmtId="0" xfId="0" applyAlignment="1" applyFont="1">
      <alignment shrinkToFit="0" wrapText="1"/>
    </xf>
    <xf borderId="4" fillId="3" fontId="7" numFmtId="0" xfId="0" applyAlignment="1" applyBorder="1" applyFill="1" applyFont="1">
      <alignment horizontal="center" shrinkToFit="0" vertical="center" wrapText="1"/>
    </xf>
    <xf borderId="0" fillId="0" fontId="8" numFmtId="0" xfId="0" applyAlignment="1" applyFont="1">
      <alignment shrinkToFit="0" vertical="top" wrapText="1"/>
    </xf>
    <xf borderId="0" fillId="0" fontId="6" numFmtId="0" xfId="0" applyAlignment="1" applyFont="1">
      <alignment shrinkToFit="0" vertical="top" wrapText="1"/>
    </xf>
    <xf borderId="1" fillId="3" fontId="9" numFmtId="0" xfId="0" applyAlignment="1" applyBorder="1" applyFill="1" applyFont="1">
      <alignment horizontal="left" shrinkToFit="0" vertical="center" wrapText="1"/>
    </xf>
    <xf borderId="1" fillId="6" fontId="10" numFmtId="0" xfId="0" applyAlignment="1" applyBorder="1" applyFill="1" applyFont="1">
      <alignment shrinkToFit="0" vertical="center" wrapText="1"/>
    </xf>
    <xf borderId="4" fillId="7" fontId="3" numFmtId="0" xfId="0" applyAlignment="1" applyBorder="1" applyFill="1" applyFont="1">
      <alignment shrinkToFit="0" wrapText="1"/>
    </xf>
    <xf borderId="4" fillId="8" fontId="7" numFmtId="0" xfId="0" applyAlignment="1" applyBorder="1" applyFill="1" applyFont="1">
      <alignment horizontal="center" shrinkToFit="0" vertical="center" wrapText="1"/>
    </xf>
    <xf borderId="1" fillId="3" fontId="11" numFmtId="0" xfId="0" applyAlignment="1" applyBorder="1" applyFill="1" applyFont="1">
      <alignment horizontal="left" shrinkToFit="0" vertical="center" wrapText="1"/>
    </xf>
    <xf borderId="0" fillId="0" fontId="6" numFmtId="0" xfId="0" applyAlignment="1" applyFont="1">
      <alignment shrinkToFit="0" vertical="center" wrapText="1"/>
    </xf>
    <xf borderId="1" fillId="3" fontId="3" numFmtId="0" xfId="0" applyAlignment="1" applyBorder="1" applyFill="1" applyFont="1">
      <alignment horizontal="center" shrinkToFit="0" vertical="center" wrapText="1"/>
    </xf>
    <xf borderId="0" fillId="0" fontId="12" numFmtId="0" xfId="0" applyAlignment="1" applyFont="1">
      <alignment shrinkToFit="0" vertical="center" wrapText="1"/>
    </xf>
    <xf borderId="1" fillId="3" fontId="13" numFmtId="0" xfId="0" applyAlignment="1" applyBorder="1" applyFill="1" applyFont="1">
      <alignment horizontal="left" shrinkToFit="0" vertical="center" wrapText="1"/>
    </xf>
    <xf borderId="4" fillId="8" fontId="3" numFmtId="0" xfId="0" applyAlignment="1" applyBorder="1" applyFill="1" applyFont="1">
      <alignment horizontal="center" shrinkToFit="0" vertical="center" wrapText="1"/>
    </xf>
    <xf borderId="4" fillId="9" fontId="6" numFmtId="0" xfId="0" applyAlignment="1" applyBorder="1" applyFill="1" applyFont="1">
      <alignment shrinkToFit="0" vertical="center" wrapText="1"/>
    </xf>
    <xf borderId="4" fillId="9" fontId="6" numFmtId="9" xfId="0" applyAlignment="1" applyBorder="1" applyFill="1" applyFont="1" applyNumberFormat="1">
      <alignment shrinkToFit="0" vertical="center" wrapText="1"/>
    </xf>
    <xf borderId="4" fillId="10" fontId="6" numFmtId="0" xfId="0" applyAlignment="1" applyBorder="1" applyFill="1" applyFont="1">
      <alignment shrinkToFit="0" vertical="center" wrapText="1"/>
    </xf>
    <xf borderId="4" fillId="10" fontId="6" numFmtId="9" xfId="0" applyAlignment="1" applyBorder="1" applyFill="1" applyFont="1" applyNumberFormat="1">
      <alignment shrinkToFit="0" vertical="center" wrapText="1"/>
    </xf>
    <xf borderId="4" fillId="11" fontId="6" numFmtId="0" xfId="0" applyAlignment="1" applyBorder="1" applyFill="1" applyFont="1">
      <alignment shrinkToFit="0" vertical="center" wrapText="1"/>
    </xf>
    <xf borderId="4" fillId="11" fontId="6" numFmtId="9" xfId="0" applyAlignment="1" applyBorder="1" applyFill="1" applyFont="1" applyNumberFormat="1">
      <alignment shrinkToFit="0" vertical="center" wrapText="1"/>
    </xf>
    <xf borderId="4" fillId="12" fontId="6" numFmtId="0" xfId="0" applyAlignment="1" applyBorder="1" applyFill="1" applyFont="1">
      <alignment shrinkToFit="0" vertical="center" wrapText="1"/>
    </xf>
    <xf borderId="4" fillId="12" fontId="6" numFmtId="9" xfId="0" applyAlignment="1" applyBorder="1" applyFill="1" applyFont="1" applyNumberFormat="1">
      <alignment shrinkToFit="0" vertical="center" wrapText="1"/>
    </xf>
    <xf borderId="4" fillId="13" fontId="6" numFmtId="0" xfId="0" applyAlignment="1" applyBorder="1" applyFill="1" applyFont="1">
      <alignment shrinkToFit="0" vertical="center" wrapText="1"/>
    </xf>
    <xf borderId="4" fillId="13" fontId="6" numFmtId="9" xfId="0" applyAlignment="1" applyBorder="1" applyFill="1" applyFont="1" applyNumberFormat="1">
      <alignment shrinkToFit="0" vertical="center" wrapText="1"/>
    </xf>
    <xf borderId="4" fillId="6" fontId="14" numFmtId="0" xfId="0" applyAlignment="1" applyBorder="1" applyFill="1" applyFont="1">
      <alignment shrinkToFit="0" vertical="center" wrapText="1"/>
    </xf>
    <xf borderId="4" fillId="6" fontId="6" numFmtId="0" xfId="0" applyAlignment="1" applyBorder="1" applyFill="1" applyFont="1">
      <alignment shrinkToFit="0" vertical="center" wrapText="1"/>
    </xf>
    <xf borderId="4" fillId="6" fontId="6" numFmtId="9" xfId="0" applyAlignment="1" applyBorder="1" applyFill="1" applyFont="1" applyNumberFormat="1">
      <alignment shrinkToFit="0" vertical="center" wrapText="1"/>
    </xf>
  </cellXfs>
  <cellStyles count="1">
    <cellStyle xfId="0" name="Normal" builtinId="0"/>
  </cellStyles>
  <dxfs count="12">
    <dxf>
      <font>
        <b/>
        <color rgb="FF166534"/>
      </font>
      <fill>
        <patternFill patternType="solid">
          <fgColor rgb="FFDCFCE7"/>
          <bgColor rgb="FFDCFCE7"/>
        </patternFill>
      </fill>
      <border/>
    </dxf>
    <dxf>
      <font>
        <color rgb="FF374151"/>
      </font>
      <fill>
        <patternFill patternType="solid">
          <fgColor rgb="FFF3F4F6"/>
          <bgColor rgb="FFF3F4F6"/>
        </patternFill>
      </fill>
      <border/>
    </dxf>
    <dxf>
      <font>
        <b/>
        <color rgb="FF92400E"/>
      </font>
      <fill>
        <patternFill patternType="solid">
          <fgColor rgb="FFFEF3C7"/>
          <bgColor rgb="FFFEF3C7"/>
        </patternFill>
      </fill>
      <border/>
    </dxf>
    <dxf>
      <font>
        <b/>
        <color rgb="FF4B5563"/>
      </font>
      <fill>
        <patternFill patternType="solid">
          <fgColor rgb="FFE5E7EB"/>
          <bgColor rgb="FFE5E7EB"/>
        </patternFill>
      </fill>
      <border/>
    </dxf>
    <dxf>
      <font/>
      <fill>
        <patternFill patternType="solid">
          <fgColor rgb="FFE2F0D9"/>
          <bgColor rgb="FFE2F0D9"/>
        </patternFill>
      </fill>
      <border/>
    </dxf>
    <dxf>
      <font/>
      <fill>
        <patternFill patternType="solid">
          <fgColor rgb="FFF4CCCC"/>
          <bgColor rgb="FFF4CCCC"/>
        </patternFill>
      </fill>
      <border/>
    </dxf>
    <dxf>
      <font>
        <color rgb="FF2F6B2F"/>
      </font>
      <fill>
        <patternFill patternType="solid">
          <fgColor rgb="FFDFF2E0"/>
          <bgColor rgb="FFDFF2E0"/>
        </patternFill>
      </fill>
      <border/>
    </dxf>
    <dxf>
      <font>
        <color rgb="FF7F6000"/>
      </font>
      <fill>
        <patternFill patternType="solid">
          <fgColor rgb="FFFFF2CC"/>
          <bgColor rgb="FFFFF2CC"/>
        </patternFill>
      </fill>
      <border/>
    </dxf>
    <dxf>
      <font>
        <color rgb="FF555555"/>
      </font>
      <fill>
        <patternFill patternType="solid">
          <fgColor rgb="FFE7E6E6"/>
          <bgColor rgb="FFE7E6E6"/>
        </patternFill>
      </fill>
      <border/>
    </dxf>
    <dxf>
      <font>
        <color rgb="FF9C0006"/>
      </font>
      <fill>
        <patternFill patternType="solid">
          <fgColor rgb="FFFCE4D6"/>
          <bgColor rgb="FFFCE4D6"/>
        </patternFill>
      </fill>
      <border/>
    </dxf>
    <dxf>
      <font>
        <b/>
        <color rgb="FF991B1B"/>
      </font>
      <fill>
        <patternFill patternType="solid">
          <fgColor rgb="FFFEE2E2"/>
          <bgColor rgb="FFFEE2E2"/>
        </patternFill>
      </fill>
      <border/>
    </dxf>
    <dxf>
      <font>
        <b/>
        <color rgb="FF9A3412"/>
      </font>
      <fill>
        <patternFill patternType="solid">
          <fgColor rgb="FFFFF7ED"/>
          <bgColor rgb="FFFFF7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24.0"/>
    <col customWidth="1" min="3" max="3" width="34.0"/>
    <col customWidth="1" min="4" max="4" width="38.0"/>
    <col customWidth="1" min="5" max="5" width="44.0"/>
    <col customWidth="1" min="6" max="6" width="20.0"/>
    <col customWidth="1" min="7" max="7" width="14.0"/>
    <col customWidth="1" min="8" max="8" width="36.0"/>
    <col customWidth="1" min="9" max="9" width="28.0"/>
    <col customWidth="1" min="10" max="10" width="26.0"/>
    <col customWidth="1" min="11" max="11" width="48.0"/>
    <col customWidth="1" min="12" max="12" width="22.0"/>
    <col customWidth="1" min="13" max="13" width="32.0"/>
    <col customWidth="1" min="14" max="14" width="18.0"/>
    <col customWidth="1" min="15" max="15" width="17.0"/>
    <col customWidth="1" min="16" max="16" width="42.0"/>
    <col customWidth="1" min="17" max="17" width="31.0"/>
    <col customWidth="1" min="18" max="18" width="21.0"/>
    <col customWidth="1" min="19" max="19" width="38.0"/>
    <col customWidth="1" min="20" max="20" width="20.0"/>
    <col customWidth="1" min="21" max="26" width="8.88"/>
  </cols>
  <sheetData>
    <row r="1" ht="53.25" customHeight="1">
      <c r="A1" s="1" t="s">
        <v>2</v>
      </c>
      <c r="B1" s="2"/>
      <c r="C1" s="2"/>
      <c r="D1" s="2"/>
      <c r="E1" s="2"/>
      <c r="F1" s="2"/>
      <c r="G1" s="2"/>
      <c r="H1" s="2"/>
      <c r="I1" s="2"/>
      <c r="J1" s="2"/>
      <c r="K1" s="2"/>
      <c r="L1" s="2"/>
      <c r="M1" s="2"/>
      <c r="N1" s="2"/>
      <c r="O1" s="2"/>
      <c r="P1" s="2"/>
      <c r="Q1" s="2"/>
      <c r="R1" s="2"/>
      <c r="S1" s="2"/>
      <c r="T1" s="3"/>
    </row>
    <row r="2" ht="74.25" customHeight="1">
      <c r="A2" s="6" t="s">
        <v>16</v>
      </c>
      <c r="B2" s="2"/>
      <c r="C2" s="2"/>
      <c r="D2" s="2"/>
      <c r="E2" s="2"/>
      <c r="F2" s="2"/>
      <c r="G2" s="2"/>
      <c r="H2" s="2"/>
      <c r="I2" s="2"/>
      <c r="J2" s="2"/>
      <c r="K2" s="2"/>
      <c r="L2" s="2"/>
      <c r="M2" s="2"/>
      <c r="N2" s="2"/>
      <c r="O2" s="2"/>
      <c r="P2" s="2"/>
      <c r="Q2" s="2"/>
      <c r="R2" s="2"/>
      <c r="S2" s="2"/>
      <c r="T2" s="3"/>
    </row>
    <row r="3" ht="13.5" customHeight="1"/>
    <row r="4" ht="49.5" customHeight="1">
      <c r="A4" s="9" t="s">
        <v>51</v>
      </c>
      <c r="B4" s="9" t="s">
        <v>61</v>
      </c>
      <c r="C4" s="9" t="s">
        <v>62</v>
      </c>
      <c r="D4" s="9" t="s">
        <v>63</v>
      </c>
      <c r="E4" s="9" t="s">
        <v>65</v>
      </c>
      <c r="F4" s="9" t="s">
        <v>67</v>
      </c>
      <c r="G4" s="9" t="s">
        <v>68</v>
      </c>
      <c r="H4" s="9" t="s">
        <v>70</v>
      </c>
      <c r="I4" s="9" t="s">
        <v>71</v>
      </c>
      <c r="J4" s="9" t="s">
        <v>13</v>
      </c>
      <c r="K4" s="9" t="s">
        <v>15</v>
      </c>
      <c r="L4" s="9" t="s">
        <v>73</v>
      </c>
      <c r="M4" s="9" t="s">
        <v>74</v>
      </c>
      <c r="N4" s="9" t="s">
        <v>75</v>
      </c>
      <c r="O4" s="9" t="s">
        <v>77</v>
      </c>
      <c r="P4" s="9" t="s">
        <v>78</v>
      </c>
      <c r="Q4" s="9" t="s">
        <v>79</v>
      </c>
      <c r="R4" s="9" t="s">
        <v>81</v>
      </c>
      <c r="S4" s="4" t="s">
        <v>83</v>
      </c>
      <c r="T4" s="4" t="s">
        <v>85</v>
      </c>
    </row>
    <row r="5">
      <c r="A5" s="10" t="s">
        <v>89</v>
      </c>
      <c r="B5" s="10" t="s">
        <v>92</v>
      </c>
      <c r="C5" s="10" t="s">
        <v>94</v>
      </c>
      <c r="D5" s="10" t="s">
        <v>96</v>
      </c>
      <c r="E5" s="10" t="s">
        <v>97</v>
      </c>
      <c r="F5" s="10" t="s">
        <v>99</v>
      </c>
      <c r="G5" s="10" t="s">
        <v>101</v>
      </c>
      <c r="H5" s="10" t="s">
        <v>103</v>
      </c>
      <c r="I5" s="10" t="s">
        <v>105</v>
      </c>
      <c r="J5" s="10" t="s">
        <v>106</v>
      </c>
      <c r="K5" s="10" t="s">
        <v>113</v>
      </c>
      <c r="L5" s="10" t="s">
        <v>114</v>
      </c>
      <c r="M5" s="10" t="s">
        <v>134</v>
      </c>
      <c r="N5" s="10" t="s">
        <v>136</v>
      </c>
      <c r="O5" s="10" t="s">
        <v>137</v>
      </c>
      <c r="P5" s="10" t="s">
        <v>50</v>
      </c>
      <c r="Q5" s="10" t="s">
        <v>140</v>
      </c>
      <c r="R5" s="10" t="s">
        <v>136</v>
      </c>
      <c r="S5" s="11"/>
      <c r="T5" s="11"/>
    </row>
    <row r="6">
      <c r="A6" s="10" t="s">
        <v>154</v>
      </c>
      <c r="B6" s="10" t="s">
        <v>92</v>
      </c>
      <c r="C6" s="10" t="s">
        <v>157</v>
      </c>
      <c r="D6" s="10" t="s">
        <v>158</v>
      </c>
      <c r="E6" s="10" t="s">
        <v>160</v>
      </c>
      <c r="F6" s="10" t="s">
        <v>66</v>
      </c>
      <c r="G6" s="10" t="s">
        <v>161</v>
      </c>
      <c r="H6" s="10" t="s">
        <v>163</v>
      </c>
      <c r="I6" s="10" t="s">
        <v>105</v>
      </c>
      <c r="J6" s="10" t="s">
        <v>166</v>
      </c>
      <c r="K6" s="10" t="s">
        <v>172</v>
      </c>
      <c r="L6" s="10" t="s">
        <v>173</v>
      </c>
      <c r="M6" s="10" t="s">
        <v>134</v>
      </c>
      <c r="N6" s="10" t="s">
        <v>136</v>
      </c>
      <c r="O6" s="10" t="s">
        <v>177</v>
      </c>
      <c r="P6" s="10" t="s">
        <v>50</v>
      </c>
      <c r="Q6" s="10" t="s">
        <v>179</v>
      </c>
      <c r="R6" s="10" t="s">
        <v>136</v>
      </c>
      <c r="S6" s="11"/>
      <c r="T6" s="11" t="s">
        <v>182</v>
      </c>
    </row>
    <row r="7">
      <c r="A7" s="10" t="s">
        <v>185</v>
      </c>
      <c r="B7" s="10" t="s">
        <v>187</v>
      </c>
      <c r="C7" s="10" t="s">
        <v>188</v>
      </c>
      <c r="D7" s="10" t="s">
        <v>190</v>
      </c>
      <c r="E7" s="10" t="s">
        <v>191</v>
      </c>
      <c r="F7" s="10" t="s">
        <v>193</v>
      </c>
      <c r="G7" s="10" t="s">
        <v>195</v>
      </c>
      <c r="H7" s="10" t="s">
        <v>196</v>
      </c>
      <c r="I7" s="10" t="s">
        <v>105</v>
      </c>
      <c r="J7" s="10" t="s">
        <v>106</v>
      </c>
      <c r="K7" s="10" t="s">
        <v>113</v>
      </c>
      <c r="L7" s="10" t="s">
        <v>201</v>
      </c>
      <c r="M7" s="10" t="s">
        <v>134</v>
      </c>
      <c r="N7" s="10" t="s">
        <v>136</v>
      </c>
      <c r="O7" s="10" t="s">
        <v>204</v>
      </c>
      <c r="P7" s="10" t="s">
        <v>50</v>
      </c>
      <c r="Q7" s="10" t="s">
        <v>140</v>
      </c>
      <c r="R7" s="10" t="s">
        <v>136</v>
      </c>
      <c r="S7" s="11"/>
      <c r="T7" s="11"/>
    </row>
    <row r="8">
      <c r="A8" s="10" t="s">
        <v>209</v>
      </c>
      <c r="B8" s="10" t="s">
        <v>211</v>
      </c>
      <c r="C8" s="10" t="s">
        <v>213</v>
      </c>
      <c r="D8" s="10" t="s">
        <v>215</v>
      </c>
      <c r="E8" s="10" t="s">
        <v>216</v>
      </c>
      <c r="F8" s="10" t="s">
        <v>86</v>
      </c>
      <c r="G8" s="10" t="s">
        <v>218</v>
      </c>
      <c r="H8" s="10" t="s">
        <v>219</v>
      </c>
      <c r="I8" s="10" t="s">
        <v>105</v>
      </c>
      <c r="J8" s="10" t="s">
        <v>220</v>
      </c>
      <c r="K8" s="10" t="s">
        <v>226</v>
      </c>
      <c r="L8" s="10" t="s">
        <v>227</v>
      </c>
      <c r="M8" s="10" t="s">
        <v>134</v>
      </c>
      <c r="N8" s="10" t="s">
        <v>136</v>
      </c>
      <c r="O8" s="10" t="s">
        <v>230</v>
      </c>
      <c r="P8" s="10" t="s">
        <v>50</v>
      </c>
      <c r="Q8" s="10" t="s">
        <v>140</v>
      </c>
      <c r="R8" s="10" t="s">
        <v>136</v>
      </c>
      <c r="S8" s="11"/>
      <c r="T8" s="11"/>
    </row>
    <row r="9">
      <c r="A9" s="10" t="s">
        <v>233</v>
      </c>
      <c r="B9" s="10" t="s">
        <v>211</v>
      </c>
      <c r="C9" s="10" t="s">
        <v>235</v>
      </c>
      <c r="D9" s="10" t="s">
        <v>236</v>
      </c>
      <c r="E9" s="10" t="s">
        <v>237</v>
      </c>
      <c r="F9" s="10" t="s">
        <v>238</v>
      </c>
      <c r="G9" s="10" t="s">
        <v>240</v>
      </c>
      <c r="H9" s="10" t="s">
        <v>242</v>
      </c>
      <c r="I9" s="10" t="s">
        <v>105</v>
      </c>
      <c r="J9" s="10" t="s">
        <v>244</v>
      </c>
      <c r="K9" s="10" t="s">
        <v>254</v>
      </c>
      <c r="L9" s="10" t="s">
        <v>255</v>
      </c>
      <c r="M9" s="10" t="s">
        <v>134</v>
      </c>
      <c r="N9" s="10" t="s">
        <v>136</v>
      </c>
      <c r="O9" s="10" t="s">
        <v>256</v>
      </c>
      <c r="P9" s="10" t="s">
        <v>50</v>
      </c>
      <c r="Q9" s="10" t="s">
        <v>140</v>
      </c>
      <c r="R9" s="10" t="s">
        <v>136</v>
      </c>
      <c r="S9" s="11"/>
      <c r="T9" s="11"/>
    </row>
    <row r="10">
      <c r="A10" s="10" t="s">
        <v>258</v>
      </c>
      <c r="B10" s="10" t="s">
        <v>211</v>
      </c>
      <c r="C10" s="10" t="s">
        <v>259</v>
      </c>
      <c r="D10" s="10" t="s">
        <v>260</v>
      </c>
      <c r="E10" s="10" t="s">
        <v>262</v>
      </c>
      <c r="F10" s="10" t="s">
        <v>238</v>
      </c>
      <c r="G10" s="10" t="s">
        <v>263</v>
      </c>
      <c r="H10" s="10" t="s">
        <v>264</v>
      </c>
      <c r="I10" s="10" t="s">
        <v>105</v>
      </c>
      <c r="J10" s="10" t="s">
        <v>267</v>
      </c>
      <c r="K10" s="10" t="s">
        <v>269</v>
      </c>
      <c r="L10" s="10" t="s">
        <v>270</v>
      </c>
      <c r="M10" s="10" t="s">
        <v>134</v>
      </c>
      <c r="N10" s="10" t="s">
        <v>136</v>
      </c>
      <c r="O10" s="10" t="s">
        <v>230</v>
      </c>
      <c r="P10" s="10" t="s">
        <v>50</v>
      </c>
      <c r="Q10" s="10" t="s">
        <v>140</v>
      </c>
      <c r="R10" s="10" t="s">
        <v>136</v>
      </c>
      <c r="S10" s="11"/>
      <c r="T10" s="11"/>
    </row>
    <row r="11">
      <c r="A11" s="10" t="s">
        <v>273</v>
      </c>
      <c r="B11" s="10" t="s">
        <v>120</v>
      </c>
      <c r="C11" s="10" t="s">
        <v>274</v>
      </c>
      <c r="D11" s="10" t="s">
        <v>275</v>
      </c>
      <c r="E11" s="10" t="s">
        <v>276</v>
      </c>
      <c r="F11" s="10" t="s">
        <v>98</v>
      </c>
      <c r="G11" s="10" t="s">
        <v>218</v>
      </c>
      <c r="H11" s="10" t="s">
        <v>278</v>
      </c>
      <c r="I11" s="10" t="s">
        <v>105</v>
      </c>
      <c r="J11" s="10" t="s">
        <v>279</v>
      </c>
      <c r="K11" s="10" t="s">
        <v>281</v>
      </c>
      <c r="L11" s="10" t="s">
        <v>283</v>
      </c>
      <c r="M11" s="10" t="s">
        <v>134</v>
      </c>
      <c r="N11" s="10" t="s">
        <v>136</v>
      </c>
      <c r="O11" s="10" t="s">
        <v>284</v>
      </c>
      <c r="P11" s="10" t="s">
        <v>50</v>
      </c>
      <c r="Q11" s="10" t="s">
        <v>140</v>
      </c>
      <c r="R11" s="10" t="s">
        <v>136</v>
      </c>
      <c r="S11" s="11"/>
      <c r="T11" s="11"/>
    </row>
    <row r="12">
      <c r="A12" s="10" t="s">
        <v>286</v>
      </c>
      <c r="B12" s="10" t="s">
        <v>120</v>
      </c>
      <c r="C12" s="10" t="s">
        <v>287</v>
      </c>
      <c r="D12" s="10" t="s">
        <v>288</v>
      </c>
      <c r="E12" s="10" t="s">
        <v>289</v>
      </c>
      <c r="F12" s="10" t="s">
        <v>98</v>
      </c>
      <c r="G12" s="10" t="s">
        <v>195</v>
      </c>
      <c r="H12" s="10" t="s">
        <v>290</v>
      </c>
      <c r="I12" s="10" t="s">
        <v>105</v>
      </c>
      <c r="J12" s="10" t="s">
        <v>291</v>
      </c>
      <c r="K12" s="10" t="s">
        <v>294</v>
      </c>
      <c r="L12" s="10" t="s">
        <v>295</v>
      </c>
      <c r="M12" s="10" t="s">
        <v>134</v>
      </c>
      <c r="N12" s="10" t="s">
        <v>136</v>
      </c>
      <c r="O12" s="10" t="s">
        <v>284</v>
      </c>
      <c r="P12" s="10" t="s">
        <v>50</v>
      </c>
      <c r="Q12" s="10" t="s">
        <v>140</v>
      </c>
      <c r="R12" s="10" t="s">
        <v>136</v>
      </c>
      <c r="S12" s="11"/>
      <c r="T12" s="11"/>
    </row>
    <row r="13">
      <c r="A13" s="10" t="s">
        <v>297</v>
      </c>
      <c r="B13" s="10" t="s">
        <v>120</v>
      </c>
      <c r="C13" s="10" t="s">
        <v>298</v>
      </c>
      <c r="D13" s="10" t="s">
        <v>300</v>
      </c>
      <c r="E13" s="10" t="s">
        <v>301</v>
      </c>
      <c r="F13" s="10" t="s">
        <v>98</v>
      </c>
      <c r="G13" s="10" t="s">
        <v>161</v>
      </c>
      <c r="H13" s="10" t="s">
        <v>302</v>
      </c>
      <c r="I13" s="10" t="s">
        <v>105</v>
      </c>
      <c r="J13" s="10" t="s">
        <v>244</v>
      </c>
      <c r="K13" s="10" t="s">
        <v>254</v>
      </c>
      <c r="L13" s="10" t="s">
        <v>305</v>
      </c>
      <c r="M13" s="10" t="s">
        <v>134</v>
      </c>
      <c r="N13" s="10" t="s">
        <v>136</v>
      </c>
      <c r="O13" s="10" t="s">
        <v>284</v>
      </c>
      <c r="P13" s="10" t="s">
        <v>50</v>
      </c>
      <c r="Q13" s="10" t="s">
        <v>140</v>
      </c>
      <c r="R13" s="10" t="s">
        <v>136</v>
      </c>
      <c r="S13" s="11"/>
      <c r="T13" s="11"/>
    </row>
    <row r="14">
      <c r="A14" s="10" t="s">
        <v>308</v>
      </c>
      <c r="B14" s="10" t="s">
        <v>120</v>
      </c>
      <c r="C14" s="10" t="s">
        <v>310</v>
      </c>
      <c r="D14" s="10" t="s">
        <v>311</v>
      </c>
      <c r="E14" s="10" t="s">
        <v>312</v>
      </c>
      <c r="F14" s="10" t="s">
        <v>98</v>
      </c>
      <c r="G14" s="10" t="s">
        <v>313</v>
      </c>
      <c r="H14" s="10" t="s">
        <v>314</v>
      </c>
      <c r="I14" s="10" t="s">
        <v>105</v>
      </c>
      <c r="J14" s="10" t="s">
        <v>244</v>
      </c>
      <c r="K14" s="10" t="s">
        <v>254</v>
      </c>
      <c r="L14" s="10" t="s">
        <v>317</v>
      </c>
      <c r="M14" s="10" t="s">
        <v>134</v>
      </c>
      <c r="N14" s="10" t="s">
        <v>136</v>
      </c>
      <c r="O14" s="10" t="s">
        <v>284</v>
      </c>
      <c r="P14" s="10" t="s">
        <v>50</v>
      </c>
      <c r="Q14" s="10" t="s">
        <v>140</v>
      </c>
      <c r="R14" s="10" t="s">
        <v>136</v>
      </c>
      <c r="S14" s="11"/>
      <c r="T14" s="11"/>
    </row>
    <row r="15">
      <c r="A15" s="10" t="s">
        <v>320</v>
      </c>
      <c r="B15" s="10" t="s">
        <v>120</v>
      </c>
      <c r="C15" s="10" t="s">
        <v>321</v>
      </c>
      <c r="D15" s="10" t="s">
        <v>323</v>
      </c>
      <c r="E15" s="10" t="s">
        <v>324</v>
      </c>
      <c r="F15" s="10" t="s">
        <v>110</v>
      </c>
      <c r="G15" s="10" t="s">
        <v>161</v>
      </c>
      <c r="H15" s="10" t="s">
        <v>326</v>
      </c>
      <c r="I15" s="10" t="s">
        <v>105</v>
      </c>
      <c r="J15" s="10" t="s">
        <v>291</v>
      </c>
      <c r="K15" s="10" t="s">
        <v>294</v>
      </c>
      <c r="L15" s="10" t="s">
        <v>329</v>
      </c>
      <c r="M15" s="10" t="s">
        <v>134</v>
      </c>
      <c r="N15" s="10" t="s">
        <v>136</v>
      </c>
      <c r="O15" s="10" t="s">
        <v>331</v>
      </c>
      <c r="P15" s="10" t="s">
        <v>50</v>
      </c>
      <c r="Q15" s="10" t="s">
        <v>140</v>
      </c>
      <c r="R15" s="10" t="s">
        <v>136</v>
      </c>
      <c r="S15" s="11"/>
      <c r="T15" s="11"/>
    </row>
    <row r="16">
      <c r="A16" s="10" t="s">
        <v>333</v>
      </c>
      <c r="B16" s="10" t="s">
        <v>335</v>
      </c>
      <c r="C16" s="10" t="s">
        <v>336</v>
      </c>
      <c r="D16" s="10" t="s">
        <v>337</v>
      </c>
      <c r="E16" s="10" t="s">
        <v>339</v>
      </c>
      <c r="F16" s="10" t="s">
        <v>117</v>
      </c>
      <c r="G16" s="10" t="s">
        <v>101</v>
      </c>
      <c r="H16" s="10" t="s">
        <v>340</v>
      </c>
      <c r="I16" s="10" t="s">
        <v>214</v>
      </c>
      <c r="J16" s="10" t="s">
        <v>341</v>
      </c>
      <c r="K16" s="10" t="s">
        <v>344</v>
      </c>
      <c r="L16" s="10" t="s">
        <v>345</v>
      </c>
      <c r="M16" s="10" t="s">
        <v>134</v>
      </c>
      <c r="N16" s="10" t="s">
        <v>136</v>
      </c>
      <c r="O16" s="10" t="s">
        <v>347</v>
      </c>
      <c r="P16" s="10" t="s">
        <v>50</v>
      </c>
      <c r="Q16" s="10" t="s">
        <v>140</v>
      </c>
      <c r="R16" s="10" t="s">
        <v>136</v>
      </c>
      <c r="S16" s="11"/>
      <c r="T16" s="11" t="s">
        <v>349</v>
      </c>
    </row>
    <row r="17">
      <c r="A17" s="10" t="s">
        <v>350</v>
      </c>
      <c r="B17" s="10" t="s">
        <v>335</v>
      </c>
      <c r="C17" s="10" t="s">
        <v>352</v>
      </c>
      <c r="D17" s="10" t="s">
        <v>354</v>
      </c>
      <c r="E17" s="10" t="s">
        <v>355</v>
      </c>
      <c r="F17" s="10" t="s">
        <v>117</v>
      </c>
      <c r="G17" s="10" t="s">
        <v>195</v>
      </c>
      <c r="H17" s="10" t="s">
        <v>357</v>
      </c>
      <c r="I17" s="10" t="s">
        <v>105</v>
      </c>
      <c r="J17" s="10" t="s">
        <v>358</v>
      </c>
      <c r="K17" s="10" t="s">
        <v>360</v>
      </c>
      <c r="L17" s="10" t="s">
        <v>361</v>
      </c>
      <c r="M17" s="10" t="s">
        <v>134</v>
      </c>
      <c r="N17" s="10" t="s">
        <v>136</v>
      </c>
      <c r="O17" s="10" t="s">
        <v>347</v>
      </c>
      <c r="P17" s="10" t="s">
        <v>50</v>
      </c>
      <c r="Q17" s="10" t="s">
        <v>140</v>
      </c>
      <c r="R17" s="10" t="s">
        <v>136</v>
      </c>
      <c r="S17" s="11"/>
      <c r="T17" s="11" t="s">
        <v>362</v>
      </c>
    </row>
    <row r="18">
      <c r="A18" s="10" t="s">
        <v>363</v>
      </c>
      <c r="B18" s="10" t="s">
        <v>335</v>
      </c>
      <c r="C18" s="10" t="s">
        <v>364</v>
      </c>
      <c r="D18" s="10" t="s">
        <v>365</v>
      </c>
      <c r="E18" s="10" t="s">
        <v>366</v>
      </c>
      <c r="F18" s="10" t="s">
        <v>367</v>
      </c>
      <c r="G18" s="10" t="s">
        <v>195</v>
      </c>
      <c r="H18" s="10" t="s">
        <v>368</v>
      </c>
      <c r="I18" s="10" t="s">
        <v>105</v>
      </c>
      <c r="J18" s="10" t="s">
        <v>358</v>
      </c>
      <c r="K18" s="10" t="s">
        <v>360</v>
      </c>
      <c r="L18" s="10" t="s">
        <v>369</v>
      </c>
      <c r="M18" s="10" t="s">
        <v>134</v>
      </c>
      <c r="N18" s="10" t="s">
        <v>136</v>
      </c>
      <c r="O18" s="10" t="s">
        <v>331</v>
      </c>
      <c r="P18" s="10" t="s">
        <v>50</v>
      </c>
      <c r="Q18" s="10" t="s">
        <v>140</v>
      </c>
      <c r="R18" s="10" t="s">
        <v>136</v>
      </c>
      <c r="S18" s="11"/>
      <c r="T18" s="11"/>
    </row>
    <row r="19">
      <c r="A19" s="10" t="s">
        <v>372</v>
      </c>
      <c r="B19" s="10" t="s">
        <v>335</v>
      </c>
      <c r="C19" s="10" t="s">
        <v>266</v>
      </c>
      <c r="D19" s="10" t="s">
        <v>373</v>
      </c>
      <c r="E19" s="10" t="s">
        <v>374</v>
      </c>
      <c r="F19" s="10" t="s">
        <v>124</v>
      </c>
      <c r="G19" s="10" t="s">
        <v>161</v>
      </c>
      <c r="H19" s="10" t="s">
        <v>376</v>
      </c>
      <c r="I19" s="10" t="s">
        <v>105</v>
      </c>
      <c r="J19" s="10" t="s">
        <v>377</v>
      </c>
      <c r="K19" s="10" t="s">
        <v>380</v>
      </c>
      <c r="L19" s="10" t="s">
        <v>381</v>
      </c>
      <c r="M19" s="10" t="s">
        <v>134</v>
      </c>
      <c r="N19" s="10" t="s">
        <v>136</v>
      </c>
      <c r="O19" s="10" t="s">
        <v>347</v>
      </c>
      <c r="P19" s="10" t="s">
        <v>50</v>
      </c>
      <c r="Q19" s="10" t="s">
        <v>140</v>
      </c>
      <c r="R19" s="10" t="s">
        <v>136</v>
      </c>
      <c r="S19" s="11"/>
      <c r="T19" s="11"/>
    </row>
    <row r="20">
      <c r="A20" s="10" t="s">
        <v>385</v>
      </c>
      <c r="B20" s="10" t="s">
        <v>335</v>
      </c>
      <c r="C20" s="10" t="s">
        <v>386</v>
      </c>
      <c r="D20" s="10" t="s">
        <v>387</v>
      </c>
      <c r="E20" s="10" t="s">
        <v>389</v>
      </c>
      <c r="F20" s="10" t="s">
        <v>390</v>
      </c>
      <c r="G20" s="10" t="s">
        <v>195</v>
      </c>
      <c r="H20" s="10" t="s">
        <v>392</v>
      </c>
      <c r="I20" s="10" t="s">
        <v>105</v>
      </c>
      <c r="J20" s="10" t="s">
        <v>377</v>
      </c>
      <c r="K20" s="10" t="s">
        <v>380</v>
      </c>
      <c r="L20" s="10" t="s">
        <v>395</v>
      </c>
      <c r="M20" s="10" t="s">
        <v>134</v>
      </c>
      <c r="N20" s="10" t="s">
        <v>136</v>
      </c>
      <c r="O20" s="10" t="s">
        <v>347</v>
      </c>
      <c r="P20" s="10" t="s">
        <v>50</v>
      </c>
      <c r="Q20" s="10" t="s">
        <v>140</v>
      </c>
      <c r="R20" s="10" t="s">
        <v>136</v>
      </c>
      <c r="S20" s="11"/>
      <c r="T20" s="11" t="s">
        <v>362</v>
      </c>
    </row>
    <row r="21">
      <c r="A21" s="10" t="s">
        <v>398</v>
      </c>
      <c r="B21" s="10" t="s">
        <v>335</v>
      </c>
      <c r="C21" s="10" t="s">
        <v>400</v>
      </c>
      <c r="D21" s="10" t="s">
        <v>401</v>
      </c>
      <c r="E21" s="10" t="s">
        <v>403</v>
      </c>
      <c r="F21" s="10" t="s">
        <v>404</v>
      </c>
      <c r="G21" s="10" t="s">
        <v>161</v>
      </c>
      <c r="H21" s="10" t="s">
        <v>406</v>
      </c>
      <c r="I21" s="10" t="s">
        <v>105</v>
      </c>
      <c r="J21" s="10" t="s">
        <v>358</v>
      </c>
      <c r="K21" s="10" t="s">
        <v>360</v>
      </c>
      <c r="L21" s="10" t="s">
        <v>408</v>
      </c>
      <c r="M21" s="10" t="s">
        <v>134</v>
      </c>
      <c r="N21" s="10" t="s">
        <v>136</v>
      </c>
      <c r="O21" s="10" t="s">
        <v>331</v>
      </c>
      <c r="P21" s="10" t="s">
        <v>50</v>
      </c>
      <c r="Q21" s="10" t="s">
        <v>140</v>
      </c>
      <c r="R21" s="10" t="s">
        <v>136</v>
      </c>
      <c r="S21" s="11"/>
      <c r="T21" s="11"/>
    </row>
    <row r="22">
      <c r="A22" s="10" t="s">
        <v>411</v>
      </c>
      <c r="B22" s="10" t="s">
        <v>307</v>
      </c>
      <c r="C22" s="10" t="s">
        <v>412</v>
      </c>
      <c r="D22" s="10" t="s">
        <v>414</v>
      </c>
      <c r="E22" s="10" t="s">
        <v>415</v>
      </c>
      <c r="F22" s="10" t="s">
        <v>130</v>
      </c>
      <c r="G22" s="10" t="s">
        <v>161</v>
      </c>
      <c r="H22" s="10" t="s">
        <v>418</v>
      </c>
      <c r="I22" s="10" t="s">
        <v>105</v>
      </c>
      <c r="J22" s="10" t="s">
        <v>420</v>
      </c>
      <c r="K22" s="10" t="s">
        <v>423</v>
      </c>
      <c r="L22" s="10" t="s">
        <v>425</v>
      </c>
      <c r="M22" s="10" t="s">
        <v>134</v>
      </c>
      <c r="N22" s="10" t="s">
        <v>136</v>
      </c>
      <c r="O22" s="10" t="s">
        <v>426</v>
      </c>
      <c r="P22" s="10" t="s">
        <v>50</v>
      </c>
      <c r="Q22" s="10" t="s">
        <v>140</v>
      </c>
      <c r="R22" s="10" t="s">
        <v>136</v>
      </c>
      <c r="S22" s="11"/>
      <c r="T22" s="11"/>
    </row>
    <row r="23">
      <c r="A23" s="10" t="s">
        <v>429</v>
      </c>
      <c r="B23" s="10" t="s">
        <v>307</v>
      </c>
      <c r="C23" s="10" t="s">
        <v>431</v>
      </c>
      <c r="D23" s="10" t="s">
        <v>432</v>
      </c>
      <c r="E23" s="10" t="s">
        <v>433</v>
      </c>
      <c r="F23" s="10" t="s">
        <v>434</v>
      </c>
      <c r="G23" s="10" t="s">
        <v>161</v>
      </c>
      <c r="H23" s="10" t="s">
        <v>435</v>
      </c>
      <c r="I23" s="10" t="s">
        <v>105</v>
      </c>
      <c r="J23" s="10" t="s">
        <v>244</v>
      </c>
      <c r="K23" s="10" t="s">
        <v>254</v>
      </c>
      <c r="L23" s="10" t="s">
        <v>439</v>
      </c>
      <c r="M23" s="10" t="s">
        <v>134</v>
      </c>
      <c r="N23" s="10" t="s">
        <v>136</v>
      </c>
      <c r="O23" s="10" t="s">
        <v>440</v>
      </c>
      <c r="P23" s="10" t="s">
        <v>50</v>
      </c>
      <c r="Q23" s="10" t="s">
        <v>140</v>
      </c>
      <c r="R23" s="10" t="s">
        <v>136</v>
      </c>
      <c r="S23" s="11"/>
      <c r="T23" s="11"/>
    </row>
    <row r="24">
      <c r="A24" s="10" t="s">
        <v>443</v>
      </c>
      <c r="B24" s="10" t="s">
        <v>307</v>
      </c>
      <c r="C24" s="10" t="s">
        <v>444</v>
      </c>
      <c r="D24" s="10" t="s">
        <v>446</v>
      </c>
      <c r="E24" s="10" t="s">
        <v>447</v>
      </c>
      <c r="F24" s="10" t="s">
        <v>139</v>
      </c>
      <c r="G24" s="10" t="s">
        <v>161</v>
      </c>
      <c r="H24" s="10" t="s">
        <v>448</v>
      </c>
      <c r="I24" s="10" t="s">
        <v>105</v>
      </c>
      <c r="J24" s="10" t="s">
        <v>291</v>
      </c>
      <c r="K24" s="10" t="s">
        <v>294</v>
      </c>
      <c r="L24" s="10" t="s">
        <v>453</v>
      </c>
      <c r="M24" s="10" t="s">
        <v>134</v>
      </c>
      <c r="N24" s="10" t="s">
        <v>136</v>
      </c>
      <c r="O24" s="10" t="s">
        <v>454</v>
      </c>
      <c r="P24" s="10" t="s">
        <v>50</v>
      </c>
      <c r="Q24" s="10" t="s">
        <v>140</v>
      </c>
      <c r="R24" s="10" t="s">
        <v>136</v>
      </c>
      <c r="S24" s="11"/>
      <c r="T24" s="11"/>
    </row>
    <row r="25">
      <c r="A25" s="10" t="s">
        <v>457</v>
      </c>
      <c r="B25" s="10" t="s">
        <v>307</v>
      </c>
      <c r="C25" s="10" t="s">
        <v>458</v>
      </c>
      <c r="D25" s="10" t="s">
        <v>460</v>
      </c>
      <c r="E25" s="10" t="s">
        <v>461</v>
      </c>
      <c r="F25" s="10" t="s">
        <v>139</v>
      </c>
      <c r="G25" s="10" t="s">
        <v>161</v>
      </c>
      <c r="H25" s="10" t="s">
        <v>462</v>
      </c>
      <c r="I25" s="10" t="s">
        <v>105</v>
      </c>
      <c r="J25" s="10" t="s">
        <v>244</v>
      </c>
      <c r="K25" s="10" t="s">
        <v>254</v>
      </c>
      <c r="L25" s="10" t="s">
        <v>466</v>
      </c>
      <c r="M25" s="10" t="s">
        <v>134</v>
      </c>
      <c r="N25" s="10" t="s">
        <v>136</v>
      </c>
      <c r="O25" s="10" t="s">
        <v>454</v>
      </c>
      <c r="P25" s="10" t="s">
        <v>50</v>
      </c>
      <c r="Q25" s="10" t="s">
        <v>140</v>
      </c>
      <c r="R25" s="10" t="s">
        <v>136</v>
      </c>
      <c r="S25" s="11"/>
      <c r="T25" s="11"/>
    </row>
    <row r="26">
      <c r="A26" s="10" t="s">
        <v>469</v>
      </c>
      <c r="B26" s="10" t="s">
        <v>471</v>
      </c>
      <c r="C26" s="10" t="s">
        <v>472</v>
      </c>
      <c r="D26" s="10" t="s">
        <v>473</v>
      </c>
      <c r="E26" s="10" t="s">
        <v>475</v>
      </c>
      <c r="F26" s="10" t="s">
        <v>146</v>
      </c>
      <c r="G26" s="10" t="s">
        <v>263</v>
      </c>
      <c r="H26" s="10" t="s">
        <v>196</v>
      </c>
      <c r="I26" s="10" t="s">
        <v>105</v>
      </c>
      <c r="J26" s="10" t="s">
        <v>291</v>
      </c>
      <c r="K26" s="10" t="s">
        <v>294</v>
      </c>
      <c r="L26" s="10" t="s">
        <v>479</v>
      </c>
      <c r="M26" s="10" t="s">
        <v>134</v>
      </c>
      <c r="N26" s="10" t="s">
        <v>136</v>
      </c>
      <c r="O26" s="10" t="s">
        <v>480</v>
      </c>
      <c r="P26" s="10" t="s">
        <v>50</v>
      </c>
      <c r="Q26" s="10" t="s">
        <v>140</v>
      </c>
      <c r="R26" s="10" t="s">
        <v>136</v>
      </c>
      <c r="S26" s="11"/>
      <c r="T26" s="11"/>
    </row>
    <row r="27">
      <c r="A27" s="10" t="s">
        <v>484</v>
      </c>
      <c r="B27" s="10" t="s">
        <v>471</v>
      </c>
      <c r="C27" s="10" t="s">
        <v>486</v>
      </c>
      <c r="D27" s="10" t="s">
        <v>487</v>
      </c>
      <c r="E27" s="10" t="s">
        <v>488</v>
      </c>
      <c r="F27" s="10" t="s">
        <v>146</v>
      </c>
      <c r="G27" s="10" t="s">
        <v>161</v>
      </c>
      <c r="H27" s="10" t="s">
        <v>378</v>
      </c>
      <c r="I27" s="10" t="s">
        <v>105</v>
      </c>
      <c r="J27" s="10" t="s">
        <v>244</v>
      </c>
      <c r="K27" s="10" t="s">
        <v>254</v>
      </c>
      <c r="L27" s="10" t="s">
        <v>492</v>
      </c>
      <c r="M27" s="10" t="s">
        <v>134</v>
      </c>
      <c r="N27" s="10" t="s">
        <v>136</v>
      </c>
      <c r="O27" s="10" t="s">
        <v>480</v>
      </c>
      <c r="P27" s="10" t="s">
        <v>50</v>
      </c>
      <c r="Q27" s="10" t="s">
        <v>140</v>
      </c>
      <c r="R27" s="10" t="s">
        <v>136</v>
      </c>
      <c r="S27" s="11"/>
      <c r="T27" s="11"/>
    </row>
    <row r="28">
      <c r="A28" s="10" t="s">
        <v>495</v>
      </c>
      <c r="B28" s="10" t="s">
        <v>471</v>
      </c>
      <c r="C28" s="10" t="s">
        <v>497</v>
      </c>
      <c r="D28" s="10" t="s">
        <v>498</v>
      </c>
      <c r="E28" s="10" t="s">
        <v>499</v>
      </c>
      <c r="F28" s="10" t="s">
        <v>500</v>
      </c>
      <c r="G28" s="10" t="s">
        <v>161</v>
      </c>
      <c r="H28" s="10" t="s">
        <v>501</v>
      </c>
      <c r="I28" s="10" t="s">
        <v>105</v>
      </c>
      <c r="J28" s="10" t="s">
        <v>502</v>
      </c>
      <c r="K28" s="10" t="s">
        <v>506</v>
      </c>
      <c r="L28" s="10" t="s">
        <v>507</v>
      </c>
      <c r="M28" s="10" t="s">
        <v>134</v>
      </c>
      <c r="N28" s="10" t="s">
        <v>136</v>
      </c>
      <c r="O28" s="10" t="s">
        <v>510</v>
      </c>
      <c r="P28" s="10" t="s">
        <v>50</v>
      </c>
      <c r="Q28" s="10" t="s">
        <v>140</v>
      </c>
      <c r="R28" s="10" t="s">
        <v>136</v>
      </c>
      <c r="S28" s="11"/>
      <c r="T28" s="11"/>
    </row>
    <row r="29">
      <c r="A29" s="10" t="s">
        <v>512</v>
      </c>
      <c r="B29" s="10" t="s">
        <v>471</v>
      </c>
      <c r="C29" s="10" t="s">
        <v>513</v>
      </c>
      <c r="D29" s="10" t="s">
        <v>515</v>
      </c>
      <c r="E29" s="10" t="s">
        <v>516</v>
      </c>
      <c r="F29" s="10" t="s">
        <v>518</v>
      </c>
      <c r="G29" s="10" t="s">
        <v>161</v>
      </c>
      <c r="H29" s="10" t="s">
        <v>396</v>
      </c>
      <c r="I29" s="10" t="s">
        <v>105</v>
      </c>
      <c r="J29" s="10" t="s">
        <v>358</v>
      </c>
      <c r="K29" s="10" t="s">
        <v>360</v>
      </c>
      <c r="L29" s="10" t="s">
        <v>522</v>
      </c>
      <c r="M29" s="10" t="s">
        <v>134</v>
      </c>
      <c r="N29" s="10" t="s">
        <v>136</v>
      </c>
      <c r="O29" s="10" t="s">
        <v>480</v>
      </c>
      <c r="P29" s="10" t="s">
        <v>50</v>
      </c>
      <c r="Q29" s="10" t="s">
        <v>140</v>
      </c>
      <c r="R29" s="10" t="s">
        <v>136</v>
      </c>
      <c r="S29" s="11"/>
      <c r="T29" s="11"/>
    </row>
    <row r="30">
      <c r="A30" s="10" t="s">
        <v>525</v>
      </c>
      <c r="B30" s="10" t="s">
        <v>471</v>
      </c>
      <c r="C30" s="10" t="s">
        <v>527</v>
      </c>
      <c r="D30" s="10" t="s">
        <v>528</v>
      </c>
      <c r="E30" s="10" t="s">
        <v>529</v>
      </c>
      <c r="F30" s="10" t="s">
        <v>518</v>
      </c>
      <c r="G30" s="10" t="s">
        <v>161</v>
      </c>
      <c r="H30" s="10" t="s">
        <v>409</v>
      </c>
      <c r="I30" s="10" t="s">
        <v>105</v>
      </c>
      <c r="J30" s="10" t="s">
        <v>358</v>
      </c>
      <c r="K30" s="10" t="s">
        <v>360</v>
      </c>
      <c r="L30" s="10" t="s">
        <v>532</v>
      </c>
      <c r="M30" s="10" t="s">
        <v>134</v>
      </c>
      <c r="N30" s="10" t="s">
        <v>136</v>
      </c>
      <c r="O30" s="10" t="s">
        <v>534</v>
      </c>
      <c r="P30" s="10" t="s">
        <v>50</v>
      </c>
      <c r="Q30" s="10" t="s">
        <v>140</v>
      </c>
      <c r="R30" s="10" t="s">
        <v>136</v>
      </c>
      <c r="S30" s="11"/>
      <c r="T30" s="11"/>
    </row>
    <row r="31">
      <c r="A31" s="10" t="s">
        <v>537</v>
      </c>
      <c r="B31" s="10" t="s">
        <v>417</v>
      </c>
      <c r="C31" s="10" t="s">
        <v>538</v>
      </c>
      <c r="D31" s="10" t="s">
        <v>539</v>
      </c>
      <c r="E31" s="10" t="s">
        <v>540</v>
      </c>
      <c r="F31" s="10" t="s">
        <v>152</v>
      </c>
      <c r="G31" s="10" t="s">
        <v>263</v>
      </c>
      <c r="H31" s="10" t="s">
        <v>541</v>
      </c>
      <c r="I31" s="10" t="s">
        <v>105</v>
      </c>
      <c r="J31" s="10" t="s">
        <v>291</v>
      </c>
      <c r="K31" s="10" t="s">
        <v>294</v>
      </c>
      <c r="L31" s="10" t="s">
        <v>545</v>
      </c>
      <c r="M31" s="10" t="s">
        <v>134</v>
      </c>
      <c r="N31" s="10" t="s">
        <v>136</v>
      </c>
      <c r="O31" s="10" t="s">
        <v>548</v>
      </c>
      <c r="P31" s="10" t="s">
        <v>50</v>
      </c>
      <c r="Q31" s="10" t="s">
        <v>140</v>
      </c>
      <c r="R31" s="10" t="s">
        <v>136</v>
      </c>
      <c r="S31" s="11"/>
      <c r="T31" s="11"/>
    </row>
    <row r="32">
      <c r="A32" s="10" t="s">
        <v>550</v>
      </c>
      <c r="B32" s="10" t="s">
        <v>417</v>
      </c>
      <c r="C32" s="10" t="s">
        <v>551</v>
      </c>
      <c r="D32" s="10" t="s">
        <v>553</v>
      </c>
      <c r="E32" s="10" t="s">
        <v>554</v>
      </c>
      <c r="F32" s="10" t="s">
        <v>152</v>
      </c>
      <c r="G32" s="10" t="s">
        <v>313</v>
      </c>
      <c r="H32" s="10" t="s">
        <v>437</v>
      </c>
      <c r="I32" s="10" t="s">
        <v>105</v>
      </c>
      <c r="J32" s="10" t="s">
        <v>244</v>
      </c>
      <c r="K32" s="10" t="s">
        <v>254</v>
      </c>
      <c r="L32" s="10" t="s">
        <v>558</v>
      </c>
      <c r="M32" s="10" t="s">
        <v>134</v>
      </c>
      <c r="N32" s="10" t="s">
        <v>136</v>
      </c>
      <c r="O32" s="10" t="s">
        <v>548</v>
      </c>
      <c r="P32" s="10" t="s">
        <v>50</v>
      </c>
      <c r="Q32" s="10" t="s">
        <v>140</v>
      </c>
      <c r="R32" s="10" t="s">
        <v>136</v>
      </c>
      <c r="S32" s="11"/>
      <c r="T32" s="11"/>
    </row>
    <row r="33">
      <c r="A33" s="10" t="s">
        <v>561</v>
      </c>
      <c r="B33" s="10" t="s">
        <v>417</v>
      </c>
      <c r="C33" s="10" t="s">
        <v>563</v>
      </c>
      <c r="D33" s="10" t="s">
        <v>564</v>
      </c>
      <c r="E33" s="10" t="s">
        <v>566</v>
      </c>
      <c r="F33" s="10" t="s">
        <v>152</v>
      </c>
      <c r="G33" s="10" t="s">
        <v>313</v>
      </c>
      <c r="H33" s="10" t="s">
        <v>442</v>
      </c>
      <c r="I33" s="10" t="s">
        <v>105</v>
      </c>
      <c r="J33" s="10" t="s">
        <v>244</v>
      </c>
      <c r="K33" s="10" t="s">
        <v>254</v>
      </c>
      <c r="L33" s="10" t="s">
        <v>569</v>
      </c>
      <c r="M33" s="10" t="s">
        <v>134</v>
      </c>
      <c r="N33" s="10" t="s">
        <v>136</v>
      </c>
      <c r="O33" s="10" t="s">
        <v>548</v>
      </c>
      <c r="P33" s="10" t="s">
        <v>50</v>
      </c>
      <c r="Q33" s="10" t="s">
        <v>140</v>
      </c>
      <c r="R33" s="10" t="s">
        <v>136</v>
      </c>
      <c r="S33" s="11"/>
      <c r="T33" s="11"/>
    </row>
    <row r="34">
      <c r="A34" s="10" t="s">
        <v>572</v>
      </c>
      <c r="B34" s="10" t="s">
        <v>573</v>
      </c>
      <c r="C34" s="10" t="s">
        <v>575</v>
      </c>
      <c r="D34" s="10" t="s">
        <v>576</v>
      </c>
      <c r="E34" s="10" t="s">
        <v>577</v>
      </c>
      <c r="F34" s="10" t="s">
        <v>162</v>
      </c>
      <c r="G34" s="10" t="s">
        <v>263</v>
      </c>
      <c r="H34" s="10" t="s">
        <v>580</v>
      </c>
      <c r="I34" s="10" t="s">
        <v>105</v>
      </c>
      <c r="J34" s="10" t="s">
        <v>291</v>
      </c>
      <c r="K34" s="10" t="s">
        <v>294</v>
      </c>
      <c r="L34" s="10" t="s">
        <v>585</v>
      </c>
      <c r="M34" s="10" t="s">
        <v>134</v>
      </c>
      <c r="N34" s="10" t="s">
        <v>136</v>
      </c>
      <c r="O34" s="10" t="s">
        <v>586</v>
      </c>
      <c r="P34" s="10" t="s">
        <v>50</v>
      </c>
      <c r="Q34" s="10" t="s">
        <v>140</v>
      </c>
      <c r="R34" s="10" t="s">
        <v>136</v>
      </c>
      <c r="S34" s="11"/>
      <c r="T34" s="11"/>
    </row>
    <row r="35">
      <c r="A35" s="10" t="s">
        <v>590</v>
      </c>
      <c r="B35" s="10" t="s">
        <v>573</v>
      </c>
      <c r="C35" s="10" t="s">
        <v>591</v>
      </c>
      <c r="D35" s="10" t="s">
        <v>592</v>
      </c>
      <c r="E35" s="10" t="s">
        <v>593</v>
      </c>
      <c r="F35" s="10" t="s">
        <v>162</v>
      </c>
      <c r="G35" s="10" t="s">
        <v>161</v>
      </c>
      <c r="H35" s="10" t="s">
        <v>594</v>
      </c>
      <c r="I35" s="10" t="s">
        <v>214</v>
      </c>
      <c r="J35" s="10" t="s">
        <v>244</v>
      </c>
      <c r="K35" s="10" t="s">
        <v>254</v>
      </c>
      <c r="L35" s="10" t="s">
        <v>595</v>
      </c>
      <c r="M35" s="10" t="s">
        <v>134</v>
      </c>
      <c r="N35" s="10" t="s">
        <v>136</v>
      </c>
      <c r="O35" s="10" t="s">
        <v>586</v>
      </c>
      <c r="P35" s="10" t="s">
        <v>50</v>
      </c>
      <c r="Q35" s="10" t="s">
        <v>140</v>
      </c>
      <c r="R35" s="10" t="s">
        <v>136</v>
      </c>
      <c r="S35" s="11"/>
      <c r="T35" s="11" t="s">
        <v>597</v>
      </c>
    </row>
    <row r="36">
      <c r="A36" s="10" t="s">
        <v>598</v>
      </c>
      <c r="B36" s="10" t="s">
        <v>573</v>
      </c>
      <c r="C36" s="10" t="s">
        <v>600</v>
      </c>
      <c r="D36" s="10" t="s">
        <v>601</v>
      </c>
      <c r="E36" s="10" t="s">
        <v>603</v>
      </c>
      <c r="F36" s="10" t="s">
        <v>162</v>
      </c>
      <c r="G36" s="10" t="s">
        <v>240</v>
      </c>
      <c r="H36" s="10" t="s">
        <v>605</v>
      </c>
      <c r="I36" s="10" t="s">
        <v>105</v>
      </c>
      <c r="J36" s="10" t="s">
        <v>244</v>
      </c>
      <c r="K36" s="10" t="s">
        <v>254</v>
      </c>
      <c r="L36" s="10" t="s">
        <v>609</v>
      </c>
      <c r="M36" s="10" t="s">
        <v>134</v>
      </c>
      <c r="N36" s="10" t="s">
        <v>136</v>
      </c>
      <c r="O36" s="10" t="s">
        <v>586</v>
      </c>
      <c r="P36" s="10" t="s">
        <v>50</v>
      </c>
      <c r="Q36" s="10" t="s">
        <v>140</v>
      </c>
      <c r="R36" s="10" t="s">
        <v>136</v>
      </c>
      <c r="S36" s="11"/>
      <c r="T36" s="11"/>
    </row>
    <row r="37">
      <c r="A37" s="10" t="s">
        <v>612</v>
      </c>
      <c r="B37" s="10" t="s">
        <v>573</v>
      </c>
      <c r="C37" s="10" t="s">
        <v>614</v>
      </c>
      <c r="D37" s="10" t="s">
        <v>615</v>
      </c>
      <c r="E37" s="10" t="s">
        <v>617</v>
      </c>
      <c r="F37" s="10" t="s">
        <v>618</v>
      </c>
      <c r="G37" s="10" t="s">
        <v>161</v>
      </c>
      <c r="H37" s="10" t="s">
        <v>477</v>
      </c>
      <c r="I37" s="10" t="s">
        <v>105</v>
      </c>
      <c r="J37" s="10" t="s">
        <v>358</v>
      </c>
      <c r="K37" s="10" t="s">
        <v>360</v>
      </c>
      <c r="L37" s="10" t="s">
        <v>621</v>
      </c>
      <c r="M37" s="10" t="s">
        <v>134</v>
      </c>
      <c r="N37" s="10" t="s">
        <v>136</v>
      </c>
      <c r="O37" s="10" t="s">
        <v>624</v>
      </c>
      <c r="P37" s="10" t="s">
        <v>50</v>
      </c>
      <c r="Q37" s="10" t="s">
        <v>140</v>
      </c>
      <c r="R37" s="10" t="s">
        <v>136</v>
      </c>
      <c r="S37" s="11"/>
      <c r="T37" s="11"/>
    </row>
    <row r="38">
      <c r="A38" s="10" t="s">
        <v>626</v>
      </c>
      <c r="B38" s="10" t="s">
        <v>519</v>
      </c>
      <c r="C38" s="10" t="s">
        <v>627</v>
      </c>
      <c r="D38" s="10" t="s">
        <v>629</v>
      </c>
      <c r="E38" s="10" t="s">
        <v>630</v>
      </c>
      <c r="F38" s="10" t="s">
        <v>181</v>
      </c>
      <c r="G38" s="10" t="s">
        <v>161</v>
      </c>
      <c r="H38" s="10" t="s">
        <v>632</v>
      </c>
      <c r="I38" s="10" t="s">
        <v>105</v>
      </c>
      <c r="J38" s="10" t="s">
        <v>358</v>
      </c>
      <c r="K38" s="10" t="s">
        <v>360</v>
      </c>
      <c r="L38" s="10" t="s">
        <v>637</v>
      </c>
      <c r="M38" s="10" t="s">
        <v>134</v>
      </c>
      <c r="N38" s="10" t="s">
        <v>136</v>
      </c>
      <c r="O38" s="10" t="s">
        <v>177</v>
      </c>
      <c r="P38" s="10" t="s">
        <v>50</v>
      </c>
      <c r="Q38" s="10" t="s">
        <v>140</v>
      </c>
      <c r="R38" s="10" t="s">
        <v>136</v>
      </c>
      <c r="S38" s="11"/>
      <c r="T38" s="11" t="s">
        <v>643</v>
      </c>
    </row>
    <row r="39">
      <c r="A39" s="10" t="s">
        <v>646</v>
      </c>
      <c r="B39" s="10" t="s">
        <v>519</v>
      </c>
      <c r="C39" s="10" t="s">
        <v>647</v>
      </c>
      <c r="D39" s="10" t="s">
        <v>648</v>
      </c>
      <c r="E39" s="10" t="s">
        <v>649</v>
      </c>
      <c r="F39" s="10" t="s">
        <v>181</v>
      </c>
      <c r="G39" s="10" t="s">
        <v>161</v>
      </c>
      <c r="H39" s="10" t="s">
        <v>651</v>
      </c>
      <c r="I39" s="10" t="s">
        <v>105</v>
      </c>
      <c r="J39" s="10" t="s">
        <v>358</v>
      </c>
      <c r="K39" s="10" t="s">
        <v>360</v>
      </c>
      <c r="L39" s="10" t="s">
        <v>654</v>
      </c>
      <c r="M39" s="10" t="s">
        <v>134</v>
      </c>
      <c r="N39" s="10" t="s">
        <v>136</v>
      </c>
      <c r="O39" s="10" t="s">
        <v>177</v>
      </c>
      <c r="P39" s="10" t="s">
        <v>50</v>
      </c>
      <c r="Q39" s="10" t="s">
        <v>140</v>
      </c>
      <c r="R39" s="10" t="s">
        <v>136</v>
      </c>
      <c r="S39" s="11"/>
      <c r="T39" s="11"/>
    </row>
    <row r="40">
      <c r="A40" s="10" t="s">
        <v>658</v>
      </c>
      <c r="B40" s="10" t="s">
        <v>519</v>
      </c>
      <c r="C40" s="10" t="s">
        <v>659</v>
      </c>
      <c r="D40" s="10" t="s">
        <v>660</v>
      </c>
      <c r="E40" s="10" t="s">
        <v>661</v>
      </c>
      <c r="F40" s="10" t="s">
        <v>662</v>
      </c>
      <c r="G40" s="10" t="s">
        <v>240</v>
      </c>
      <c r="H40" s="10" t="s">
        <v>530</v>
      </c>
      <c r="I40" s="10" t="s">
        <v>105</v>
      </c>
      <c r="J40" s="10" t="s">
        <v>358</v>
      </c>
      <c r="K40" s="10" t="s">
        <v>360</v>
      </c>
      <c r="L40" s="10" t="s">
        <v>666</v>
      </c>
      <c r="M40" s="10" t="s">
        <v>134</v>
      </c>
      <c r="N40" s="10" t="s">
        <v>136</v>
      </c>
      <c r="O40" s="10" t="s">
        <v>331</v>
      </c>
      <c r="P40" s="10" t="s">
        <v>50</v>
      </c>
      <c r="Q40" s="10" t="s">
        <v>140</v>
      </c>
      <c r="R40" s="10" t="s">
        <v>136</v>
      </c>
      <c r="S40" s="11"/>
      <c r="T40" s="11"/>
    </row>
    <row r="41">
      <c r="A41" s="10" t="s">
        <v>669</v>
      </c>
      <c r="B41" s="10" t="s">
        <v>519</v>
      </c>
      <c r="C41" s="10" t="s">
        <v>671</v>
      </c>
      <c r="D41" s="10" t="s">
        <v>672</v>
      </c>
      <c r="E41" s="10" t="s">
        <v>673</v>
      </c>
      <c r="F41" s="10" t="s">
        <v>674</v>
      </c>
      <c r="G41" s="10" t="s">
        <v>161</v>
      </c>
      <c r="H41" s="10" t="s">
        <v>535</v>
      </c>
      <c r="I41" s="10" t="s">
        <v>105</v>
      </c>
      <c r="J41" s="10" t="s">
        <v>358</v>
      </c>
      <c r="K41" s="10" t="s">
        <v>360</v>
      </c>
      <c r="L41" s="10" t="s">
        <v>678</v>
      </c>
      <c r="M41" s="10" t="s">
        <v>134</v>
      </c>
      <c r="N41" s="10" t="s">
        <v>136</v>
      </c>
      <c r="O41" s="10" t="s">
        <v>586</v>
      </c>
      <c r="P41" s="10" t="s">
        <v>50</v>
      </c>
      <c r="Q41" s="10" t="s">
        <v>140</v>
      </c>
      <c r="R41" s="10" t="s">
        <v>136</v>
      </c>
      <c r="S41" s="11"/>
      <c r="T41" s="11"/>
    </row>
    <row r="42">
      <c r="A42" s="10" t="s">
        <v>682</v>
      </c>
      <c r="B42" s="10" t="s">
        <v>684</v>
      </c>
      <c r="C42" s="10" t="s">
        <v>686</v>
      </c>
      <c r="D42" s="10" t="s">
        <v>688</v>
      </c>
      <c r="E42" s="10" t="s">
        <v>691</v>
      </c>
      <c r="F42" s="10" t="s">
        <v>194</v>
      </c>
      <c r="G42" s="10" t="s">
        <v>161</v>
      </c>
      <c r="H42" s="10" t="s">
        <v>692</v>
      </c>
      <c r="I42" s="10" t="s">
        <v>105</v>
      </c>
      <c r="J42" s="10" t="s">
        <v>377</v>
      </c>
      <c r="K42" s="10" t="s">
        <v>380</v>
      </c>
      <c r="L42" s="10" t="s">
        <v>695</v>
      </c>
      <c r="M42" s="10" t="s">
        <v>134</v>
      </c>
      <c r="N42" s="10" t="s">
        <v>136</v>
      </c>
      <c r="O42" s="10"/>
      <c r="P42" s="10"/>
      <c r="Q42" s="10" t="s">
        <v>697</v>
      </c>
      <c r="R42" s="10" t="s">
        <v>136</v>
      </c>
      <c r="S42" s="11"/>
      <c r="T42" s="11"/>
    </row>
    <row r="43">
      <c r="A43" s="10" t="s">
        <v>700</v>
      </c>
      <c r="B43" s="10" t="s">
        <v>702</v>
      </c>
      <c r="C43" s="10" t="s">
        <v>703</v>
      </c>
      <c r="D43" s="10" t="s">
        <v>704</v>
      </c>
      <c r="E43" s="10" t="s">
        <v>705</v>
      </c>
      <c r="F43" s="10" t="s">
        <v>207</v>
      </c>
      <c r="G43" s="10" t="s">
        <v>161</v>
      </c>
      <c r="H43" s="10" t="s">
        <v>706</v>
      </c>
      <c r="I43" s="10" t="s">
        <v>105</v>
      </c>
      <c r="J43" s="10" t="s">
        <v>377</v>
      </c>
      <c r="K43" s="10" t="s">
        <v>380</v>
      </c>
      <c r="L43" s="10" t="s">
        <v>709</v>
      </c>
      <c r="M43" s="10" t="s">
        <v>134</v>
      </c>
      <c r="N43" s="10" t="s">
        <v>136</v>
      </c>
      <c r="O43" s="10" t="s">
        <v>177</v>
      </c>
      <c r="P43" s="10" t="s">
        <v>50</v>
      </c>
      <c r="Q43" s="10" t="s">
        <v>140</v>
      </c>
      <c r="R43" s="10" t="s">
        <v>136</v>
      </c>
      <c r="S43" s="11"/>
      <c r="T43" s="11" t="s">
        <v>711</v>
      </c>
    </row>
    <row r="44">
      <c r="A44" s="10" t="s">
        <v>713</v>
      </c>
      <c r="B44" s="10" t="s">
        <v>702</v>
      </c>
      <c r="C44" s="10" t="s">
        <v>714</v>
      </c>
      <c r="D44" s="10" t="s">
        <v>715</v>
      </c>
      <c r="E44" s="10" t="s">
        <v>716</v>
      </c>
      <c r="F44" s="10" t="s">
        <v>207</v>
      </c>
      <c r="G44" s="10" t="s">
        <v>161</v>
      </c>
      <c r="H44" s="10" t="s">
        <v>717</v>
      </c>
      <c r="I44" s="10" t="s">
        <v>105</v>
      </c>
      <c r="J44" s="10" t="s">
        <v>377</v>
      </c>
      <c r="K44" s="10" t="s">
        <v>380</v>
      </c>
      <c r="L44" s="10" t="s">
        <v>718</v>
      </c>
      <c r="M44" s="10" t="s">
        <v>134</v>
      </c>
      <c r="N44" s="10" t="s">
        <v>136</v>
      </c>
      <c r="O44" s="10"/>
      <c r="P44" s="10"/>
      <c r="Q44" s="10" t="s">
        <v>697</v>
      </c>
      <c r="R44" s="10" t="s">
        <v>136</v>
      </c>
      <c r="S44" s="11"/>
      <c r="T44" s="11" t="s">
        <v>711</v>
      </c>
    </row>
    <row r="45">
      <c r="A45" s="10" t="s">
        <v>723</v>
      </c>
      <c r="B45" s="10" t="s">
        <v>702</v>
      </c>
      <c r="C45" s="10" t="s">
        <v>725</v>
      </c>
      <c r="D45" s="10" t="s">
        <v>726</v>
      </c>
      <c r="E45" s="10" t="s">
        <v>727</v>
      </c>
      <c r="F45" s="10" t="s">
        <v>728</v>
      </c>
      <c r="G45" s="10" t="s">
        <v>161</v>
      </c>
      <c r="H45" s="10" t="s">
        <v>729</v>
      </c>
      <c r="I45" s="10" t="s">
        <v>105</v>
      </c>
      <c r="J45" s="10" t="s">
        <v>341</v>
      </c>
      <c r="K45" s="10" t="s">
        <v>344</v>
      </c>
      <c r="L45" s="10" t="s">
        <v>730</v>
      </c>
      <c r="M45" s="10" t="s">
        <v>134</v>
      </c>
      <c r="N45" s="10" t="s">
        <v>136</v>
      </c>
      <c r="O45" s="10"/>
      <c r="P45" s="10"/>
      <c r="Q45" s="10" t="s">
        <v>697</v>
      </c>
      <c r="R45" s="10" t="s">
        <v>136</v>
      </c>
      <c r="S45" s="11"/>
      <c r="T45" s="11" t="s">
        <v>711</v>
      </c>
    </row>
    <row r="46">
      <c r="A46" s="10" t="s">
        <v>732</v>
      </c>
      <c r="B46" s="10" t="s">
        <v>733</v>
      </c>
      <c r="C46" s="10" t="s">
        <v>735</v>
      </c>
      <c r="D46" s="10" t="s">
        <v>736</v>
      </c>
      <c r="E46" s="10" t="s">
        <v>737</v>
      </c>
      <c r="F46" s="10" t="s">
        <v>207</v>
      </c>
      <c r="G46" s="10" t="s">
        <v>161</v>
      </c>
      <c r="H46" s="10" t="s">
        <v>739</v>
      </c>
      <c r="I46" s="10" t="s">
        <v>105</v>
      </c>
      <c r="J46" s="10" t="s">
        <v>377</v>
      </c>
      <c r="K46" s="10" t="s">
        <v>380</v>
      </c>
      <c r="L46" s="10" t="s">
        <v>741</v>
      </c>
      <c r="M46" s="10" t="s">
        <v>134</v>
      </c>
      <c r="N46" s="10" t="s">
        <v>136</v>
      </c>
      <c r="O46" s="10" t="s">
        <v>177</v>
      </c>
      <c r="P46" s="10" t="s">
        <v>50</v>
      </c>
      <c r="Q46" s="10" t="s">
        <v>140</v>
      </c>
      <c r="R46" s="10" t="s">
        <v>136</v>
      </c>
      <c r="S46" s="11"/>
      <c r="T46" s="11"/>
    </row>
    <row r="47">
      <c r="A47" s="10" t="s">
        <v>744</v>
      </c>
      <c r="B47" s="10" t="s">
        <v>733</v>
      </c>
      <c r="C47" s="10" t="s">
        <v>746</v>
      </c>
      <c r="D47" s="10" t="s">
        <v>748</v>
      </c>
      <c r="E47" s="10" t="s">
        <v>749</v>
      </c>
      <c r="F47" s="10" t="s">
        <v>207</v>
      </c>
      <c r="G47" s="10" t="s">
        <v>263</v>
      </c>
      <c r="H47" s="10" t="s">
        <v>613</v>
      </c>
      <c r="I47" s="10" t="s">
        <v>105</v>
      </c>
      <c r="J47" s="10" t="s">
        <v>267</v>
      </c>
      <c r="K47" s="10" t="s">
        <v>269</v>
      </c>
      <c r="L47" s="10" t="s">
        <v>750</v>
      </c>
      <c r="M47" s="10" t="s">
        <v>134</v>
      </c>
      <c r="N47" s="10" t="s">
        <v>136</v>
      </c>
      <c r="O47" s="10"/>
      <c r="P47" s="10"/>
      <c r="Q47" s="10" t="s">
        <v>697</v>
      </c>
      <c r="R47" s="10" t="s">
        <v>136</v>
      </c>
      <c r="S47" s="11"/>
      <c r="T47" s="11"/>
    </row>
    <row r="48">
      <c r="A48" s="10" t="s">
        <v>753</v>
      </c>
      <c r="B48" s="10" t="s">
        <v>733</v>
      </c>
      <c r="C48" s="10" t="s">
        <v>754</v>
      </c>
      <c r="D48" s="10" t="s">
        <v>756</v>
      </c>
      <c r="E48" s="10" t="s">
        <v>757</v>
      </c>
      <c r="F48" s="10" t="s">
        <v>758</v>
      </c>
      <c r="G48" s="10" t="s">
        <v>161</v>
      </c>
      <c r="H48" s="10" t="s">
        <v>622</v>
      </c>
      <c r="I48" s="10" t="s">
        <v>759</v>
      </c>
      <c r="J48" s="10" t="s">
        <v>267</v>
      </c>
      <c r="K48" s="10" t="s">
        <v>269</v>
      </c>
      <c r="L48" s="10" t="s">
        <v>760</v>
      </c>
      <c r="M48" s="10" t="s">
        <v>134</v>
      </c>
      <c r="N48" s="10" t="s">
        <v>136</v>
      </c>
      <c r="O48" s="10"/>
      <c r="P48" s="10"/>
      <c r="Q48" s="10" t="s">
        <v>697</v>
      </c>
      <c r="R48" s="10" t="s">
        <v>136</v>
      </c>
      <c r="S48" s="11"/>
      <c r="T48" s="11" t="s">
        <v>597</v>
      </c>
    </row>
    <row r="49">
      <c r="A49" s="10" t="s">
        <v>763</v>
      </c>
      <c r="B49" s="10" t="s">
        <v>765</v>
      </c>
      <c r="C49" s="10" t="s">
        <v>766</v>
      </c>
      <c r="D49" s="10" t="s">
        <v>768</v>
      </c>
      <c r="E49" s="10" t="s">
        <v>770</v>
      </c>
      <c r="F49" s="10" t="s">
        <v>222</v>
      </c>
      <c r="G49" s="10" t="s">
        <v>161</v>
      </c>
      <c r="H49" s="10" t="s">
        <v>771</v>
      </c>
      <c r="I49" s="10" t="s">
        <v>105</v>
      </c>
      <c r="J49" s="10" t="s">
        <v>772</v>
      </c>
      <c r="K49" s="10" t="s">
        <v>774</v>
      </c>
      <c r="L49" s="10" t="s">
        <v>775</v>
      </c>
      <c r="M49" s="10" t="s">
        <v>134</v>
      </c>
      <c r="N49" s="10" t="s">
        <v>136</v>
      </c>
      <c r="O49" s="10"/>
      <c r="P49" s="10"/>
      <c r="Q49" s="10" t="s">
        <v>697</v>
      </c>
      <c r="R49" s="10" t="s">
        <v>136</v>
      </c>
      <c r="S49" s="11"/>
      <c r="T49" s="11"/>
    </row>
    <row r="50">
      <c r="A50" s="10" t="s">
        <v>779</v>
      </c>
      <c r="B50" s="10" t="s">
        <v>765</v>
      </c>
      <c r="C50" s="10" t="s">
        <v>780</v>
      </c>
      <c r="D50" s="10" t="s">
        <v>781</v>
      </c>
      <c r="E50" s="10" t="s">
        <v>782</v>
      </c>
      <c r="F50" s="10" t="s">
        <v>222</v>
      </c>
      <c r="G50" s="10" t="s">
        <v>161</v>
      </c>
      <c r="H50" s="10" t="s">
        <v>783</v>
      </c>
      <c r="I50" s="10" t="s">
        <v>105</v>
      </c>
      <c r="J50" s="10" t="s">
        <v>377</v>
      </c>
      <c r="K50" s="10" t="s">
        <v>380</v>
      </c>
      <c r="L50" s="10" t="s">
        <v>787</v>
      </c>
      <c r="M50" s="10" t="s">
        <v>134</v>
      </c>
      <c r="N50" s="10" t="s">
        <v>136</v>
      </c>
      <c r="O50" s="10"/>
      <c r="P50" s="10"/>
      <c r="Q50" s="10" t="s">
        <v>697</v>
      </c>
      <c r="R50" s="10" t="s">
        <v>136</v>
      </c>
      <c r="S50" s="11"/>
      <c r="T50" s="11"/>
    </row>
    <row r="51">
      <c r="A51" s="10" t="s">
        <v>790</v>
      </c>
      <c r="B51" s="10" t="s">
        <v>765</v>
      </c>
      <c r="C51" s="10" t="s">
        <v>791</v>
      </c>
      <c r="D51" s="10" t="s">
        <v>792</v>
      </c>
      <c r="E51" s="10" t="s">
        <v>793</v>
      </c>
      <c r="F51" s="10" t="s">
        <v>794</v>
      </c>
      <c r="G51" s="10" t="s">
        <v>161</v>
      </c>
      <c r="H51" s="10" t="s">
        <v>795</v>
      </c>
      <c r="I51" s="10" t="s">
        <v>105</v>
      </c>
      <c r="J51" s="10" t="s">
        <v>377</v>
      </c>
      <c r="K51" s="10" t="s">
        <v>380</v>
      </c>
      <c r="L51" s="10" t="s">
        <v>799</v>
      </c>
      <c r="M51" s="10" t="s">
        <v>134</v>
      </c>
      <c r="N51" s="10" t="s">
        <v>136</v>
      </c>
      <c r="O51" s="10"/>
      <c r="P51" s="10"/>
      <c r="Q51" s="10" t="s">
        <v>697</v>
      </c>
      <c r="R51" s="10" t="s">
        <v>136</v>
      </c>
      <c r="S51" s="11"/>
      <c r="T51" s="11"/>
    </row>
    <row r="52">
      <c r="A52" s="10" t="s">
        <v>802</v>
      </c>
      <c r="B52" s="10" t="s">
        <v>803</v>
      </c>
      <c r="C52" s="10" t="s">
        <v>804</v>
      </c>
      <c r="D52" s="10" t="s">
        <v>805</v>
      </c>
      <c r="E52" s="10" t="s">
        <v>806</v>
      </c>
      <c r="F52" s="10" t="s">
        <v>248</v>
      </c>
      <c r="G52" s="10" t="s">
        <v>101</v>
      </c>
      <c r="H52" s="10" t="s">
        <v>807</v>
      </c>
      <c r="I52" s="10" t="s">
        <v>105</v>
      </c>
      <c r="J52" s="10" t="s">
        <v>267</v>
      </c>
      <c r="K52" s="10" t="s">
        <v>269</v>
      </c>
      <c r="L52" s="10" t="s">
        <v>808</v>
      </c>
      <c r="M52" s="10" t="s">
        <v>134</v>
      </c>
      <c r="N52" s="10" t="s">
        <v>136</v>
      </c>
      <c r="O52" s="10"/>
      <c r="P52" s="10"/>
      <c r="Q52" s="10" t="s">
        <v>697</v>
      </c>
      <c r="R52" s="10" t="s">
        <v>136</v>
      </c>
      <c r="S52" s="11"/>
      <c r="T52" s="11"/>
    </row>
    <row r="53">
      <c r="A53" s="10" t="s">
        <v>809</v>
      </c>
      <c r="B53" s="10" t="s">
        <v>803</v>
      </c>
      <c r="C53" s="10" t="s">
        <v>810</v>
      </c>
      <c r="D53" s="10" t="s">
        <v>811</v>
      </c>
      <c r="E53" s="10" t="s">
        <v>812</v>
      </c>
      <c r="F53" s="10" t="s">
        <v>248</v>
      </c>
      <c r="G53" s="10" t="s">
        <v>263</v>
      </c>
      <c r="H53" s="10" t="s">
        <v>813</v>
      </c>
      <c r="I53" s="10" t="s">
        <v>105</v>
      </c>
      <c r="J53" s="10" t="s">
        <v>267</v>
      </c>
      <c r="K53" s="10" t="s">
        <v>269</v>
      </c>
      <c r="L53" s="10" t="s">
        <v>814</v>
      </c>
      <c r="M53" s="10" t="s">
        <v>134</v>
      </c>
      <c r="N53" s="10" t="s">
        <v>136</v>
      </c>
      <c r="O53" s="10"/>
      <c r="P53" s="10"/>
      <c r="Q53" s="10" t="s">
        <v>697</v>
      </c>
      <c r="R53" s="10" t="s">
        <v>136</v>
      </c>
      <c r="S53" s="11"/>
      <c r="T53" s="11"/>
    </row>
    <row r="54">
      <c r="A54" s="10" t="s">
        <v>815</v>
      </c>
      <c r="B54" s="10" t="s">
        <v>803</v>
      </c>
      <c r="C54" s="10" t="s">
        <v>816</v>
      </c>
      <c r="D54" s="10" t="s">
        <v>817</v>
      </c>
      <c r="E54" s="10" t="s">
        <v>818</v>
      </c>
      <c r="F54" s="10" t="s">
        <v>794</v>
      </c>
      <c r="G54" s="10" t="s">
        <v>161</v>
      </c>
      <c r="H54" s="10" t="s">
        <v>819</v>
      </c>
      <c r="I54" s="10" t="s">
        <v>105</v>
      </c>
      <c r="J54" s="10" t="s">
        <v>267</v>
      </c>
      <c r="K54" s="10" t="s">
        <v>269</v>
      </c>
      <c r="L54" s="10" t="s">
        <v>820</v>
      </c>
      <c r="M54" s="10" t="s">
        <v>134</v>
      </c>
      <c r="N54" s="10" t="s">
        <v>136</v>
      </c>
      <c r="O54" s="10"/>
      <c r="P54" s="10"/>
      <c r="Q54" s="10" t="s">
        <v>697</v>
      </c>
      <c r="R54" s="10" t="s">
        <v>136</v>
      </c>
      <c r="S54" s="11"/>
      <c r="T54" s="11"/>
    </row>
    <row r="55">
      <c r="A55" s="10" t="s">
        <v>822</v>
      </c>
      <c r="B55" s="10" t="s">
        <v>803</v>
      </c>
      <c r="C55" s="10" t="s">
        <v>823</v>
      </c>
      <c r="D55" s="10" t="s">
        <v>824</v>
      </c>
      <c r="E55" s="10" t="s">
        <v>825</v>
      </c>
      <c r="F55" s="10" t="s">
        <v>248</v>
      </c>
      <c r="G55" s="10" t="s">
        <v>161</v>
      </c>
      <c r="H55" s="10" t="s">
        <v>826</v>
      </c>
      <c r="I55" s="10" t="s">
        <v>105</v>
      </c>
      <c r="J55" s="10" t="s">
        <v>267</v>
      </c>
      <c r="K55" s="10" t="s">
        <v>269</v>
      </c>
      <c r="L55" s="10" t="s">
        <v>827</v>
      </c>
      <c r="M55" s="10" t="s">
        <v>134</v>
      </c>
      <c r="N55" s="10" t="s">
        <v>136</v>
      </c>
      <c r="O55" s="10"/>
      <c r="P55" s="10"/>
      <c r="Q55" s="10" t="s">
        <v>697</v>
      </c>
      <c r="R55" s="10" t="s">
        <v>136</v>
      </c>
      <c r="S55" s="11"/>
      <c r="T55" s="11"/>
    </row>
    <row r="56">
      <c r="A56" s="10" t="s">
        <v>828</v>
      </c>
      <c r="B56" s="10" t="s">
        <v>803</v>
      </c>
      <c r="C56" s="10" t="s">
        <v>829</v>
      </c>
      <c r="D56" s="10" t="s">
        <v>830</v>
      </c>
      <c r="E56" s="10" t="s">
        <v>831</v>
      </c>
      <c r="F56" s="10" t="s">
        <v>832</v>
      </c>
      <c r="G56" s="10" t="s">
        <v>161</v>
      </c>
      <c r="H56" s="10" t="s">
        <v>676</v>
      </c>
      <c r="I56" s="10" t="s">
        <v>105</v>
      </c>
      <c r="J56" s="10" t="s">
        <v>267</v>
      </c>
      <c r="K56" s="10" t="s">
        <v>269</v>
      </c>
      <c r="L56" s="10" t="s">
        <v>833</v>
      </c>
      <c r="M56" s="10" t="s">
        <v>134</v>
      </c>
      <c r="N56" s="10" t="s">
        <v>136</v>
      </c>
      <c r="O56" s="10"/>
      <c r="P56" s="10"/>
      <c r="Q56" s="10" t="s">
        <v>697</v>
      </c>
      <c r="R56" s="10" t="s">
        <v>136</v>
      </c>
      <c r="S56" s="11"/>
      <c r="T56" s="11"/>
    </row>
    <row r="57">
      <c r="A57" s="10" t="s">
        <v>835</v>
      </c>
      <c r="B57" s="10" t="s">
        <v>836</v>
      </c>
      <c r="C57" s="10" t="s">
        <v>838</v>
      </c>
      <c r="D57" s="10" t="s">
        <v>839</v>
      </c>
      <c r="E57" s="10" t="s">
        <v>840</v>
      </c>
      <c r="F57" s="10" t="s">
        <v>171</v>
      </c>
      <c r="G57" s="10" t="s">
        <v>161</v>
      </c>
      <c r="H57" s="10" t="s">
        <v>334</v>
      </c>
      <c r="I57" s="10" t="s">
        <v>105</v>
      </c>
      <c r="J57" s="10" t="s">
        <v>244</v>
      </c>
      <c r="K57" s="10" t="s">
        <v>254</v>
      </c>
      <c r="L57" s="10" t="s">
        <v>842</v>
      </c>
      <c r="M57" s="10" t="s">
        <v>134</v>
      </c>
      <c r="N57" s="10" t="s">
        <v>136</v>
      </c>
      <c r="O57" s="10" t="s">
        <v>843</v>
      </c>
      <c r="P57" s="10" t="s">
        <v>50</v>
      </c>
      <c r="Q57" s="10" t="s">
        <v>140</v>
      </c>
      <c r="R57" s="10" t="s">
        <v>136</v>
      </c>
      <c r="S57" s="11"/>
      <c r="T57" s="11"/>
    </row>
    <row r="58">
      <c r="A58" s="10" t="s">
        <v>844</v>
      </c>
      <c r="B58" s="10" t="s">
        <v>845</v>
      </c>
      <c r="C58" s="10" t="s">
        <v>846</v>
      </c>
      <c r="D58" s="10" t="s">
        <v>847</v>
      </c>
      <c r="E58" s="10" t="s">
        <v>848</v>
      </c>
      <c r="F58" s="10" t="s">
        <v>849</v>
      </c>
      <c r="G58" s="10" t="s">
        <v>161</v>
      </c>
      <c r="H58" s="10" t="s">
        <v>696</v>
      </c>
      <c r="I58" s="10" t="s">
        <v>105</v>
      </c>
      <c r="J58" s="10" t="s">
        <v>267</v>
      </c>
      <c r="K58" s="10" t="s">
        <v>269</v>
      </c>
      <c r="L58" s="10" t="s">
        <v>851</v>
      </c>
      <c r="M58" s="10" t="s">
        <v>134</v>
      </c>
      <c r="N58" s="10" t="s">
        <v>136</v>
      </c>
      <c r="O58" s="10"/>
      <c r="P58" s="10"/>
      <c r="Q58" s="10" t="s">
        <v>697</v>
      </c>
      <c r="R58" s="10" t="s">
        <v>136</v>
      </c>
      <c r="S58" s="11"/>
      <c r="T58" s="11"/>
    </row>
    <row r="59">
      <c r="A59" s="10" t="s">
        <v>852</v>
      </c>
      <c r="B59" s="10" t="s">
        <v>845</v>
      </c>
      <c r="C59" s="10" t="s">
        <v>853</v>
      </c>
      <c r="D59" s="10" t="s">
        <v>854</v>
      </c>
      <c r="E59" s="10" t="s">
        <v>855</v>
      </c>
      <c r="F59" s="10" t="s">
        <v>849</v>
      </c>
      <c r="G59" s="10" t="s">
        <v>161</v>
      </c>
      <c r="H59" s="10" t="s">
        <v>708</v>
      </c>
      <c r="I59" s="10" t="s">
        <v>105</v>
      </c>
      <c r="J59" s="10" t="s">
        <v>341</v>
      </c>
      <c r="K59" s="10" t="s">
        <v>344</v>
      </c>
      <c r="L59" s="10" t="s">
        <v>856</v>
      </c>
      <c r="M59" s="10" t="s">
        <v>134</v>
      </c>
      <c r="N59" s="10" t="s">
        <v>136</v>
      </c>
      <c r="O59" s="10"/>
      <c r="P59" s="10"/>
      <c r="Q59" s="10" t="s">
        <v>697</v>
      </c>
      <c r="R59" s="10" t="s">
        <v>136</v>
      </c>
      <c r="S59" s="11"/>
      <c r="T59" s="11"/>
    </row>
    <row r="60">
      <c r="A60" s="10" t="s">
        <v>857</v>
      </c>
      <c r="B60" s="10" t="s">
        <v>858</v>
      </c>
      <c r="C60" s="10" t="s">
        <v>859</v>
      </c>
      <c r="D60" s="10" t="s">
        <v>860</v>
      </c>
      <c r="E60" s="10" t="s">
        <v>861</v>
      </c>
      <c r="F60" s="10" t="s">
        <v>239</v>
      </c>
      <c r="G60" s="10" t="s">
        <v>101</v>
      </c>
      <c r="H60" s="10" t="s">
        <v>862</v>
      </c>
      <c r="I60" s="10" t="s">
        <v>863</v>
      </c>
      <c r="J60" s="10" t="s">
        <v>864</v>
      </c>
      <c r="K60" s="10" t="s">
        <v>865</v>
      </c>
      <c r="L60" s="10" t="s">
        <v>866</v>
      </c>
      <c r="M60" s="10" t="s">
        <v>134</v>
      </c>
      <c r="N60" s="10" t="s">
        <v>136</v>
      </c>
      <c r="O60" s="10" t="s">
        <v>867</v>
      </c>
      <c r="P60" s="10" t="s">
        <v>50</v>
      </c>
      <c r="Q60" s="10" t="s">
        <v>140</v>
      </c>
      <c r="R60" s="10" t="s">
        <v>136</v>
      </c>
      <c r="S60" s="11"/>
      <c r="T60" s="11"/>
    </row>
    <row r="61">
      <c r="A61" s="10" t="s">
        <v>868</v>
      </c>
      <c r="B61" s="10" t="s">
        <v>858</v>
      </c>
      <c r="C61" s="10" t="s">
        <v>869</v>
      </c>
      <c r="D61" s="10" t="s">
        <v>870</v>
      </c>
      <c r="E61" s="10" t="s">
        <v>871</v>
      </c>
      <c r="F61" s="10" t="s">
        <v>872</v>
      </c>
      <c r="G61" s="10" t="s">
        <v>313</v>
      </c>
      <c r="H61" s="10" t="s">
        <v>873</v>
      </c>
      <c r="I61" s="10" t="s">
        <v>863</v>
      </c>
      <c r="J61" s="10" t="s">
        <v>377</v>
      </c>
      <c r="K61" s="10" t="s">
        <v>380</v>
      </c>
      <c r="L61" s="10" t="s">
        <v>874</v>
      </c>
      <c r="M61" s="10" t="s">
        <v>134</v>
      </c>
      <c r="N61" s="10" t="s">
        <v>136</v>
      </c>
      <c r="O61" s="10" t="s">
        <v>347</v>
      </c>
      <c r="P61" s="10" t="s">
        <v>50</v>
      </c>
      <c r="Q61" s="10" t="s">
        <v>140</v>
      </c>
      <c r="R61" s="10" t="s">
        <v>136</v>
      </c>
      <c r="S61" s="11"/>
      <c r="T61" s="11"/>
    </row>
    <row r="62">
      <c r="A62" s="10" t="s">
        <v>875</v>
      </c>
      <c r="B62" s="10" t="s">
        <v>858</v>
      </c>
      <c r="C62" s="10" t="s">
        <v>876</v>
      </c>
      <c r="D62" s="10" t="s">
        <v>877</v>
      </c>
      <c r="E62" s="10" t="s">
        <v>878</v>
      </c>
      <c r="F62" s="10" t="s">
        <v>879</v>
      </c>
      <c r="G62" s="10" t="s">
        <v>161</v>
      </c>
      <c r="H62" s="10" t="s">
        <v>880</v>
      </c>
      <c r="I62" s="10" t="s">
        <v>863</v>
      </c>
      <c r="J62" s="10" t="s">
        <v>772</v>
      </c>
      <c r="K62" s="10" t="s">
        <v>774</v>
      </c>
      <c r="L62" s="10" t="s">
        <v>881</v>
      </c>
      <c r="M62" s="10" t="s">
        <v>134</v>
      </c>
      <c r="N62" s="10" t="s">
        <v>136</v>
      </c>
      <c r="O62" s="10"/>
      <c r="P62" s="10"/>
      <c r="Q62" s="10" t="s">
        <v>697</v>
      </c>
      <c r="R62" s="10" t="s">
        <v>136</v>
      </c>
      <c r="S62" s="11"/>
      <c r="T62" s="11"/>
    </row>
    <row r="63">
      <c r="A63" s="10" t="s">
        <v>882</v>
      </c>
      <c r="B63" s="10" t="s">
        <v>883</v>
      </c>
      <c r="C63" s="10" t="s">
        <v>884</v>
      </c>
      <c r="D63" s="10" t="s">
        <v>885</v>
      </c>
      <c r="E63" s="10" t="s">
        <v>886</v>
      </c>
      <c r="F63" s="10" t="s">
        <v>66</v>
      </c>
      <c r="G63" s="10" t="s">
        <v>161</v>
      </c>
      <c r="H63" s="10" t="s">
        <v>887</v>
      </c>
      <c r="I63" s="10" t="s">
        <v>888</v>
      </c>
      <c r="J63" s="10" t="s">
        <v>889</v>
      </c>
      <c r="K63" s="10" t="s">
        <v>890</v>
      </c>
      <c r="L63" s="10" t="s">
        <v>891</v>
      </c>
      <c r="M63" s="10" t="s">
        <v>134</v>
      </c>
      <c r="N63" s="10" t="s">
        <v>136</v>
      </c>
      <c r="O63" s="10" t="s">
        <v>867</v>
      </c>
      <c r="P63" s="10" t="s">
        <v>50</v>
      </c>
      <c r="Q63" s="10" t="s">
        <v>892</v>
      </c>
      <c r="R63" s="10" t="s">
        <v>136</v>
      </c>
      <c r="S63" s="11"/>
      <c r="T63" s="11" t="s">
        <v>182</v>
      </c>
    </row>
    <row r="64" ht="120.75" customHeight="1">
      <c r="A64" s="10"/>
      <c r="B64" s="10"/>
      <c r="C64" s="10"/>
      <c r="D64" s="10"/>
      <c r="E64" s="10"/>
      <c r="F64" s="10"/>
      <c r="G64" s="10"/>
      <c r="H64" s="10"/>
      <c r="I64" s="10"/>
      <c r="J64" s="10"/>
      <c r="K64" s="10"/>
      <c r="L64" s="10"/>
      <c r="M64" s="10"/>
      <c r="N64" s="10"/>
      <c r="O64" s="10"/>
      <c r="P64" s="10"/>
      <c r="Q64" s="10"/>
      <c r="R64" s="10"/>
      <c r="S64" s="11"/>
      <c r="T64" s="11"/>
    </row>
    <row r="65" ht="120.75" customHeight="1">
      <c r="A65" s="10"/>
      <c r="B65" s="10"/>
      <c r="C65" s="10"/>
      <c r="D65" s="10"/>
      <c r="E65" s="10"/>
      <c r="F65" s="10"/>
      <c r="G65" s="10"/>
      <c r="H65" s="10"/>
      <c r="I65" s="10"/>
      <c r="J65" s="10"/>
      <c r="K65" s="10"/>
      <c r="L65" s="10"/>
      <c r="M65" s="10"/>
      <c r="N65" s="10"/>
      <c r="O65" s="10"/>
      <c r="P65" s="10"/>
      <c r="Q65" s="10"/>
      <c r="R65" s="10"/>
      <c r="S65" s="11"/>
      <c r="T65" s="11"/>
    </row>
    <row r="66" ht="120.75" customHeight="1">
      <c r="A66" s="10"/>
      <c r="B66" s="10"/>
      <c r="C66" s="10"/>
      <c r="D66" s="10"/>
      <c r="E66" s="10"/>
      <c r="F66" s="10"/>
      <c r="G66" s="10"/>
      <c r="H66" s="10"/>
      <c r="I66" s="10"/>
      <c r="J66" s="10"/>
      <c r="K66" s="10"/>
      <c r="L66" s="10"/>
      <c r="M66" s="10"/>
      <c r="N66" s="10"/>
      <c r="O66" s="10"/>
      <c r="P66" s="10"/>
      <c r="Q66" s="10"/>
      <c r="R66" s="10"/>
      <c r="S66" s="11"/>
      <c r="T66" s="11"/>
    </row>
    <row r="67" ht="120.75" customHeight="1">
      <c r="A67" s="10"/>
      <c r="B67" s="10"/>
      <c r="C67" s="10"/>
      <c r="D67" s="10"/>
      <c r="E67" s="10"/>
      <c r="F67" s="10"/>
      <c r="G67" s="10"/>
      <c r="H67" s="10"/>
      <c r="I67" s="10"/>
      <c r="J67" s="10"/>
      <c r="K67" s="10"/>
      <c r="L67" s="10"/>
      <c r="M67" s="10"/>
      <c r="N67" s="10"/>
      <c r="O67" s="10"/>
      <c r="P67" s="10"/>
      <c r="Q67" s="10"/>
      <c r="R67" s="10"/>
      <c r="S67" s="11"/>
      <c r="T67" s="11"/>
    </row>
    <row r="68" ht="120.75" customHeight="1">
      <c r="A68" s="10"/>
      <c r="B68" s="10"/>
      <c r="C68" s="10"/>
      <c r="D68" s="10"/>
      <c r="E68" s="10"/>
      <c r="F68" s="10"/>
      <c r="G68" s="10"/>
      <c r="H68" s="10"/>
      <c r="I68" s="10"/>
      <c r="J68" s="10"/>
      <c r="K68" s="10"/>
      <c r="L68" s="10"/>
      <c r="M68" s="10"/>
      <c r="N68" s="10"/>
      <c r="O68" s="10"/>
      <c r="P68" s="10"/>
      <c r="Q68" s="10"/>
      <c r="R68" s="10"/>
      <c r="S68" s="11"/>
      <c r="T68" s="11"/>
    </row>
    <row r="69" ht="120.75" customHeight="1">
      <c r="A69" s="10"/>
      <c r="B69" s="10"/>
      <c r="C69" s="10"/>
      <c r="D69" s="10"/>
      <c r="E69" s="10"/>
      <c r="F69" s="10"/>
      <c r="G69" s="10"/>
      <c r="H69" s="10"/>
      <c r="I69" s="10"/>
      <c r="J69" s="10"/>
      <c r="K69" s="10"/>
      <c r="L69" s="10"/>
      <c r="M69" s="10"/>
      <c r="N69" s="10"/>
      <c r="O69" s="10"/>
      <c r="P69" s="10"/>
      <c r="Q69" s="10"/>
      <c r="R69" s="10"/>
      <c r="S69" s="11"/>
      <c r="T69" s="11"/>
    </row>
    <row r="70" ht="120.75" customHeight="1">
      <c r="A70" s="10"/>
      <c r="B70" s="10"/>
      <c r="C70" s="10"/>
      <c r="D70" s="10"/>
      <c r="E70" s="10"/>
      <c r="F70" s="10"/>
      <c r="G70" s="10"/>
      <c r="H70" s="10"/>
      <c r="I70" s="10"/>
      <c r="J70" s="10"/>
      <c r="K70" s="10"/>
      <c r="L70" s="10"/>
      <c r="M70" s="10"/>
      <c r="N70" s="10"/>
      <c r="O70" s="10"/>
      <c r="P70" s="10"/>
      <c r="Q70" s="10"/>
      <c r="R70" s="10"/>
      <c r="S70" s="11"/>
      <c r="T70" s="11"/>
    </row>
    <row r="71" ht="120.75" customHeight="1">
      <c r="A71" s="10"/>
      <c r="B71" s="10"/>
      <c r="C71" s="10"/>
      <c r="D71" s="10"/>
      <c r="E71" s="10"/>
      <c r="F71" s="10"/>
      <c r="G71" s="10"/>
      <c r="H71" s="10"/>
      <c r="I71" s="10"/>
      <c r="J71" s="10"/>
      <c r="K71" s="10"/>
      <c r="L71" s="10"/>
      <c r="M71" s="10"/>
      <c r="N71" s="10"/>
      <c r="O71" s="10"/>
      <c r="P71" s="10"/>
      <c r="Q71" s="10"/>
      <c r="R71" s="10"/>
      <c r="S71" s="11"/>
      <c r="T71" s="11"/>
    </row>
    <row r="72" ht="120.75" customHeight="1">
      <c r="A72" s="10"/>
      <c r="B72" s="10"/>
      <c r="C72" s="10"/>
      <c r="D72" s="10"/>
      <c r="E72" s="10"/>
      <c r="F72" s="10"/>
      <c r="G72" s="10"/>
      <c r="H72" s="10"/>
      <c r="I72" s="10"/>
      <c r="J72" s="10"/>
      <c r="K72" s="10"/>
      <c r="L72" s="10"/>
      <c r="M72" s="10"/>
      <c r="N72" s="10"/>
      <c r="O72" s="10"/>
      <c r="P72" s="10"/>
      <c r="Q72" s="10"/>
      <c r="R72" s="10"/>
      <c r="S72" s="11"/>
      <c r="T72" s="11"/>
    </row>
    <row r="73" ht="120.75" customHeight="1">
      <c r="A73" s="10"/>
      <c r="B73" s="10"/>
      <c r="C73" s="10"/>
      <c r="D73" s="10"/>
      <c r="E73" s="10"/>
      <c r="F73" s="10"/>
      <c r="G73" s="10"/>
      <c r="H73" s="10"/>
      <c r="I73" s="10"/>
      <c r="J73" s="10"/>
      <c r="K73" s="10"/>
      <c r="L73" s="10"/>
      <c r="M73" s="10"/>
      <c r="N73" s="10"/>
      <c r="O73" s="10"/>
      <c r="P73" s="10"/>
      <c r="Q73" s="10"/>
      <c r="R73" s="10"/>
      <c r="S73" s="11"/>
      <c r="T73" s="11"/>
    </row>
    <row r="74" ht="120.75" customHeight="1">
      <c r="A74" s="10"/>
      <c r="B74" s="10"/>
      <c r="C74" s="10"/>
      <c r="D74" s="10"/>
      <c r="E74" s="10"/>
      <c r="F74" s="10"/>
      <c r="G74" s="10"/>
      <c r="H74" s="10"/>
      <c r="I74" s="10"/>
      <c r="J74" s="10"/>
      <c r="K74" s="10"/>
      <c r="L74" s="10"/>
      <c r="M74" s="10"/>
      <c r="N74" s="10"/>
      <c r="O74" s="10"/>
      <c r="P74" s="10"/>
      <c r="Q74" s="10"/>
      <c r="R74" s="10"/>
      <c r="S74" s="11"/>
      <c r="T74" s="11"/>
    </row>
    <row r="75" ht="120.75" customHeight="1">
      <c r="A75" s="10"/>
      <c r="B75" s="10"/>
      <c r="C75" s="10"/>
      <c r="D75" s="10"/>
      <c r="E75" s="10"/>
      <c r="F75" s="10"/>
      <c r="G75" s="10"/>
      <c r="H75" s="10"/>
      <c r="I75" s="10"/>
      <c r="J75" s="10"/>
      <c r="K75" s="10"/>
      <c r="L75" s="10"/>
      <c r="M75" s="10"/>
      <c r="N75" s="10"/>
      <c r="O75" s="10"/>
      <c r="P75" s="10"/>
      <c r="Q75" s="10"/>
      <c r="R75" s="10"/>
      <c r="S75" s="11"/>
      <c r="T75" s="11"/>
    </row>
    <row r="76" ht="120.75" customHeight="1">
      <c r="A76" s="10"/>
      <c r="B76" s="10"/>
      <c r="C76" s="10"/>
      <c r="D76" s="10"/>
      <c r="E76" s="10"/>
      <c r="F76" s="10"/>
      <c r="G76" s="10"/>
      <c r="H76" s="10"/>
      <c r="I76" s="10"/>
      <c r="J76" s="10"/>
      <c r="K76" s="10"/>
      <c r="L76" s="10"/>
      <c r="M76" s="10"/>
      <c r="N76" s="10"/>
      <c r="O76" s="10"/>
      <c r="P76" s="10"/>
      <c r="Q76" s="10"/>
      <c r="R76" s="10"/>
      <c r="S76" s="11"/>
      <c r="T76" s="11"/>
    </row>
    <row r="77" ht="120.75" customHeight="1">
      <c r="A77" s="10"/>
      <c r="B77" s="10"/>
      <c r="C77" s="10"/>
      <c r="D77" s="10"/>
      <c r="E77" s="10"/>
      <c r="F77" s="10"/>
      <c r="G77" s="10"/>
      <c r="H77" s="10"/>
      <c r="I77" s="10"/>
      <c r="J77" s="10"/>
      <c r="K77" s="10"/>
      <c r="L77" s="10"/>
      <c r="M77" s="10"/>
      <c r="N77" s="10"/>
      <c r="O77" s="10"/>
      <c r="P77" s="10"/>
      <c r="Q77" s="10"/>
      <c r="R77" s="10"/>
      <c r="S77" s="11"/>
      <c r="T77" s="11"/>
    </row>
    <row r="78" ht="120.75" customHeight="1">
      <c r="A78" s="10"/>
      <c r="B78" s="10"/>
      <c r="C78" s="10"/>
      <c r="D78" s="10"/>
      <c r="E78" s="10"/>
      <c r="F78" s="10"/>
      <c r="G78" s="10"/>
      <c r="H78" s="10"/>
      <c r="I78" s="10"/>
      <c r="J78" s="10"/>
      <c r="K78" s="10"/>
      <c r="L78" s="10"/>
      <c r="M78" s="10"/>
      <c r="N78" s="10"/>
      <c r="O78" s="10"/>
      <c r="P78" s="10"/>
      <c r="Q78" s="10"/>
      <c r="R78" s="10"/>
      <c r="S78" s="11"/>
      <c r="T78" s="11"/>
    </row>
    <row r="79" ht="120.75" customHeight="1">
      <c r="A79" s="10"/>
      <c r="B79" s="10"/>
      <c r="C79" s="10"/>
      <c r="D79" s="10"/>
      <c r="E79" s="10"/>
      <c r="F79" s="10"/>
      <c r="G79" s="10"/>
      <c r="H79" s="10"/>
      <c r="I79" s="10"/>
      <c r="J79" s="10"/>
      <c r="K79" s="10"/>
      <c r="L79" s="10"/>
      <c r="M79" s="10"/>
      <c r="N79" s="10"/>
      <c r="O79" s="10"/>
      <c r="P79" s="10"/>
      <c r="Q79" s="10"/>
      <c r="R79" s="10"/>
      <c r="S79" s="11"/>
      <c r="T79" s="11"/>
    </row>
    <row r="80" ht="120.75" customHeight="1">
      <c r="A80" s="10"/>
      <c r="B80" s="10"/>
      <c r="C80" s="10"/>
      <c r="D80" s="10"/>
      <c r="E80" s="10"/>
      <c r="F80" s="10"/>
      <c r="G80" s="10"/>
      <c r="H80" s="10"/>
      <c r="I80" s="10"/>
      <c r="J80" s="10"/>
      <c r="K80" s="10"/>
      <c r="L80" s="10"/>
      <c r="M80" s="10"/>
      <c r="N80" s="10"/>
      <c r="O80" s="10"/>
      <c r="P80" s="10"/>
      <c r="Q80" s="10"/>
      <c r="R80" s="10"/>
      <c r="S80" s="11"/>
      <c r="T80" s="11"/>
    </row>
    <row r="81" ht="120.75" customHeight="1">
      <c r="A81" s="10"/>
      <c r="B81" s="10"/>
      <c r="C81" s="10"/>
      <c r="D81" s="10"/>
      <c r="E81" s="10"/>
      <c r="F81" s="10"/>
      <c r="G81" s="10"/>
      <c r="H81" s="10"/>
      <c r="I81" s="10"/>
      <c r="J81" s="10"/>
      <c r="K81" s="10"/>
      <c r="L81" s="10"/>
      <c r="M81" s="10"/>
      <c r="N81" s="10"/>
      <c r="O81" s="10"/>
      <c r="P81" s="10"/>
      <c r="Q81" s="10"/>
      <c r="R81" s="10"/>
      <c r="S81" s="11"/>
      <c r="T81" s="11"/>
    </row>
    <row r="82" ht="120.75" customHeight="1">
      <c r="A82" s="10"/>
      <c r="B82" s="10"/>
      <c r="C82" s="10"/>
      <c r="D82" s="10"/>
      <c r="E82" s="10"/>
      <c r="F82" s="10"/>
      <c r="G82" s="10"/>
      <c r="H82" s="10"/>
      <c r="I82" s="10"/>
      <c r="J82" s="10"/>
      <c r="K82" s="10"/>
      <c r="L82" s="10"/>
      <c r="M82" s="10"/>
      <c r="N82" s="10"/>
      <c r="O82" s="10"/>
      <c r="P82" s="10"/>
      <c r="Q82" s="10"/>
      <c r="R82" s="10"/>
      <c r="S82" s="11"/>
      <c r="T82" s="11"/>
    </row>
    <row r="83" ht="120.75" customHeight="1">
      <c r="A83" s="10"/>
      <c r="B83" s="10"/>
      <c r="C83" s="10"/>
      <c r="D83" s="10"/>
      <c r="E83" s="10"/>
      <c r="F83" s="10"/>
      <c r="G83" s="10"/>
      <c r="H83" s="10"/>
      <c r="I83" s="10"/>
      <c r="J83" s="10"/>
      <c r="K83" s="10"/>
      <c r="L83" s="10"/>
      <c r="M83" s="10"/>
      <c r="N83" s="10"/>
      <c r="O83" s="10"/>
      <c r="P83" s="10"/>
      <c r="Q83" s="10"/>
      <c r="R83" s="10"/>
      <c r="S83" s="11"/>
      <c r="T83" s="11"/>
    </row>
    <row r="84" ht="120.75" customHeight="1">
      <c r="A84" s="10"/>
      <c r="B84" s="10"/>
      <c r="C84" s="10"/>
      <c r="D84" s="10"/>
      <c r="E84" s="10"/>
      <c r="F84" s="10"/>
      <c r="G84" s="10"/>
      <c r="H84" s="10"/>
      <c r="I84" s="10"/>
      <c r="J84" s="10"/>
      <c r="K84" s="10"/>
      <c r="L84" s="10"/>
      <c r="M84" s="10"/>
      <c r="N84" s="10"/>
      <c r="O84" s="10"/>
      <c r="P84" s="10"/>
      <c r="Q84" s="10"/>
      <c r="R84" s="10"/>
      <c r="S84" s="11"/>
      <c r="T84" s="11"/>
    </row>
    <row r="85" ht="120.75" customHeight="1">
      <c r="A85" s="10"/>
      <c r="B85" s="10"/>
      <c r="C85" s="10"/>
      <c r="D85" s="10"/>
      <c r="E85" s="10"/>
      <c r="F85" s="10"/>
      <c r="G85" s="10"/>
      <c r="H85" s="10"/>
      <c r="I85" s="10"/>
      <c r="J85" s="10"/>
      <c r="K85" s="10"/>
      <c r="L85" s="10"/>
      <c r="M85" s="10"/>
      <c r="N85" s="10"/>
      <c r="O85" s="10"/>
      <c r="P85" s="10"/>
      <c r="Q85" s="10"/>
      <c r="R85" s="10"/>
      <c r="S85" s="11"/>
      <c r="T85" s="11"/>
    </row>
    <row r="86" ht="120.75" customHeight="1">
      <c r="A86" s="10"/>
      <c r="B86" s="10"/>
      <c r="C86" s="10"/>
      <c r="D86" s="10"/>
      <c r="E86" s="10"/>
      <c r="F86" s="10"/>
      <c r="G86" s="10"/>
      <c r="H86" s="10"/>
      <c r="I86" s="10"/>
      <c r="J86" s="10"/>
      <c r="K86" s="10"/>
      <c r="L86" s="10"/>
      <c r="M86" s="10"/>
      <c r="N86" s="10"/>
      <c r="O86" s="10"/>
      <c r="P86" s="10"/>
      <c r="Q86" s="10"/>
      <c r="R86" s="10"/>
      <c r="S86" s="11"/>
      <c r="T86" s="11"/>
    </row>
    <row r="87" ht="120.75" customHeight="1">
      <c r="A87" s="10"/>
      <c r="B87" s="10"/>
      <c r="C87" s="10"/>
      <c r="D87" s="10"/>
      <c r="E87" s="10"/>
      <c r="F87" s="10"/>
      <c r="G87" s="10"/>
      <c r="H87" s="10"/>
      <c r="I87" s="10"/>
      <c r="J87" s="10"/>
      <c r="K87" s="10"/>
      <c r="L87" s="10"/>
      <c r="M87" s="10"/>
      <c r="N87" s="10"/>
      <c r="O87" s="10"/>
      <c r="P87" s="10"/>
      <c r="Q87" s="10"/>
      <c r="R87" s="10"/>
      <c r="S87" s="11"/>
      <c r="T87" s="11"/>
    </row>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4:$T$4"/>
  <mergeCells count="2">
    <mergeCell ref="A1:T1"/>
    <mergeCell ref="A2:T2"/>
  </mergeCells>
  <conditionalFormatting sqref="M5:M87">
    <cfRule type="expression" dxfId="4" priority="1">
      <formula>M5="Passed"</formula>
    </cfRule>
  </conditionalFormatting>
  <conditionalFormatting sqref="M5:M87">
    <cfRule type="expression" dxfId="5" priority="2">
      <formula>M5="Failed"</formula>
    </cfRule>
  </conditionalFormatting>
  <conditionalFormatting sqref="Q5:Q87">
    <cfRule type="expression" dxfId="6" priority="3">
      <formula>Q5="Aprobado"</formula>
    </cfRule>
  </conditionalFormatting>
  <conditionalFormatting sqref="Q5:Q87">
    <cfRule type="expression" dxfId="7" priority="4">
      <formula>Q5="Ajustar"</formula>
    </cfRule>
  </conditionalFormatting>
  <conditionalFormatting sqref="Q5:Q87">
    <cfRule type="expression" dxfId="8" priority="5">
      <formula>Q5="Fuera de alcance"</formula>
    </cfRule>
  </conditionalFormatting>
  <conditionalFormatting sqref="Q5:Q87">
    <cfRule type="expression" dxfId="9" priority="6">
      <formula>Q5="Requiere análisis"</formula>
    </cfRule>
  </conditionalFormatting>
  <conditionalFormatting sqref="R5:R87">
    <cfRule type="expression" dxfId="0" priority="7">
      <formula>R5="Aprobado"</formula>
    </cfRule>
  </conditionalFormatting>
  <conditionalFormatting sqref="R5:R87">
    <cfRule type="expression" dxfId="1" priority="8">
      <formula>R5="Pendiente"</formula>
    </cfRule>
  </conditionalFormatting>
  <conditionalFormatting sqref="R5:R87">
    <cfRule type="expression" dxfId="2" priority="9">
      <formula>R5="Ajustar"</formula>
    </cfRule>
  </conditionalFormatting>
  <conditionalFormatting sqref="R5:R87">
    <cfRule type="expression" dxfId="3" priority="10">
      <formula>R5="Fuera de alcance"</formula>
    </cfRule>
  </conditionalFormatting>
  <conditionalFormatting sqref="R5:R87">
    <cfRule type="expression" dxfId="10" priority="11">
      <formula>R5="Requiere análisis"</formula>
    </cfRule>
  </conditionalFormatting>
  <conditionalFormatting sqref="T5:T87">
    <cfRule type="expression" dxfId="11" priority="12">
      <formula>T5&lt;&gt;""</formula>
    </cfRule>
  </conditionalFormatting>
  <dataValidations>
    <dataValidation type="list" allowBlank="1" sqref="R5:R87">
      <formula1>"Pendiente,Aprobado,Ajustar,Fuera de alcance,Requiere análisis"</formula1>
    </dataValidation>
    <dataValidation type="list" allowBlank="1" sqref="M5:M87">
      <formula1>"Pendiente,Passed,Failed,Passed parcial,No aplica"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28.0"/>
    <col customWidth="1" min="3" max="3" width="55.0"/>
    <col customWidth="1" min="4" max="4" width="65.0"/>
    <col customWidth="1" min="5" max="26" width="8.88"/>
  </cols>
  <sheetData>
    <row r="1" ht="13.5" customHeight="1">
      <c r="A1" s="1" t="s">
        <v>1</v>
      </c>
      <c r="B1" s="2"/>
      <c r="C1" s="2"/>
      <c r="D1" s="3"/>
    </row>
    <row r="2" ht="13.5" customHeight="1"/>
    <row r="3" ht="13.5" customHeight="1">
      <c r="A3" s="7" t="s">
        <v>4</v>
      </c>
      <c r="B3" s="7" t="s">
        <v>52</v>
      </c>
      <c r="C3" s="7" t="s">
        <v>56</v>
      </c>
      <c r="D3" s="7" t="s">
        <v>60</v>
      </c>
    </row>
    <row r="4" ht="13.5" customHeight="1">
      <c r="A4" s="5" t="s">
        <v>66</v>
      </c>
      <c r="B4" s="5" t="s">
        <v>69</v>
      </c>
      <c r="C4" s="5" t="s">
        <v>82</v>
      </c>
      <c r="D4" s="5" t="s">
        <v>84</v>
      </c>
    </row>
    <row r="5" ht="13.5" customHeight="1">
      <c r="A5" s="5" t="s">
        <v>86</v>
      </c>
      <c r="B5" s="5" t="s">
        <v>88</v>
      </c>
      <c r="C5" s="5" t="s">
        <v>90</v>
      </c>
      <c r="D5" s="5" t="s">
        <v>93</v>
      </c>
    </row>
    <row r="6" ht="13.5" customHeight="1">
      <c r="A6" s="5" t="s">
        <v>98</v>
      </c>
      <c r="B6" s="5" t="s">
        <v>100</v>
      </c>
      <c r="C6" s="5" t="s">
        <v>104</v>
      </c>
      <c r="D6" s="5" t="s">
        <v>108</v>
      </c>
    </row>
    <row r="7" ht="13.5" customHeight="1">
      <c r="A7" s="5" t="s">
        <v>110</v>
      </c>
      <c r="B7" s="5" t="s">
        <v>111</v>
      </c>
      <c r="C7" s="5" t="s">
        <v>112</v>
      </c>
      <c r="D7" s="5" t="s">
        <v>115</v>
      </c>
    </row>
    <row r="8" ht="13.5" customHeight="1">
      <c r="A8" s="5" t="s">
        <v>117</v>
      </c>
      <c r="B8" s="5" t="s">
        <v>119</v>
      </c>
      <c r="C8" s="5" t="s">
        <v>121</v>
      </c>
      <c r="D8" s="5" t="s">
        <v>123</v>
      </c>
    </row>
    <row r="9" ht="13.5" customHeight="1">
      <c r="A9" s="5" t="s">
        <v>124</v>
      </c>
      <c r="B9" s="5" t="s">
        <v>125</v>
      </c>
      <c r="C9" s="5" t="s">
        <v>127</v>
      </c>
      <c r="D9" s="5" t="s">
        <v>128</v>
      </c>
    </row>
    <row r="10" ht="13.5" customHeight="1">
      <c r="A10" s="5" t="s">
        <v>130</v>
      </c>
      <c r="B10" s="5" t="s">
        <v>132</v>
      </c>
      <c r="C10" s="5" t="s">
        <v>133</v>
      </c>
      <c r="D10" s="5" t="s">
        <v>135</v>
      </c>
    </row>
    <row r="11" ht="13.5" customHeight="1">
      <c r="A11" s="5" t="s">
        <v>139</v>
      </c>
      <c r="B11" s="5" t="s">
        <v>141</v>
      </c>
      <c r="C11" s="5" t="s">
        <v>143</v>
      </c>
      <c r="D11" s="5" t="s">
        <v>145</v>
      </c>
    </row>
    <row r="12" ht="13.5" customHeight="1">
      <c r="A12" s="5" t="s">
        <v>146</v>
      </c>
      <c r="B12" s="5" t="s">
        <v>147</v>
      </c>
      <c r="C12" s="5" t="s">
        <v>149</v>
      </c>
      <c r="D12" s="5" t="s">
        <v>150</v>
      </c>
    </row>
    <row r="13" ht="13.5" customHeight="1">
      <c r="A13" s="5" t="s">
        <v>152</v>
      </c>
      <c r="B13" s="5" t="s">
        <v>153</v>
      </c>
      <c r="C13" s="5" t="s">
        <v>156</v>
      </c>
      <c r="D13" s="5" t="s">
        <v>159</v>
      </c>
    </row>
    <row r="14" ht="13.5" customHeight="1">
      <c r="A14" s="5" t="s">
        <v>162</v>
      </c>
      <c r="B14" s="5" t="s">
        <v>165</v>
      </c>
      <c r="C14" s="5" t="s">
        <v>167</v>
      </c>
      <c r="D14" s="5" t="s">
        <v>169</v>
      </c>
    </row>
    <row r="15" ht="13.5" customHeight="1">
      <c r="A15" s="5" t="s">
        <v>171</v>
      </c>
      <c r="B15" s="5" t="s">
        <v>174</v>
      </c>
      <c r="C15" s="5" t="s">
        <v>175</v>
      </c>
      <c r="D15" s="5" t="s">
        <v>178</v>
      </c>
    </row>
    <row r="16" ht="13.5" customHeight="1">
      <c r="A16" s="5" t="s">
        <v>181</v>
      </c>
      <c r="B16" s="5" t="s">
        <v>183</v>
      </c>
      <c r="C16" s="5" t="s">
        <v>186</v>
      </c>
      <c r="D16" s="5" t="s">
        <v>189</v>
      </c>
    </row>
    <row r="17" ht="13.5" customHeight="1">
      <c r="A17" s="5" t="s">
        <v>194</v>
      </c>
      <c r="B17" s="5" t="s">
        <v>197</v>
      </c>
      <c r="C17" s="5" t="s">
        <v>203</v>
      </c>
      <c r="D17" s="5" t="s">
        <v>205</v>
      </c>
    </row>
    <row r="18" ht="13.5" customHeight="1">
      <c r="A18" s="5" t="s">
        <v>207</v>
      </c>
      <c r="B18" s="5" t="s">
        <v>208</v>
      </c>
      <c r="C18" s="5" t="s">
        <v>212</v>
      </c>
      <c r="D18" s="5" t="s">
        <v>217</v>
      </c>
    </row>
    <row r="19" ht="13.5" customHeight="1">
      <c r="A19" s="5" t="s">
        <v>222</v>
      </c>
      <c r="B19" s="5" t="s">
        <v>223</v>
      </c>
      <c r="C19" s="5" t="s">
        <v>225</v>
      </c>
      <c r="D19" s="5" t="s">
        <v>228</v>
      </c>
    </row>
    <row r="20" ht="13.5" customHeight="1">
      <c r="A20" s="5" t="s">
        <v>99</v>
      </c>
      <c r="B20" s="5" t="s">
        <v>231</v>
      </c>
      <c r="C20" s="5" t="s">
        <v>232</v>
      </c>
      <c r="D20" s="5" t="s">
        <v>234</v>
      </c>
    </row>
    <row r="21" ht="13.5" customHeight="1">
      <c r="A21" s="5" t="s">
        <v>239</v>
      </c>
      <c r="B21" s="5" t="s">
        <v>243</v>
      </c>
      <c r="C21" s="5" t="s">
        <v>245</v>
      </c>
      <c r="D21" s="5" t="s">
        <v>247</v>
      </c>
    </row>
    <row r="22" ht="13.5" customHeight="1">
      <c r="A22" s="5" t="s">
        <v>248</v>
      </c>
      <c r="B22" s="5" t="s">
        <v>249</v>
      </c>
      <c r="C22" s="5" t="s">
        <v>251</v>
      </c>
      <c r="D22" s="5" t="s">
        <v>252</v>
      </c>
    </row>
    <row r="23" ht="159.75" customHeight="1">
      <c r="A23" s="5"/>
      <c r="B23" s="5"/>
      <c r="C23" s="5"/>
      <c r="D23" s="5"/>
    </row>
    <row r="24" ht="159.75" customHeight="1">
      <c r="A24" s="5"/>
      <c r="B24" s="5"/>
      <c r="C24" s="5"/>
      <c r="D24" s="5"/>
    </row>
    <row r="25" ht="159.75" customHeight="1">
      <c r="A25" s="5"/>
      <c r="B25" s="5"/>
      <c r="C25" s="5"/>
      <c r="D25" s="5"/>
    </row>
    <row r="26" ht="159.75" customHeight="1">
      <c r="A26" s="5"/>
      <c r="B26" s="5"/>
      <c r="C26" s="5"/>
      <c r="D26" s="5"/>
    </row>
    <row r="27" ht="159.75" customHeight="1">
      <c r="A27" s="5"/>
      <c r="B27" s="5"/>
      <c r="C27" s="5"/>
      <c r="D27" s="5"/>
    </row>
    <row r="28" ht="159.75" customHeight="1">
      <c r="A28" s="5"/>
      <c r="B28" s="5"/>
      <c r="C28" s="5"/>
      <c r="D28" s="5"/>
    </row>
    <row r="29" ht="159.75" customHeight="1">
      <c r="A29" s="5"/>
      <c r="B29" s="5"/>
      <c r="C29" s="5"/>
      <c r="D29" s="5"/>
    </row>
    <row r="30" ht="159.75" customHeight="1">
      <c r="A30" s="5"/>
      <c r="B30" s="5"/>
      <c r="C30" s="5"/>
      <c r="D30" s="5"/>
    </row>
    <row r="31" ht="159.75" customHeight="1">
      <c r="A31" s="5"/>
      <c r="B31" s="5"/>
      <c r="C31" s="5"/>
      <c r="D31" s="5"/>
    </row>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D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8.0"/>
    <col customWidth="1" min="3" max="3" width="60.0"/>
    <col customWidth="1" min="4" max="4" width="30.0"/>
    <col customWidth="1" min="5" max="5" width="28.0"/>
    <col customWidth="1" min="6" max="6" width="52.0"/>
    <col customWidth="1" min="7" max="26" width="8.88"/>
  </cols>
  <sheetData>
    <row r="1" ht="13.5" customHeight="1">
      <c r="A1" s="1" t="s">
        <v>0</v>
      </c>
      <c r="B1" s="2"/>
      <c r="C1" s="2"/>
      <c r="D1" s="2"/>
      <c r="E1" s="2"/>
      <c r="F1" s="3"/>
    </row>
    <row r="2" ht="13.5" customHeight="1"/>
    <row r="3" ht="13.5" customHeight="1">
      <c r="A3" s="4" t="s">
        <v>4</v>
      </c>
      <c r="B3" s="4" t="s">
        <v>6</v>
      </c>
      <c r="C3" s="4" t="s">
        <v>9</v>
      </c>
      <c r="D3" s="4" t="s">
        <v>12</v>
      </c>
      <c r="E3" s="4" t="s">
        <v>13</v>
      </c>
      <c r="F3" s="4" t="s">
        <v>15</v>
      </c>
    </row>
    <row r="4" ht="115.5" customHeight="1">
      <c r="A4" s="5" t="s">
        <v>19</v>
      </c>
      <c r="B4" s="5" t="s">
        <v>22</v>
      </c>
      <c r="C4" s="5" t="s">
        <v>25</v>
      </c>
      <c r="D4" s="5" t="s">
        <v>28</v>
      </c>
      <c r="E4" s="5" t="s">
        <v>29</v>
      </c>
      <c r="F4" s="8" t="s">
        <v>34</v>
      </c>
    </row>
    <row r="5" ht="115.5" customHeight="1">
      <c r="A5" s="5" t="s">
        <v>58</v>
      </c>
      <c r="B5" s="5" t="s">
        <v>22</v>
      </c>
      <c r="C5" s="5" t="s">
        <v>64</v>
      </c>
      <c r="D5" s="5" t="s">
        <v>28</v>
      </c>
      <c r="E5" s="5" t="s">
        <v>29</v>
      </c>
      <c r="F5" s="8" t="s">
        <v>72</v>
      </c>
    </row>
    <row r="6" ht="115.5" customHeight="1">
      <c r="A6" s="5" t="s">
        <v>76</v>
      </c>
      <c r="B6" s="5" t="s">
        <v>22</v>
      </c>
      <c r="C6" s="5" t="s">
        <v>80</v>
      </c>
      <c r="D6" s="5" t="s">
        <v>28</v>
      </c>
      <c r="E6" s="5" t="s">
        <v>29</v>
      </c>
      <c r="F6" s="8" t="s">
        <v>87</v>
      </c>
    </row>
    <row r="7" ht="115.5" customHeight="1">
      <c r="A7" s="5" t="s">
        <v>91</v>
      </c>
      <c r="B7" s="5" t="s">
        <v>22</v>
      </c>
      <c r="C7" s="5" t="s">
        <v>95</v>
      </c>
      <c r="D7" s="5" t="s">
        <v>28</v>
      </c>
      <c r="E7" s="5" t="s">
        <v>29</v>
      </c>
      <c r="F7" s="8" t="s">
        <v>102</v>
      </c>
    </row>
    <row r="8" ht="115.5" customHeight="1">
      <c r="A8" s="5" t="s">
        <v>107</v>
      </c>
      <c r="B8" s="5" t="s">
        <v>22</v>
      </c>
      <c r="C8" s="5" t="s">
        <v>109</v>
      </c>
      <c r="D8" s="5" t="s">
        <v>28</v>
      </c>
      <c r="E8" s="5" t="s">
        <v>29</v>
      </c>
      <c r="F8" s="8" t="s">
        <v>116</v>
      </c>
    </row>
    <row r="9" ht="115.5" customHeight="1">
      <c r="A9" s="5" t="s">
        <v>118</v>
      </c>
      <c r="B9" s="5" t="s">
        <v>120</v>
      </c>
      <c r="C9" s="5" t="s">
        <v>122</v>
      </c>
      <c r="D9" s="5" t="s">
        <v>28</v>
      </c>
      <c r="E9" s="5" t="s">
        <v>29</v>
      </c>
      <c r="F9" s="8" t="s">
        <v>126</v>
      </c>
    </row>
    <row r="10" ht="115.5" customHeight="1">
      <c r="A10" s="5" t="s">
        <v>129</v>
      </c>
      <c r="B10" s="5" t="s">
        <v>120</v>
      </c>
      <c r="C10" s="5" t="s">
        <v>131</v>
      </c>
      <c r="D10" s="5" t="s">
        <v>28</v>
      </c>
      <c r="E10" s="5" t="s">
        <v>29</v>
      </c>
      <c r="F10" s="8" t="s">
        <v>138</v>
      </c>
    </row>
    <row r="11" ht="115.5" customHeight="1">
      <c r="A11" s="5" t="s">
        <v>142</v>
      </c>
      <c r="B11" s="5" t="s">
        <v>120</v>
      </c>
      <c r="C11" s="5" t="s">
        <v>144</v>
      </c>
      <c r="D11" s="5" t="s">
        <v>28</v>
      </c>
      <c r="E11" s="5" t="s">
        <v>29</v>
      </c>
      <c r="F11" s="8" t="s">
        <v>148</v>
      </c>
    </row>
    <row r="12" ht="115.5" customHeight="1">
      <c r="A12" s="5" t="s">
        <v>151</v>
      </c>
      <c r="B12" s="5" t="s">
        <v>120</v>
      </c>
      <c r="C12" s="5" t="s">
        <v>155</v>
      </c>
      <c r="D12" s="5" t="s">
        <v>28</v>
      </c>
      <c r="E12" s="5" t="s">
        <v>29</v>
      </c>
      <c r="F12" s="8" t="s">
        <v>164</v>
      </c>
    </row>
    <row r="13" ht="115.5" customHeight="1">
      <c r="A13" s="5" t="s">
        <v>168</v>
      </c>
      <c r="B13" s="5" t="s">
        <v>120</v>
      </c>
      <c r="C13" s="5" t="s">
        <v>170</v>
      </c>
      <c r="D13" s="5" t="s">
        <v>28</v>
      </c>
      <c r="E13" s="5" t="s">
        <v>29</v>
      </c>
      <c r="F13" s="8" t="s">
        <v>176</v>
      </c>
    </row>
    <row r="14" ht="115.5" customHeight="1">
      <c r="A14" s="5" t="s">
        <v>180</v>
      </c>
      <c r="B14" s="5" t="s">
        <v>120</v>
      </c>
      <c r="C14" s="5" t="s">
        <v>184</v>
      </c>
      <c r="D14" s="5" t="s">
        <v>28</v>
      </c>
      <c r="E14" s="5" t="s">
        <v>29</v>
      </c>
      <c r="F14" s="8" t="s">
        <v>192</v>
      </c>
    </row>
    <row r="15" ht="115.5" customHeight="1">
      <c r="A15" s="5" t="s">
        <v>198</v>
      </c>
      <c r="B15" s="5" t="s">
        <v>199</v>
      </c>
      <c r="C15" s="5" t="s">
        <v>200</v>
      </c>
      <c r="D15" s="5" t="s">
        <v>28</v>
      </c>
      <c r="E15" s="5" t="s">
        <v>29</v>
      </c>
      <c r="F15" s="8" t="s">
        <v>202</v>
      </c>
    </row>
    <row r="16" ht="115.5" customHeight="1">
      <c r="A16" s="5" t="s">
        <v>206</v>
      </c>
      <c r="B16" s="5" t="s">
        <v>199</v>
      </c>
      <c r="C16" s="5" t="s">
        <v>210</v>
      </c>
      <c r="D16" s="5" t="s">
        <v>214</v>
      </c>
      <c r="E16" s="5" t="s">
        <v>29</v>
      </c>
      <c r="F16" s="8" t="s">
        <v>221</v>
      </c>
    </row>
    <row r="17" ht="115.5" customHeight="1">
      <c r="A17" s="5" t="s">
        <v>224</v>
      </c>
      <c r="B17" s="5" t="s">
        <v>199</v>
      </c>
      <c r="C17" s="5" t="s">
        <v>229</v>
      </c>
      <c r="D17" s="5" t="s">
        <v>214</v>
      </c>
      <c r="E17" s="5" t="s">
        <v>29</v>
      </c>
      <c r="F17" s="8" t="s">
        <v>202</v>
      </c>
    </row>
    <row r="18" ht="115.5" customHeight="1">
      <c r="A18" s="5" t="s">
        <v>241</v>
      </c>
      <c r="B18" s="5" t="s">
        <v>199</v>
      </c>
      <c r="C18" s="5" t="s">
        <v>246</v>
      </c>
      <c r="D18" s="5" t="s">
        <v>28</v>
      </c>
      <c r="E18" s="5" t="s">
        <v>29</v>
      </c>
      <c r="F18" s="8" t="s">
        <v>250</v>
      </c>
    </row>
    <row r="19" ht="115.5" customHeight="1">
      <c r="A19" s="5" t="s">
        <v>253</v>
      </c>
      <c r="B19" s="5" t="s">
        <v>199</v>
      </c>
      <c r="C19" s="5" t="s">
        <v>257</v>
      </c>
      <c r="D19" s="5" t="s">
        <v>28</v>
      </c>
      <c r="E19" s="5" t="s">
        <v>29</v>
      </c>
      <c r="F19" s="8" t="s">
        <v>261</v>
      </c>
    </row>
    <row r="20" ht="115.5" customHeight="1">
      <c r="A20" s="5" t="s">
        <v>265</v>
      </c>
      <c r="B20" s="5" t="s">
        <v>266</v>
      </c>
      <c r="C20" s="5" t="s">
        <v>268</v>
      </c>
      <c r="D20" s="5" t="s">
        <v>28</v>
      </c>
      <c r="E20" s="5" t="s">
        <v>29</v>
      </c>
      <c r="F20" s="8" t="s">
        <v>271</v>
      </c>
    </row>
    <row r="21" ht="115.5" customHeight="1">
      <c r="A21" s="5" t="s">
        <v>272</v>
      </c>
      <c r="B21" s="5" t="s">
        <v>266</v>
      </c>
      <c r="C21" s="5" t="s">
        <v>277</v>
      </c>
      <c r="D21" s="5" t="s">
        <v>28</v>
      </c>
      <c r="E21" s="5" t="s">
        <v>29</v>
      </c>
      <c r="F21" s="8" t="s">
        <v>280</v>
      </c>
    </row>
    <row r="22" ht="115.5" customHeight="1">
      <c r="A22" s="5" t="s">
        <v>282</v>
      </c>
      <c r="B22" s="5" t="s">
        <v>266</v>
      </c>
      <c r="C22" s="5" t="s">
        <v>285</v>
      </c>
      <c r="D22" s="5" t="s">
        <v>28</v>
      </c>
      <c r="E22" s="5" t="s">
        <v>29</v>
      </c>
      <c r="F22" s="8" t="s">
        <v>261</v>
      </c>
    </row>
    <row r="23" ht="115.5" customHeight="1">
      <c r="A23" s="5" t="s">
        <v>292</v>
      </c>
      <c r="B23" s="5" t="s">
        <v>266</v>
      </c>
      <c r="C23" s="5" t="s">
        <v>293</v>
      </c>
      <c r="D23" s="5" t="s">
        <v>28</v>
      </c>
      <c r="E23" s="5" t="s">
        <v>29</v>
      </c>
      <c r="F23" s="8" t="s">
        <v>271</v>
      </c>
    </row>
    <row r="24" ht="115.5" customHeight="1">
      <c r="A24" s="5" t="s">
        <v>296</v>
      </c>
      <c r="B24" s="5" t="s">
        <v>266</v>
      </c>
      <c r="C24" s="5" t="s">
        <v>299</v>
      </c>
      <c r="D24" s="5" t="s">
        <v>28</v>
      </c>
      <c r="E24" s="5" t="s">
        <v>29</v>
      </c>
      <c r="F24" s="8" t="s">
        <v>271</v>
      </c>
    </row>
    <row r="25" ht="115.5" customHeight="1">
      <c r="A25" s="5" t="s">
        <v>303</v>
      </c>
      <c r="B25" s="5" t="s">
        <v>266</v>
      </c>
      <c r="C25" s="5" t="s">
        <v>304</v>
      </c>
      <c r="D25" s="5" t="s">
        <v>28</v>
      </c>
      <c r="E25" s="5" t="s">
        <v>29</v>
      </c>
      <c r="F25" s="8" t="s">
        <v>280</v>
      </c>
    </row>
    <row r="26" ht="115.5" customHeight="1">
      <c r="A26" s="5" t="s">
        <v>306</v>
      </c>
      <c r="B26" s="5" t="s">
        <v>307</v>
      </c>
      <c r="C26" s="5" t="s">
        <v>309</v>
      </c>
      <c r="D26" s="5" t="s">
        <v>28</v>
      </c>
      <c r="E26" s="5" t="s">
        <v>29</v>
      </c>
      <c r="F26" s="8" t="s">
        <v>315</v>
      </c>
    </row>
    <row r="27" ht="115.5" customHeight="1">
      <c r="A27" s="5" t="s">
        <v>316</v>
      </c>
      <c r="B27" s="5" t="s">
        <v>307</v>
      </c>
      <c r="C27" s="5" t="s">
        <v>318</v>
      </c>
      <c r="D27" s="5" t="s">
        <v>28</v>
      </c>
      <c r="E27" s="5" t="s">
        <v>29</v>
      </c>
      <c r="F27" s="8" t="s">
        <v>319</v>
      </c>
    </row>
    <row r="28" ht="115.5" customHeight="1">
      <c r="A28" s="5" t="s">
        <v>322</v>
      </c>
      <c r="B28" s="5" t="s">
        <v>307</v>
      </c>
      <c r="C28" s="5" t="s">
        <v>325</v>
      </c>
      <c r="D28" s="5" t="s">
        <v>28</v>
      </c>
      <c r="E28" s="5" t="s">
        <v>29</v>
      </c>
      <c r="F28" s="8" t="s">
        <v>327</v>
      </c>
    </row>
    <row r="29" ht="115.5" customHeight="1">
      <c r="A29" s="5" t="s">
        <v>328</v>
      </c>
      <c r="B29" s="5" t="s">
        <v>307</v>
      </c>
      <c r="C29" s="5" t="s">
        <v>330</v>
      </c>
      <c r="D29" s="5" t="s">
        <v>28</v>
      </c>
      <c r="E29" s="5" t="s">
        <v>29</v>
      </c>
      <c r="F29" s="8" t="s">
        <v>332</v>
      </c>
    </row>
    <row r="30" ht="115.5" customHeight="1">
      <c r="A30" s="5" t="s">
        <v>334</v>
      </c>
      <c r="B30" s="5" t="s">
        <v>307</v>
      </c>
      <c r="C30" s="5" t="s">
        <v>338</v>
      </c>
      <c r="D30" s="5" t="s">
        <v>28</v>
      </c>
      <c r="E30" s="5" t="s">
        <v>29</v>
      </c>
      <c r="F30" s="8" t="s">
        <v>342</v>
      </c>
    </row>
    <row r="31" ht="115.5" customHeight="1">
      <c r="A31" s="5" t="s">
        <v>343</v>
      </c>
      <c r="B31" s="5" t="s">
        <v>307</v>
      </c>
      <c r="C31" s="5" t="s">
        <v>346</v>
      </c>
      <c r="D31" s="5" t="s">
        <v>28</v>
      </c>
      <c r="E31" s="5" t="s">
        <v>29</v>
      </c>
      <c r="F31" s="8" t="s">
        <v>348</v>
      </c>
    </row>
    <row r="32" ht="115.5" customHeight="1">
      <c r="A32" s="5" t="s">
        <v>351</v>
      </c>
      <c r="B32" s="5" t="s">
        <v>353</v>
      </c>
      <c r="C32" s="5" t="s">
        <v>356</v>
      </c>
      <c r="D32" s="5" t="s">
        <v>28</v>
      </c>
      <c r="E32" s="5" t="s">
        <v>29</v>
      </c>
      <c r="F32" s="8" t="s">
        <v>359</v>
      </c>
    </row>
    <row r="33" ht="115.5" customHeight="1">
      <c r="A33" s="5" t="s">
        <v>370</v>
      </c>
      <c r="B33" s="5" t="s">
        <v>353</v>
      </c>
      <c r="C33" s="5" t="s">
        <v>371</v>
      </c>
      <c r="D33" s="5" t="s">
        <v>28</v>
      </c>
      <c r="E33" s="5" t="s">
        <v>29</v>
      </c>
      <c r="F33" s="8" t="s">
        <v>375</v>
      </c>
    </row>
    <row r="34" ht="115.5" customHeight="1">
      <c r="A34" s="5" t="s">
        <v>378</v>
      </c>
      <c r="B34" s="5" t="s">
        <v>353</v>
      </c>
      <c r="C34" s="5" t="s">
        <v>379</v>
      </c>
      <c r="D34" s="5" t="s">
        <v>28</v>
      </c>
      <c r="E34" s="5" t="s">
        <v>29</v>
      </c>
      <c r="F34" s="8" t="s">
        <v>382</v>
      </c>
    </row>
    <row r="35" ht="115.5" customHeight="1">
      <c r="A35" s="5" t="s">
        <v>383</v>
      </c>
      <c r="B35" s="5" t="s">
        <v>353</v>
      </c>
      <c r="C35" s="5" t="s">
        <v>384</v>
      </c>
      <c r="D35" s="5" t="s">
        <v>28</v>
      </c>
      <c r="E35" s="5" t="s">
        <v>29</v>
      </c>
      <c r="F35" s="8" t="s">
        <v>388</v>
      </c>
    </row>
    <row r="36" ht="115.5" customHeight="1">
      <c r="A36" s="5" t="s">
        <v>391</v>
      </c>
      <c r="B36" s="5" t="s">
        <v>353</v>
      </c>
      <c r="C36" s="5" t="s">
        <v>393</v>
      </c>
      <c r="D36" s="5" t="s">
        <v>28</v>
      </c>
      <c r="E36" s="5" t="s">
        <v>29</v>
      </c>
      <c r="F36" s="8" t="s">
        <v>394</v>
      </c>
    </row>
    <row r="37" ht="115.5" customHeight="1">
      <c r="A37" s="5" t="s">
        <v>396</v>
      </c>
      <c r="B37" s="5" t="s">
        <v>353</v>
      </c>
      <c r="C37" s="5" t="s">
        <v>397</v>
      </c>
      <c r="D37" s="5" t="s">
        <v>28</v>
      </c>
      <c r="E37" s="5" t="s">
        <v>29</v>
      </c>
      <c r="F37" s="8" t="s">
        <v>399</v>
      </c>
    </row>
    <row r="38" ht="115.5" customHeight="1">
      <c r="A38" s="5" t="s">
        <v>402</v>
      </c>
      <c r="B38" s="5" t="s">
        <v>353</v>
      </c>
      <c r="C38" s="5" t="s">
        <v>405</v>
      </c>
      <c r="D38" s="5" t="s">
        <v>28</v>
      </c>
      <c r="E38" s="5" t="s">
        <v>29</v>
      </c>
      <c r="F38" s="8" t="s">
        <v>407</v>
      </c>
    </row>
    <row r="39" ht="115.5" customHeight="1">
      <c r="A39" s="5" t="s">
        <v>409</v>
      </c>
      <c r="B39" s="5" t="s">
        <v>353</v>
      </c>
      <c r="C39" s="5" t="s">
        <v>410</v>
      </c>
      <c r="D39" s="5" t="s">
        <v>28</v>
      </c>
      <c r="E39" s="5" t="s">
        <v>29</v>
      </c>
      <c r="F39" s="8" t="s">
        <v>413</v>
      </c>
    </row>
    <row r="40" ht="115.5" customHeight="1">
      <c r="A40" s="5" t="s">
        <v>416</v>
      </c>
      <c r="B40" s="5" t="s">
        <v>417</v>
      </c>
      <c r="C40" s="5" t="s">
        <v>419</v>
      </c>
      <c r="D40" s="5" t="s">
        <v>28</v>
      </c>
      <c r="E40" s="5" t="s">
        <v>29</v>
      </c>
      <c r="F40" s="8" t="s">
        <v>421</v>
      </c>
    </row>
    <row r="41" ht="115.5" customHeight="1">
      <c r="A41" s="5" t="s">
        <v>422</v>
      </c>
      <c r="B41" s="5" t="s">
        <v>417</v>
      </c>
      <c r="C41" s="5" t="s">
        <v>424</v>
      </c>
      <c r="D41" s="5" t="s">
        <v>28</v>
      </c>
      <c r="E41" s="5" t="s">
        <v>29</v>
      </c>
      <c r="F41" s="8" t="s">
        <v>427</v>
      </c>
    </row>
    <row r="42" ht="115.5" customHeight="1">
      <c r="A42" s="5" t="s">
        <v>428</v>
      </c>
      <c r="B42" s="5" t="s">
        <v>417</v>
      </c>
      <c r="C42" s="5" t="s">
        <v>430</v>
      </c>
      <c r="D42" s="5" t="s">
        <v>28</v>
      </c>
      <c r="E42" s="5" t="s">
        <v>29</v>
      </c>
      <c r="F42" s="8" t="s">
        <v>436</v>
      </c>
    </row>
    <row r="43" ht="115.5" customHeight="1">
      <c r="A43" s="5" t="s">
        <v>437</v>
      </c>
      <c r="B43" s="5" t="s">
        <v>417</v>
      </c>
      <c r="C43" s="5" t="s">
        <v>438</v>
      </c>
      <c r="D43" s="5" t="s">
        <v>28</v>
      </c>
      <c r="E43" s="5" t="s">
        <v>29</v>
      </c>
      <c r="F43" s="8" t="s">
        <v>441</v>
      </c>
    </row>
    <row r="44" ht="115.5" customHeight="1">
      <c r="A44" s="5" t="s">
        <v>442</v>
      </c>
      <c r="B44" s="5" t="s">
        <v>417</v>
      </c>
      <c r="C44" s="5" t="s">
        <v>445</v>
      </c>
      <c r="D44" s="5" t="s">
        <v>28</v>
      </c>
      <c r="E44" s="5" t="s">
        <v>29</v>
      </c>
      <c r="F44" s="8" t="s">
        <v>449</v>
      </c>
    </row>
    <row r="45" ht="115.5" customHeight="1">
      <c r="A45" s="5" t="s">
        <v>450</v>
      </c>
      <c r="B45" s="5" t="s">
        <v>451</v>
      </c>
      <c r="C45" s="5" t="s">
        <v>452</v>
      </c>
      <c r="D45" s="5" t="s">
        <v>28</v>
      </c>
      <c r="E45" s="5" t="s">
        <v>29</v>
      </c>
      <c r="F45" s="8" t="s">
        <v>455</v>
      </c>
    </row>
    <row r="46" ht="115.5" customHeight="1">
      <c r="A46" s="5" t="s">
        <v>456</v>
      </c>
      <c r="B46" s="5" t="s">
        <v>451</v>
      </c>
      <c r="C46" s="5" t="s">
        <v>459</v>
      </c>
      <c r="D46" s="5" t="s">
        <v>28</v>
      </c>
      <c r="E46" s="5" t="s">
        <v>29</v>
      </c>
      <c r="F46" s="8" t="s">
        <v>463</v>
      </c>
    </row>
    <row r="47" ht="115.5" customHeight="1">
      <c r="A47" s="5" t="s">
        <v>464</v>
      </c>
      <c r="B47" s="5" t="s">
        <v>451</v>
      </c>
      <c r="C47" s="5" t="s">
        <v>465</v>
      </c>
      <c r="D47" s="5" t="s">
        <v>467</v>
      </c>
      <c r="E47" s="5" t="s">
        <v>29</v>
      </c>
      <c r="F47" s="8" t="s">
        <v>468</v>
      </c>
    </row>
    <row r="48" ht="115.5" customHeight="1">
      <c r="A48" s="5" t="s">
        <v>470</v>
      </c>
      <c r="B48" s="5" t="s">
        <v>451</v>
      </c>
      <c r="C48" s="5" t="s">
        <v>474</v>
      </c>
      <c r="D48" s="5" t="s">
        <v>28</v>
      </c>
      <c r="E48" s="5" t="s">
        <v>29</v>
      </c>
      <c r="F48" s="8" t="s">
        <v>476</v>
      </c>
    </row>
    <row r="49" ht="115.5" customHeight="1">
      <c r="A49" s="5" t="s">
        <v>477</v>
      </c>
      <c r="B49" s="5" t="s">
        <v>451</v>
      </c>
      <c r="C49" s="5" t="s">
        <v>478</v>
      </c>
      <c r="D49" s="5" t="s">
        <v>28</v>
      </c>
      <c r="E49" s="5" t="s">
        <v>29</v>
      </c>
      <c r="F49" s="8" t="s">
        <v>481</v>
      </c>
    </row>
    <row r="50" ht="115.5" customHeight="1">
      <c r="A50" s="5" t="s">
        <v>482</v>
      </c>
      <c r="B50" s="5" t="s">
        <v>483</v>
      </c>
      <c r="C50" s="5" t="s">
        <v>485</v>
      </c>
      <c r="D50" s="5" t="s">
        <v>28</v>
      </c>
      <c r="E50" s="5" t="s">
        <v>29</v>
      </c>
      <c r="F50" s="8" t="s">
        <v>489</v>
      </c>
    </row>
    <row r="51" ht="115.5" customHeight="1">
      <c r="A51" s="5" t="s">
        <v>490</v>
      </c>
      <c r="B51" s="5" t="s">
        <v>483</v>
      </c>
      <c r="C51" s="5" t="s">
        <v>491</v>
      </c>
      <c r="D51" s="5" t="s">
        <v>28</v>
      </c>
      <c r="E51" s="5" t="s">
        <v>29</v>
      </c>
      <c r="F51" s="8" t="s">
        <v>493</v>
      </c>
    </row>
    <row r="52" ht="115.5" customHeight="1">
      <c r="A52" s="5" t="s">
        <v>494</v>
      </c>
      <c r="B52" s="5" t="s">
        <v>483</v>
      </c>
      <c r="C52" s="5" t="s">
        <v>496</v>
      </c>
      <c r="D52" s="5" t="s">
        <v>28</v>
      </c>
      <c r="E52" s="5" t="s">
        <v>29</v>
      </c>
      <c r="F52" s="8" t="s">
        <v>503</v>
      </c>
    </row>
    <row r="53" ht="115.5" customHeight="1">
      <c r="A53" s="5" t="s">
        <v>504</v>
      </c>
      <c r="B53" s="5" t="s">
        <v>483</v>
      </c>
      <c r="C53" s="5" t="s">
        <v>505</v>
      </c>
      <c r="D53" s="5" t="s">
        <v>28</v>
      </c>
      <c r="E53" s="5" t="s">
        <v>29</v>
      </c>
      <c r="F53" s="8" t="s">
        <v>508</v>
      </c>
    </row>
    <row r="54" ht="115.5" customHeight="1">
      <c r="A54" s="5" t="s">
        <v>509</v>
      </c>
      <c r="B54" s="5" t="s">
        <v>483</v>
      </c>
      <c r="C54" s="5" t="s">
        <v>511</v>
      </c>
      <c r="D54" s="5" t="s">
        <v>28</v>
      </c>
      <c r="E54" s="5" t="s">
        <v>29</v>
      </c>
      <c r="F54" s="8" t="s">
        <v>514</v>
      </c>
    </row>
    <row r="55" ht="115.5" customHeight="1">
      <c r="A55" s="5" t="s">
        <v>517</v>
      </c>
      <c r="B55" s="5" t="s">
        <v>519</v>
      </c>
      <c r="C55" s="5" t="s">
        <v>520</v>
      </c>
      <c r="D55" s="5" t="s">
        <v>28</v>
      </c>
      <c r="E55" s="5" t="s">
        <v>29</v>
      </c>
      <c r="F55" s="8" t="s">
        <v>521</v>
      </c>
    </row>
    <row r="56" ht="115.5" customHeight="1">
      <c r="A56" s="5" t="s">
        <v>523</v>
      </c>
      <c r="B56" s="5" t="s">
        <v>519</v>
      </c>
      <c r="C56" s="5" t="s">
        <v>524</v>
      </c>
      <c r="D56" s="5" t="s">
        <v>28</v>
      </c>
      <c r="E56" s="5" t="s">
        <v>29</v>
      </c>
      <c r="F56" s="8" t="s">
        <v>526</v>
      </c>
    </row>
    <row r="57" ht="115.5" customHeight="1">
      <c r="A57" s="5" t="s">
        <v>530</v>
      </c>
      <c r="B57" s="5" t="s">
        <v>519</v>
      </c>
      <c r="C57" s="5" t="s">
        <v>531</v>
      </c>
      <c r="D57" s="5" t="s">
        <v>28</v>
      </c>
      <c r="E57" s="5" t="s">
        <v>29</v>
      </c>
      <c r="F57" s="8" t="s">
        <v>533</v>
      </c>
    </row>
    <row r="58" ht="115.5" customHeight="1">
      <c r="A58" s="5" t="s">
        <v>535</v>
      </c>
      <c r="B58" s="5" t="s">
        <v>519</v>
      </c>
      <c r="C58" s="5" t="s">
        <v>536</v>
      </c>
      <c r="D58" s="5" t="s">
        <v>28</v>
      </c>
      <c r="E58" s="5" t="s">
        <v>29</v>
      </c>
      <c r="F58" s="8" t="s">
        <v>455</v>
      </c>
    </row>
    <row r="59" ht="115.5" customHeight="1">
      <c r="A59" s="5" t="s">
        <v>542</v>
      </c>
      <c r="B59" s="5" t="s">
        <v>519</v>
      </c>
      <c r="C59" s="5" t="s">
        <v>543</v>
      </c>
      <c r="D59" s="5" t="s">
        <v>28</v>
      </c>
      <c r="E59" s="5" t="s">
        <v>29</v>
      </c>
      <c r="F59" s="8" t="s">
        <v>544</v>
      </c>
    </row>
    <row r="60" ht="115.5" customHeight="1">
      <c r="A60" s="5" t="s">
        <v>546</v>
      </c>
      <c r="B60" s="5" t="s">
        <v>547</v>
      </c>
      <c r="C60" s="5" t="s">
        <v>549</v>
      </c>
      <c r="D60" s="5" t="s">
        <v>28</v>
      </c>
      <c r="E60" s="5" t="s">
        <v>29</v>
      </c>
      <c r="F60" s="8" t="s">
        <v>552</v>
      </c>
    </row>
    <row r="61" ht="115.5" customHeight="1">
      <c r="A61" s="5" t="s">
        <v>555</v>
      </c>
      <c r="B61" s="5" t="s">
        <v>547</v>
      </c>
      <c r="C61" s="5" t="s">
        <v>556</v>
      </c>
      <c r="D61" s="5" t="s">
        <v>28</v>
      </c>
      <c r="E61" s="5" t="s">
        <v>29</v>
      </c>
      <c r="F61" s="8" t="s">
        <v>557</v>
      </c>
    </row>
    <row r="62" ht="115.5" customHeight="1">
      <c r="A62" s="5" t="s">
        <v>559</v>
      </c>
      <c r="B62" s="5" t="s">
        <v>547</v>
      </c>
      <c r="C62" s="5" t="s">
        <v>560</v>
      </c>
      <c r="D62" s="5" t="s">
        <v>28</v>
      </c>
      <c r="E62" s="5" t="s">
        <v>29</v>
      </c>
      <c r="F62" s="8" t="s">
        <v>562</v>
      </c>
    </row>
    <row r="63" ht="115.5" customHeight="1">
      <c r="A63" s="5" t="s">
        <v>565</v>
      </c>
      <c r="B63" s="5" t="s">
        <v>547</v>
      </c>
      <c r="C63" s="5" t="s">
        <v>567</v>
      </c>
      <c r="D63" s="5" t="s">
        <v>28</v>
      </c>
      <c r="E63" s="5" t="s">
        <v>29</v>
      </c>
      <c r="F63" s="8" t="s">
        <v>568</v>
      </c>
    </row>
    <row r="64" ht="115.5" customHeight="1">
      <c r="A64" s="5" t="s">
        <v>570</v>
      </c>
      <c r="B64" s="5" t="s">
        <v>547</v>
      </c>
      <c r="C64" s="5" t="s">
        <v>571</v>
      </c>
      <c r="D64" s="5" t="s">
        <v>28</v>
      </c>
      <c r="E64" s="5" t="s">
        <v>29</v>
      </c>
      <c r="F64" s="8" t="s">
        <v>574</v>
      </c>
    </row>
    <row r="65" ht="115.5" customHeight="1">
      <c r="A65" s="5" t="s">
        <v>578</v>
      </c>
      <c r="B65" s="5" t="s">
        <v>579</v>
      </c>
      <c r="C65" s="5" t="s">
        <v>581</v>
      </c>
      <c r="D65" s="5" t="s">
        <v>28</v>
      </c>
      <c r="E65" s="5" t="s">
        <v>29</v>
      </c>
      <c r="F65" s="8" t="s">
        <v>582</v>
      </c>
    </row>
    <row r="66" ht="115.5" customHeight="1">
      <c r="A66" s="5" t="s">
        <v>583</v>
      </c>
      <c r="B66" s="5" t="s">
        <v>579</v>
      </c>
      <c r="C66" s="5" t="s">
        <v>584</v>
      </c>
      <c r="D66" s="5" t="s">
        <v>28</v>
      </c>
      <c r="E66" s="5" t="s">
        <v>29</v>
      </c>
      <c r="F66" s="8" t="s">
        <v>587</v>
      </c>
    </row>
    <row r="67" ht="115.5" customHeight="1">
      <c r="A67" s="5" t="s">
        <v>588</v>
      </c>
      <c r="B67" s="5" t="s">
        <v>579</v>
      </c>
      <c r="C67" s="5" t="s">
        <v>589</v>
      </c>
      <c r="D67" s="5" t="s">
        <v>28</v>
      </c>
      <c r="E67" s="5" t="s">
        <v>29</v>
      </c>
      <c r="F67" s="8" t="s">
        <v>596</v>
      </c>
    </row>
    <row r="68" ht="115.5" customHeight="1">
      <c r="A68" s="5" t="s">
        <v>599</v>
      </c>
      <c r="B68" s="5" t="s">
        <v>579</v>
      </c>
      <c r="C68" s="5" t="s">
        <v>602</v>
      </c>
      <c r="D68" s="5" t="s">
        <v>604</v>
      </c>
      <c r="E68" s="5" t="s">
        <v>29</v>
      </c>
      <c r="F68" s="8" t="s">
        <v>606</v>
      </c>
    </row>
    <row r="69" ht="115.5" customHeight="1">
      <c r="A69" s="5" t="s">
        <v>607</v>
      </c>
      <c r="B69" s="5" t="s">
        <v>608</v>
      </c>
      <c r="C69" s="5" t="s">
        <v>610</v>
      </c>
      <c r="D69" s="5" t="s">
        <v>28</v>
      </c>
      <c r="E69" s="5" t="s">
        <v>29</v>
      </c>
      <c r="F69" s="8" t="s">
        <v>611</v>
      </c>
    </row>
    <row r="70" ht="115.5" customHeight="1">
      <c r="A70" s="5" t="s">
        <v>613</v>
      </c>
      <c r="B70" s="5" t="s">
        <v>608</v>
      </c>
      <c r="C70" s="5" t="s">
        <v>616</v>
      </c>
      <c r="D70" s="5" t="s">
        <v>28</v>
      </c>
      <c r="E70" s="5" t="s">
        <v>29</v>
      </c>
      <c r="F70" s="8" t="s">
        <v>619</v>
      </c>
    </row>
    <row r="71" ht="115.5" customHeight="1">
      <c r="A71" s="5" t="s">
        <v>622</v>
      </c>
      <c r="B71" s="5" t="s">
        <v>608</v>
      </c>
      <c r="C71" s="5" t="s">
        <v>623</v>
      </c>
      <c r="D71" s="5" t="s">
        <v>467</v>
      </c>
      <c r="E71" s="5" t="s">
        <v>29</v>
      </c>
      <c r="F71" s="8" t="s">
        <v>625</v>
      </c>
    </row>
    <row r="72" ht="115.5" customHeight="1">
      <c r="A72" s="5" t="s">
        <v>628</v>
      </c>
      <c r="B72" s="5" t="s">
        <v>608</v>
      </c>
      <c r="C72" s="5" t="s">
        <v>631</v>
      </c>
      <c r="D72" s="5" t="s">
        <v>604</v>
      </c>
      <c r="E72" s="5" t="s">
        <v>29</v>
      </c>
      <c r="F72" s="8" t="s">
        <v>633</v>
      </c>
    </row>
    <row r="73" ht="115.5" customHeight="1">
      <c r="A73" s="5" t="s">
        <v>634</v>
      </c>
      <c r="B73" s="5" t="s">
        <v>608</v>
      </c>
      <c r="C73" s="5" t="s">
        <v>635</v>
      </c>
      <c r="D73" s="5" t="s">
        <v>28</v>
      </c>
      <c r="E73" s="5" t="s">
        <v>29</v>
      </c>
      <c r="F73" s="8" t="s">
        <v>636</v>
      </c>
    </row>
    <row r="74" ht="115.5" customHeight="1">
      <c r="A74" s="5" t="s">
        <v>638</v>
      </c>
      <c r="B74" s="5" t="s">
        <v>608</v>
      </c>
      <c r="C74" s="5" t="s">
        <v>639</v>
      </c>
      <c r="D74" s="5" t="s">
        <v>28</v>
      </c>
      <c r="E74" s="5" t="s">
        <v>29</v>
      </c>
      <c r="F74" s="8" t="s">
        <v>640</v>
      </c>
    </row>
    <row r="75" ht="115.5" customHeight="1">
      <c r="A75" s="5" t="s">
        <v>641</v>
      </c>
      <c r="B75" s="5" t="s">
        <v>642</v>
      </c>
      <c r="C75" s="5" t="s">
        <v>644</v>
      </c>
      <c r="D75" s="5" t="s">
        <v>28</v>
      </c>
      <c r="E75" s="5" t="s">
        <v>29</v>
      </c>
      <c r="F75" s="8" t="s">
        <v>650</v>
      </c>
    </row>
    <row r="76" ht="115.5" customHeight="1">
      <c r="A76" s="5" t="s">
        <v>652</v>
      </c>
      <c r="B76" s="5" t="s">
        <v>642</v>
      </c>
      <c r="C76" s="5" t="s">
        <v>653</v>
      </c>
      <c r="D76" s="5" t="s">
        <v>28</v>
      </c>
      <c r="E76" s="5" t="s">
        <v>29</v>
      </c>
      <c r="F76" s="8" t="s">
        <v>655</v>
      </c>
    </row>
    <row r="77" ht="115.5" customHeight="1">
      <c r="A77" s="5" t="s">
        <v>656</v>
      </c>
      <c r="B77" s="5" t="s">
        <v>642</v>
      </c>
      <c r="C77" s="5" t="s">
        <v>657</v>
      </c>
      <c r="D77" s="5" t="s">
        <v>28</v>
      </c>
      <c r="E77" s="5" t="s">
        <v>29</v>
      </c>
      <c r="F77" s="8" t="s">
        <v>663</v>
      </c>
    </row>
    <row r="78" ht="115.5" customHeight="1">
      <c r="A78" s="5" t="s">
        <v>664</v>
      </c>
      <c r="B78" s="5" t="s">
        <v>642</v>
      </c>
      <c r="C78" s="5" t="s">
        <v>665</v>
      </c>
      <c r="D78" s="5" t="s">
        <v>604</v>
      </c>
      <c r="E78" s="5" t="s">
        <v>29</v>
      </c>
      <c r="F78" s="8" t="s">
        <v>667</v>
      </c>
    </row>
    <row r="79" ht="115.5" customHeight="1">
      <c r="A79" s="5" t="s">
        <v>668</v>
      </c>
      <c r="B79" s="5" t="s">
        <v>642</v>
      </c>
      <c r="C79" s="5" t="s">
        <v>670</v>
      </c>
      <c r="D79" s="5" t="s">
        <v>28</v>
      </c>
      <c r="E79" s="5" t="s">
        <v>29</v>
      </c>
      <c r="F79" s="8" t="s">
        <v>675</v>
      </c>
    </row>
    <row r="80" ht="115.5" customHeight="1">
      <c r="A80" s="5" t="s">
        <v>676</v>
      </c>
      <c r="B80" s="5" t="s">
        <v>642</v>
      </c>
      <c r="C80" s="5" t="s">
        <v>677</v>
      </c>
      <c r="D80" s="5" t="s">
        <v>28</v>
      </c>
      <c r="E80" s="5" t="s">
        <v>29</v>
      </c>
      <c r="F80" s="8" t="s">
        <v>680</v>
      </c>
    </row>
    <row r="81" ht="115.5" customHeight="1">
      <c r="A81" s="5" t="s">
        <v>689</v>
      </c>
      <c r="B81" s="5" t="s">
        <v>642</v>
      </c>
      <c r="C81" s="5" t="s">
        <v>693</v>
      </c>
      <c r="D81" s="5" t="s">
        <v>28</v>
      </c>
      <c r="E81" s="5" t="s">
        <v>29</v>
      </c>
      <c r="F81" s="8" t="s">
        <v>694</v>
      </c>
    </row>
    <row r="82" ht="115.5" customHeight="1">
      <c r="A82" s="5" t="s">
        <v>696</v>
      </c>
      <c r="B82" s="5" t="s">
        <v>698</v>
      </c>
      <c r="C82" s="5" t="s">
        <v>699</v>
      </c>
      <c r="D82" s="5" t="s">
        <v>28</v>
      </c>
      <c r="E82" s="5" t="s">
        <v>29</v>
      </c>
      <c r="F82" s="8" t="s">
        <v>707</v>
      </c>
    </row>
    <row r="83" ht="115.5" customHeight="1">
      <c r="A83" s="5" t="s">
        <v>708</v>
      </c>
      <c r="B83" s="5" t="s">
        <v>698</v>
      </c>
      <c r="C83" s="5" t="s">
        <v>710</v>
      </c>
      <c r="D83" s="5" t="s">
        <v>28</v>
      </c>
      <c r="E83" s="5" t="s">
        <v>29</v>
      </c>
      <c r="F83" s="8" t="s">
        <v>712</v>
      </c>
    </row>
    <row r="84" ht="115.5" customHeight="1">
      <c r="A84" s="5"/>
      <c r="B84" s="5"/>
      <c r="C84" s="5"/>
      <c r="D84" s="5"/>
      <c r="E84" s="5"/>
      <c r="F84" s="8"/>
    </row>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46.0"/>
    <col customWidth="1" min="3" max="3" width="24.0"/>
    <col customWidth="1" min="4" max="4" width="60.0"/>
    <col customWidth="1" min="5" max="5" width="58.0"/>
    <col customWidth="1" min="6" max="26" width="8.88"/>
  </cols>
  <sheetData>
    <row r="1" ht="13.5" customHeight="1">
      <c r="A1" s="1" t="s">
        <v>3</v>
      </c>
      <c r="B1" s="2"/>
      <c r="C1" s="2"/>
      <c r="D1" s="2"/>
      <c r="E1" s="3"/>
    </row>
    <row r="2" ht="13.5" customHeight="1"/>
    <row r="3" ht="13.5" customHeight="1">
      <c r="A3" s="4" t="s">
        <v>5</v>
      </c>
      <c r="B3" s="4" t="s">
        <v>7</v>
      </c>
      <c r="C3" s="4" t="s">
        <v>8</v>
      </c>
      <c r="D3" s="4" t="s">
        <v>10</v>
      </c>
      <c r="E3" s="4" t="s">
        <v>11</v>
      </c>
    </row>
    <row r="4" ht="13.5" customHeight="1">
      <c r="A4" s="5" t="s">
        <v>14</v>
      </c>
      <c r="B4" s="5" t="s">
        <v>17</v>
      </c>
      <c r="C4" s="5" t="s">
        <v>18</v>
      </c>
      <c r="D4" s="5" t="s">
        <v>20</v>
      </c>
      <c r="E4" s="5" t="s">
        <v>21</v>
      </c>
    </row>
    <row r="5" ht="13.5" customHeight="1">
      <c r="A5" s="5" t="s">
        <v>23</v>
      </c>
      <c r="B5" s="5" t="s">
        <v>24</v>
      </c>
      <c r="C5" s="5" t="s">
        <v>26</v>
      </c>
      <c r="D5" s="5" t="s">
        <v>27</v>
      </c>
      <c r="E5" s="5" t="s">
        <v>21</v>
      </c>
    </row>
    <row r="6" ht="13.5" customHeight="1">
      <c r="A6" s="5" t="s">
        <v>29</v>
      </c>
      <c r="B6" s="5" t="s">
        <v>30</v>
      </c>
      <c r="C6" s="5" t="s">
        <v>31</v>
      </c>
      <c r="D6" s="5" t="s">
        <v>32</v>
      </c>
      <c r="E6" s="5" t="s">
        <v>21</v>
      </c>
    </row>
    <row r="7" ht="13.5" customHeight="1">
      <c r="A7" s="5" t="s">
        <v>33</v>
      </c>
      <c r="B7" s="5" t="s">
        <v>35</v>
      </c>
      <c r="C7" s="5" t="s">
        <v>36</v>
      </c>
      <c r="D7" s="5" t="s">
        <v>37</v>
      </c>
      <c r="E7" s="5" t="s">
        <v>21</v>
      </c>
    </row>
    <row r="8" ht="13.5" customHeight="1">
      <c r="A8" s="5" t="s">
        <v>38</v>
      </c>
      <c r="B8" s="5" t="s">
        <v>39</v>
      </c>
      <c r="C8" s="5" t="s">
        <v>40</v>
      </c>
      <c r="D8" s="5" t="s">
        <v>41</v>
      </c>
      <c r="E8" s="5" t="s">
        <v>21</v>
      </c>
    </row>
    <row r="9" ht="13.5" customHeight="1">
      <c r="A9" s="5" t="s">
        <v>42</v>
      </c>
      <c r="B9" s="5" t="s">
        <v>43</v>
      </c>
      <c r="C9" s="5" t="s">
        <v>44</v>
      </c>
      <c r="D9" s="5" t="s">
        <v>45</v>
      </c>
      <c r="E9" s="5" t="s">
        <v>21</v>
      </c>
    </row>
    <row r="10" ht="13.5" customHeight="1">
      <c r="A10" s="5" t="s">
        <v>46</v>
      </c>
      <c r="B10" s="5" t="s">
        <v>47</v>
      </c>
      <c r="C10" s="5" t="s">
        <v>48</v>
      </c>
      <c r="D10" s="5" t="s">
        <v>49</v>
      </c>
      <c r="E10" s="5" t="s">
        <v>50</v>
      </c>
    </row>
    <row r="11" ht="13.5" customHeight="1">
      <c r="A11" s="5" t="s">
        <v>53</v>
      </c>
      <c r="B11" s="5" t="s">
        <v>54</v>
      </c>
      <c r="C11" s="5" t="s">
        <v>55</v>
      </c>
      <c r="D11" s="5" t="s">
        <v>57</v>
      </c>
      <c r="E11" s="5" t="s">
        <v>59</v>
      </c>
    </row>
    <row r="12" ht="88.5" customHeight="1">
      <c r="A12" s="5"/>
      <c r="B12" s="5"/>
      <c r="C12" s="5"/>
      <c r="D12" s="5"/>
      <c r="E12" s="5"/>
    </row>
    <row r="13" ht="13.5" customHeight="1">
      <c r="A13" s="8"/>
      <c r="B13" s="8"/>
      <c r="C13" s="8"/>
      <c r="D13" s="8"/>
      <c r="E13" s="8"/>
    </row>
    <row r="14" ht="13.5" customHeight="1">
      <c r="A14" s="8"/>
      <c r="B14" s="8"/>
      <c r="C14" s="8"/>
      <c r="D14" s="8"/>
      <c r="E14" s="8"/>
    </row>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E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24.0"/>
    <col customWidth="1" min="3" max="3" width="38.0"/>
    <col customWidth="1" min="4" max="4" width="46.0"/>
    <col customWidth="1" min="5" max="5" width="55.0"/>
    <col customWidth="1" min="6" max="6" width="32.0"/>
    <col customWidth="1" min="7" max="7" width="20.0"/>
    <col customWidth="1" min="8" max="8" width="44.0"/>
    <col customWidth="1" min="9" max="26" width="8.88"/>
  </cols>
  <sheetData>
    <row r="1" ht="49.5" customHeight="1">
      <c r="A1" s="12" t="s">
        <v>620</v>
      </c>
      <c r="B1" s="2"/>
      <c r="C1" s="2"/>
      <c r="D1" s="2"/>
      <c r="E1" s="2"/>
      <c r="F1" s="2"/>
      <c r="G1" s="2"/>
      <c r="H1" s="3"/>
    </row>
    <row r="2" ht="74.25" customHeight="1">
      <c r="A2" s="13" t="s">
        <v>645</v>
      </c>
      <c r="B2" s="2"/>
      <c r="C2" s="2"/>
      <c r="D2" s="2"/>
      <c r="E2" s="2"/>
      <c r="F2" s="2"/>
      <c r="G2" s="2"/>
      <c r="H2" s="3"/>
    </row>
    <row r="3" ht="13.5" customHeight="1">
      <c r="A3" s="14"/>
      <c r="B3" s="14"/>
      <c r="C3" s="14"/>
      <c r="D3" s="14"/>
      <c r="E3" s="14"/>
      <c r="F3" s="14"/>
      <c r="G3" s="14"/>
      <c r="H3" s="14"/>
    </row>
    <row r="4" ht="60.0" customHeight="1">
      <c r="A4" s="15" t="s">
        <v>679</v>
      </c>
      <c r="B4" s="15" t="s">
        <v>681</v>
      </c>
      <c r="C4" s="15" t="s">
        <v>683</v>
      </c>
      <c r="D4" s="15" t="s">
        <v>685</v>
      </c>
      <c r="E4" s="15" t="s">
        <v>687</v>
      </c>
      <c r="F4" s="15" t="s">
        <v>690</v>
      </c>
      <c r="G4" s="15" t="s">
        <v>701</v>
      </c>
      <c r="H4" s="15" t="s">
        <v>83</v>
      </c>
    </row>
    <row r="5" ht="102.75" customHeight="1">
      <c r="A5" s="5" t="s">
        <v>349</v>
      </c>
      <c r="B5" s="5" t="s">
        <v>719</v>
      </c>
      <c r="C5" s="5" t="s">
        <v>720</v>
      </c>
      <c r="D5" s="5" t="s">
        <v>721</v>
      </c>
      <c r="E5" s="5" t="s">
        <v>722</v>
      </c>
      <c r="F5" s="5" t="s">
        <v>724</v>
      </c>
      <c r="G5" s="5" t="s">
        <v>136</v>
      </c>
      <c r="H5" s="5"/>
    </row>
    <row r="6" ht="102.75" customHeight="1">
      <c r="A6" s="5" t="s">
        <v>182</v>
      </c>
      <c r="B6" s="5" t="s">
        <v>731</v>
      </c>
      <c r="C6" s="5" t="s">
        <v>734</v>
      </c>
      <c r="D6" s="5" t="s">
        <v>738</v>
      </c>
      <c r="E6" s="5" t="s">
        <v>740</v>
      </c>
      <c r="F6" s="5" t="s">
        <v>724</v>
      </c>
      <c r="G6" s="5" t="s">
        <v>136</v>
      </c>
      <c r="H6" s="5"/>
    </row>
    <row r="7" ht="102.75" customHeight="1">
      <c r="A7" s="5" t="s">
        <v>643</v>
      </c>
      <c r="B7" s="5" t="s">
        <v>742</v>
      </c>
      <c r="C7" s="5" t="s">
        <v>743</v>
      </c>
      <c r="D7" s="5" t="s">
        <v>745</v>
      </c>
      <c r="E7" s="5" t="s">
        <v>747</v>
      </c>
      <c r="F7" s="5" t="s">
        <v>724</v>
      </c>
      <c r="G7" s="5" t="s">
        <v>136</v>
      </c>
      <c r="H7" s="5"/>
    </row>
    <row r="8" ht="102.75" customHeight="1">
      <c r="A8" s="5" t="s">
        <v>711</v>
      </c>
      <c r="B8" s="5" t="s">
        <v>731</v>
      </c>
      <c r="C8" s="5" t="s">
        <v>751</v>
      </c>
      <c r="D8" s="5" t="s">
        <v>752</v>
      </c>
      <c r="E8" s="5" t="s">
        <v>755</v>
      </c>
      <c r="F8" s="5" t="s">
        <v>724</v>
      </c>
      <c r="G8" s="5" t="s">
        <v>136</v>
      </c>
      <c r="H8" s="5"/>
    </row>
    <row r="9" ht="102.75" customHeight="1">
      <c r="A9" s="5" t="s">
        <v>362</v>
      </c>
      <c r="B9" s="5" t="s">
        <v>761</v>
      </c>
      <c r="C9" s="5" t="s">
        <v>762</v>
      </c>
      <c r="D9" s="5" t="s">
        <v>764</v>
      </c>
      <c r="E9" s="5" t="s">
        <v>767</v>
      </c>
      <c r="F9" s="5" t="s">
        <v>769</v>
      </c>
      <c r="G9" s="5" t="s">
        <v>136</v>
      </c>
      <c r="H9" s="5"/>
    </row>
    <row r="10" ht="102.75" customHeight="1">
      <c r="A10" s="5" t="s">
        <v>597</v>
      </c>
      <c r="B10" s="5" t="s">
        <v>773</v>
      </c>
      <c r="C10" s="5" t="s">
        <v>776</v>
      </c>
      <c r="D10" s="5" t="s">
        <v>777</v>
      </c>
      <c r="E10" s="5" t="s">
        <v>778</v>
      </c>
      <c r="F10" s="5" t="s">
        <v>769</v>
      </c>
      <c r="G10" s="5" t="s">
        <v>136</v>
      </c>
      <c r="H10" s="5"/>
    </row>
    <row r="11" ht="102.75" customHeight="1">
      <c r="A11" s="5" t="s">
        <v>784</v>
      </c>
      <c r="B11" s="5" t="s">
        <v>785</v>
      </c>
      <c r="C11" s="5" t="s">
        <v>786</v>
      </c>
      <c r="D11" s="5" t="s">
        <v>788</v>
      </c>
      <c r="E11" s="5" t="s">
        <v>789</v>
      </c>
      <c r="F11" s="5" t="s">
        <v>769</v>
      </c>
      <c r="G11" s="5" t="s">
        <v>136</v>
      </c>
      <c r="H11" s="5"/>
    </row>
    <row r="12" ht="102.75" customHeight="1">
      <c r="A12" s="5" t="s">
        <v>796</v>
      </c>
      <c r="B12" s="5" t="s">
        <v>797</v>
      </c>
      <c r="C12" s="5" t="s">
        <v>798</v>
      </c>
      <c r="D12" s="5" t="s">
        <v>800</v>
      </c>
      <c r="E12" s="5" t="s">
        <v>801</v>
      </c>
      <c r="F12" s="5" t="s">
        <v>724</v>
      </c>
      <c r="G12" s="5" t="s">
        <v>136</v>
      </c>
      <c r="H12" s="5"/>
    </row>
    <row r="13" ht="102.75" customHeight="1">
      <c r="A13" s="5"/>
      <c r="B13" s="5"/>
      <c r="C13" s="5"/>
      <c r="D13" s="5"/>
      <c r="E13" s="5"/>
      <c r="F13" s="5"/>
      <c r="G13" s="5"/>
      <c r="H13" s="5"/>
    </row>
    <row r="14" ht="102.75" customHeight="1">
      <c r="A14" s="5"/>
      <c r="B14" s="5"/>
      <c r="C14" s="5"/>
      <c r="D14" s="5"/>
      <c r="E14" s="5"/>
      <c r="F14" s="5"/>
      <c r="G14" s="5"/>
      <c r="H14" s="5"/>
    </row>
    <row r="15" ht="102.75" customHeight="1">
      <c r="A15" s="5"/>
      <c r="B15" s="5"/>
      <c r="C15" s="5"/>
      <c r="D15" s="5"/>
      <c r="E15" s="5"/>
      <c r="F15" s="5"/>
      <c r="G15" s="5"/>
      <c r="H15" s="5"/>
    </row>
    <row r="16" ht="102.75" customHeight="1">
      <c r="A16" s="5"/>
      <c r="B16" s="5"/>
      <c r="C16" s="5"/>
      <c r="D16" s="5"/>
      <c r="E16" s="5"/>
      <c r="F16" s="5"/>
      <c r="G16" s="5"/>
      <c r="H16" s="5"/>
    </row>
    <row r="17" ht="102.75" customHeight="1">
      <c r="A17" s="5"/>
      <c r="B17" s="5"/>
      <c r="C17" s="5"/>
      <c r="D17" s="5"/>
      <c r="E17" s="5"/>
      <c r="F17" s="5"/>
      <c r="G17" s="5"/>
      <c r="H17" s="5"/>
    </row>
    <row r="18" ht="102.75" customHeight="1">
      <c r="A18" s="5"/>
      <c r="B18" s="5"/>
      <c r="C18" s="5"/>
      <c r="D18" s="5"/>
      <c r="E18" s="5"/>
      <c r="F18" s="5"/>
      <c r="G18" s="5"/>
      <c r="H18" s="5"/>
    </row>
    <row r="19" ht="102.75" customHeight="1">
      <c r="A19" s="5"/>
      <c r="B19" s="5"/>
      <c r="C19" s="5"/>
      <c r="D19" s="5"/>
      <c r="E19" s="5"/>
      <c r="F19" s="5"/>
      <c r="G19" s="5"/>
      <c r="H19" s="5"/>
    </row>
    <row r="20" ht="102.75" customHeight="1">
      <c r="A20" s="5"/>
      <c r="B20" s="5"/>
      <c r="C20" s="5"/>
      <c r="D20" s="5"/>
      <c r="E20" s="5"/>
      <c r="F20" s="5"/>
      <c r="G20" s="5"/>
      <c r="H20" s="5"/>
    </row>
    <row r="21" ht="102.75" customHeight="1">
      <c r="A21" s="5"/>
      <c r="B21" s="5"/>
      <c r="C21" s="5"/>
      <c r="D21" s="5"/>
      <c r="E21" s="5"/>
      <c r="F21" s="5"/>
      <c r="G21" s="5"/>
      <c r="H21" s="5"/>
    </row>
    <row r="22" ht="102.75" customHeight="1">
      <c r="A22" s="5"/>
      <c r="B22" s="5"/>
      <c r="C22" s="5"/>
      <c r="D22" s="5"/>
      <c r="E22" s="5"/>
      <c r="F22" s="5"/>
      <c r="G22" s="5"/>
      <c r="H22" s="5"/>
    </row>
    <row r="23" ht="102.75" customHeight="1">
      <c r="A23" s="5"/>
      <c r="B23" s="5"/>
      <c r="C23" s="5"/>
      <c r="D23" s="5"/>
      <c r="E23" s="5"/>
      <c r="F23" s="5"/>
      <c r="G23" s="5"/>
      <c r="H23" s="5"/>
    </row>
    <row r="24" ht="106.5" customHeight="1">
      <c r="A24" s="5"/>
      <c r="B24" s="5"/>
      <c r="C24" s="5"/>
      <c r="D24" s="5"/>
      <c r="E24" s="5"/>
      <c r="F24" s="5"/>
      <c r="G24" s="5"/>
      <c r="H24" s="5"/>
    </row>
    <row r="25" ht="106.5" customHeight="1">
      <c r="A25" s="5"/>
      <c r="B25" s="5"/>
      <c r="C25" s="5"/>
      <c r="D25" s="5"/>
      <c r="E25" s="5"/>
      <c r="F25" s="5"/>
      <c r="G25" s="5"/>
      <c r="H25" s="5"/>
    </row>
    <row r="26" ht="106.5" customHeight="1">
      <c r="A26" s="5"/>
      <c r="B26" s="5"/>
      <c r="C26" s="5"/>
      <c r="D26" s="5"/>
      <c r="E26" s="5"/>
      <c r="F26" s="5"/>
      <c r="G26" s="5"/>
      <c r="H26" s="5"/>
    </row>
    <row r="27" ht="106.5" customHeight="1">
      <c r="A27" s="5"/>
      <c r="B27" s="5"/>
      <c r="C27" s="5"/>
      <c r="D27" s="5"/>
      <c r="E27" s="5"/>
      <c r="F27" s="5"/>
      <c r="G27" s="5"/>
      <c r="H27" s="5"/>
    </row>
    <row r="28" ht="106.5" customHeight="1">
      <c r="A28" s="5"/>
      <c r="B28" s="5"/>
      <c r="C28" s="5"/>
      <c r="D28" s="5"/>
      <c r="E28" s="5"/>
      <c r="F28" s="5"/>
      <c r="G28" s="5"/>
      <c r="H28" s="5"/>
    </row>
    <row r="29" ht="106.5" customHeight="1">
      <c r="A29" s="5"/>
      <c r="B29" s="5"/>
      <c r="C29" s="5"/>
      <c r="D29" s="5"/>
      <c r="E29" s="5"/>
      <c r="F29" s="5"/>
      <c r="G29" s="5"/>
      <c r="H29" s="5"/>
    </row>
    <row r="30" ht="106.5" customHeight="1">
      <c r="A30" s="5"/>
      <c r="B30" s="5"/>
      <c r="C30" s="5"/>
      <c r="D30" s="5"/>
      <c r="E30" s="5"/>
      <c r="F30" s="5"/>
      <c r="G30" s="5"/>
      <c r="H30" s="5"/>
    </row>
    <row r="31" ht="106.5" customHeight="1">
      <c r="A31" s="5"/>
      <c r="B31" s="5"/>
      <c r="C31" s="5"/>
      <c r="D31" s="5"/>
      <c r="E31" s="5"/>
      <c r="F31" s="5"/>
      <c r="G31" s="5"/>
      <c r="H31" s="5"/>
    </row>
    <row r="32" ht="106.5" customHeight="1">
      <c r="A32" s="5"/>
      <c r="B32" s="5"/>
      <c r="C32" s="5"/>
      <c r="D32" s="5"/>
      <c r="E32" s="5"/>
      <c r="F32" s="5"/>
      <c r="G32" s="5"/>
      <c r="H32" s="5"/>
    </row>
    <row r="33" ht="106.5" customHeight="1">
      <c r="A33" s="5"/>
      <c r="B33" s="5"/>
      <c r="C33" s="5"/>
      <c r="D33" s="5"/>
      <c r="E33" s="5"/>
      <c r="F33" s="5"/>
      <c r="G33" s="5"/>
      <c r="H33" s="5"/>
    </row>
    <row r="34" ht="106.5" customHeight="1">
      <c r="A34" s="5"/>
      <c r="B34" s="5"/>
      <c r="C34" s="5"/>
      <c r="D34" s="5"/>
      <c r="E34" s="5"/>
      <c r="F34" s="5"/>
      <c r="G34" s="5"/>
      <c r="H34" s="5"/>
    </row>
    <row r="35" ht="106.5" customHeight="1">
      <c r="A35" s="5"/>
      <c r="B35" s="5"/>
      <c r="C35" s="5"/>
      <c r="D35" s="5"/>
      <c r="E35" s="5"/>
      <c r="F35" s="5"/>
      <c r="G35" s="5"/>
      <c r="H35" s="5"/>
    </row>
    <row r="36" ht="106.5" customHeight="1">
      <c r="A36" s="5"/>
      <c r="B36" s="5"/>
      <c r="C36" s="5"/>
      <c r="D36" s="5"/>
      <c r="E36" s="5"/>
      <c r="F36" s="5"/>
      <c r="G36" s="5"/>
      <c r="H36" s="5"/>
    </row>
    <row r="37" ht="106.5" customHeight="1">
      <c r="A37" s="5"/>
      <c r="B37" s="5"/>
      <c r="C37" s="5"/>
      <c r="D37" s="5"/>
      <c r="E37" s="5"/>
      <c r="F37" s="5"/>
      <c r="G37" s="5"/>
      <c r="H37" s="5"/>
    </row>
    <row r="38" ht="106.5" customHeight="1">
      <c r="A38" s="5"/>
      <c r="B38" s="5"/>
      <c r="C38" s="5"/>
      <c r="D38" s="5"/>
      <c r="E38" s="5"/>
      <c r="F38" s="5"/>
      <c r="G38" s="5"/>
      <c r="H38" s="5"/>
    </row>
    <row r="39" ht="106.5" customHeight="1">
      <c r="A39" s="5"/>
      <c r="B39" s="5"/>
      <c r="C39" s="5"/>
      <c r="D39" s="5"/>
      <c r="E39" s="5"/>
      <c r="F39" s="5"/>
      <c r="G39" s="5"/>
      <c r="H39" s="5"/>
    </row>
    <row r="40" ht="106.5" customHeight="1">
      <c r="A40" s="5"/>
      <c r="B40" s="5"/>
      <c r="C40" s="5"/>
      <c r="D40" s="5"/>
      <c r="E40" s="5"/>
      <c r="F40" s="5"/>
      <c r="G40" s="5"/>
      <c r="H40" s="5"/>
    </row>
    <row r="41" ht="106.5" customHeight="1">
      <c r="A41" s="5"/>
      <c r="B41" s="5"/>
      <c r="C41" s="5"/>
      <c r="D41" s="5"/>
      <c r="E41" s="5"/>
      <c r="F41" s="5"/>
      <c r="G41" s="5"/>
      <c r="H41" s="5"/>
    </row>
    <row r="42" ht="106.5" customHeight="1">
      <c r="A42" s="5"/>
      <c r="B42" s="5"/>
      <c r="C42" s="5"/>
      <c r="D42" s="5"/>
      <c r="E42" s="5"/>
      <c r="F42" s="5"/>
      <c r="G42" s="5"/>
      <c r="H42" s="5"/>
    </row>
    <row r="43" ht="106.5" customHeight="1">
      <c r="A43" s="5"/>
      <c r="B43" s="5"/>
      <c r="C43" s="5"/>
      <c r="D43" s="5"/>
      <c r="E43" s="5"/>
      <c r="F43" s="5"/>
      <c r="G43" s="5"/>
      <c r="H43" s="5"/>
    </row>
    <row r="44" ht="106.5" customHeight="1">
      <c r="A44" s="5"/>
      <c r="B44" s="5"/>
      <c r="C44" s="5"/>
      <c r="D44" s="5"/>
      <c r="E44" s="5"/>
      <c r="F44" s="5"/>
      <c r="G44" s="5"/>
      <c r="H44" s="5"/>
    </row>
    <row r="45" ht="106.5" customHeight="1">
      <c r="A45" s="5"/>
      <c r="B45" s="5"/>
      <c r="C45" s="5"/>
      <c r="D45" s="5"/>
      <c r="E45" s="5"/>
      <c r="F45" s="5"/>
      <c r="G45" s="5"/>
      <c r="H45" s="5"/>
    </row>
    <row r="46" ht="106.5" customHeight="1">
      <c r="A46" s="5"/>
      <c r="B46" s="5"/>
      <c r="C46" s="5"/>
      <c r="D46" s="5"/>
      <c r="E46" s="5"/>
      <c r="F46" s="5"/>
      <c r="G46" s="5"/>
      <c r="H46" s="5"/>
    </row>
    <row r="47" ht="106.5" customHeight="1">
      <c r="A47" s="5"/>
      <c r="B47" s="5"/>
      <c r="C47" s="5"/>
      <c r="D47" s="5"/>
      <c r="E47" s="5"/>
      <c r="F47" s="5"/>
      <c r="G47" s="5"/>
      <c r="H47" s="5"/>
    </row>
    <row r="48" ht="106.5" customHeight="1">
      <c r="A48" s="5"/>
      <c r="B48" s="5"/>
      <c r="C48" s="5"/>
      <c r="D48" s="5"/>
      <c r="E48" s="5"/>
      <c r="F48" s="5"/>
      <c r="G48" s="5"/>
      <c r="H48" s="5"/>
    </row>
    <row r="49" ht="106.5" customHeight="1">
      <c r="A49" s="5"/>
      <c r="B49" s="5"/>
      <c r="C49" s="5"/>
      <c r="D49" s="5"/>
      <c r="E49" s="5"/>
      <c r="F49" s="5"/>
      <c r="G49" s="5"/>
      <c r="H49" s="5"/>
    </row>
    <row r="50" ht="106.5" customHeight="1">
      <c r="A50" s="5"/>
      <c r="B50" s="5"/>
      <c r="C50" s="5"/>
      <c r="D50" s="5"/>
      <c r="E50" s="5"/>
      <c r="F50" s="5"/>
      <c r="G50" s="5"/>
      <c r="H50" s="5"/>
    </row>
    <row r="51" ht="106.5" customHeight="1">
      <c r="A51" s="5"/>
      <c r="B51" s="5"/>
      <c r="C51" s="5"/>
      <c r="D51" s="5"/>
      <c r="E51" s="5"/>
      <c r="F51" s="5"/>
      <c r="G51" s="5"/>
      <c r="H51" s="5"/>
    </row>
    <row r="52" ht="106.5" customHeight="1">
      <c r="A52" s="5"/>
      <c r="B52" s="5"/>
      <c r="C52" s="5"/>
      <c r="D52" s="5"/>
      <c r="E52" s="5"/>
      <c r="F52" s="5"/>
      <c r="G52" s="5"/>
      <c r="H52" s="5"/>
    </row>
    <row r="53" ht="106.5" customHeight="1">
      <c r="A53" s="5"/>
      <c r="B53" s="5"/>
      <c r="C53" s="5"/>
      <c r="D53" s="5"/>
      <c r="E53" s="5"/>
      <c r="F53" s="5"/>
      <c r="G53" s="5"/>
      <c r="H53" s="5"/>
    </row>
    <row r="54" ht="106.5" customHeight="1">
      <c r="A54" s="5"/>
      <c r="B54" s="5"/>
      <c r="C54" s="5"/>
      <c r="D54" s="5"/>
      <c r="E54" s="5"/>
      <c r="F54" s="5"/>
      <c r="G54" s="5"/>
      <c r="H54" s="5"/>
    </row>
    <row r="55" ht="106.5" customHeight="1">
      <c r="A55" s="5"/>
      <c r="B55" s="5"/>
      <c r="C55" s="5"/>
      <c r="D55" s="5"/>
      <c r="E55" s="5"/>
      <c r="F55" s="5"/>
      <c r="G55" s="5"/>
      <c r="H55" s="5"/>
    </row>
    <row r="56" ht="106.5" customHeight="1">
      <c r="A56" s="5"/>
      <c r="B56" s="5"/>
      <c r="C56" s="5"/>
      <c r="D56" s="5"/>
      <c r="E56" s="5"/>
      <c r="F56" s="5"/>
      <c r="G56" s="5"/>
      <c r="H56" s="5"/>
    </row>
    <row r="57" ht="106.5" customHeight="1">
      <c r="A57" s="5"/>
      <c r="B57" s="5"/>
      <c r="C57" s="5"/>
      <c r="D57" s="5"/>
      <c r="E57" s="5"/>
      <c r="F57" s="5"/>
      <c r="G57" s="5"/>
      <c r="H57" s="5"/>
    </row>
    <row r="58" ht="106.5" customHeight="1">
      <c r="A58" s="5"/>
      <c r="B58" s="5"/>
      <c r="C58" s="5"/>
      <c r="D58" s="5"/>
      <c r="E58" s="5"/>
      <c r="F58" s="5"/>
      <c r="G58" s="5"/>
      <c r="H58" s="5"/>
    </row>
    <row r="59" ht="106.5" customHeight="1">
      <c r="A59" s="5"/>
      <c r="B59" s="5"/>
      <c r="C59" s="5"/>
      <c r="D59" s="5"/>
      <c r="E59" s="5"/>
      <c r="F59" s="5"/>
      <c r="G59" s="5"/>
      <c r="H59" s="5"/>
    </row>
    <row r="60" ht="106.5" customHeight="1">
      <c r="A60" s="5"/>
      <c r="B60" s="5"/>
      <c r="C60" s="5"/>
      <c r="D60" s="5"/>
      <c r="E60" s="5"/>
      <c r="F60" s="5"/>
      <c r="G60" s="5"/>
      <c r="H60" s="5"/>
    </row>
    <row r="61" ht="106.5" customHeight="1">
      <c r="A61" s="5"/>
      <c r="B61" s="5"/>
      <c r="C61" s="5"/>
      <c r="D61" s="5"/>
      <c r="E61" s="5"/>
      <c r="F61" s="5"/>
      <c r="G61" s="5"/>
      <c r="H61" s="5"/>
    </row>
    <row r="62" ht="106.5" customHeight="1">
      <c r="A62" s="5"/>
      <c r="B62" s="5"/>
      <c r="C62" s="5"/>
      <c r="D62" s="5"/>
      <c r="E62" s="5"/>
      <c r="F62" s="5"/>
      <c r="G62" s="5"/>
      <c r="H62" s="5"/>
    </row>
    <row r="63" ht="106.5" customHeight="1">
      <c r="A63" s="5"/>
      <c r="B63" s="5"/>
      <c r="C63" s="5"/>
      <c r="D63" s="5"/>
      <c r="E63" s="5"/>
      <c r="F63" s="5"/>
      <c r="G63" s="5"/>
      <c r="H63" s="5"/>
    </row>
    <row r="64" ht="106.5" customHeight="1">
      <c r="A64" s="5"/>
      <c r="B64" s="5"/>
      <c r="C64" s="5"/>
      <c r="D64" s="5"/>
      <c r="E64" s="5"/>
      <c r="F64" s="5"/>
      <c r="G64" s="5"/>
      <c r="H64" s="5"/>
    </row>
    <row r="65" ht="106.5" customHeight="1">
      <c r="A65" s="5"/>
      <c r="B65" s="5"/>
      <c r="C65" s="5"/>
      <c r="D65" s="5"/>
      <c r="E65" s="5"/>
      <c r="F65" s="5"/>
      <c r="G65" s="5"/>
      <c r="H65" s="5"/>
    </row>
    <row r="66" ht="106.5" customHeight="1">
      <c r="A66" s="5"/>
      <c r="B66" s="5"/>
      <c r="C66" s="5"/>
      <c r="D66" s="5"/>
      <c r="E66" s="5"/>
      <c r="F66" s="5"/>
      <c r="G66" s="5"/>
      <c r="H66" s="5"/>
    </row>
    <row r="67" ht="106.5" customHeight="1">
      <c r="A67" s="5"/>
      <c r="B67" s="5"/>
      <c r="C67" s="5"/>
      <c r="D67" s="5"/>
      <c r="E67" s="5"/>
      <c r="F67" s="5"/>
      <c r="G67" s="5"/>
      <c r="H67" s="5"/>
    </row>
    <row r="68" ht="106.5" customHeight="1">
      <c r="A68" s="5"/>
      <c r="B68" s="5"/>
      <c r="C68" s="5"/>
      <c r="D68" s="5"/>
      <c r="E68" s="5"/>
      <c r="F68" s="5"/>
      <c r="G68" s="5"/>
      <c r="H68" s="5"/>
    </row>
    <row r="69" ht="106.5" customHeight="1">
      <c r="A69" s="5"/>
      <c r="B69" s="5"/>
      <c r="C69" s="5"/>
      <c r="D69" s="5"/>
      <c r="E69" s="5"/>
      <c r="F69" s="5"/>
      <c r="G69" s="5"/>
      <c r="H69" s="5"/>
    </row>
    <row r="70" ht="106.5" customHeight="1">
      <c r="A70" s="5"/>
      <c r="B70" s="5"/>
      <c r="C70" s="5"/>
      <c r="D70" s="5"/>
      <c r="E70" s="5"/>
      <c r="F70" s="5"/>
      <c r="G70" s="5"/>
      <c r="H70" s="5"/>
    </row>
    <row r="71" ht="106.5" customHeight="1">
      <c r="A71" s="5"/>
      <c r="B71" s="5"/>
      <c r="C71" s="5"/>
      <c r="D71" s="5"/>
      <c r="E71" s="5"/>
      <c r="F71" s="5"/>
      <c r="G71" s="5"/>
      <c r="H71" s="5"/>
    </row>
    <row r="72" ht="106.5" customHeight="1">
      <c r="A72" s="5"/>
      <c r="B72" s="5"/>
      <c r="C72" s="5"/>
      <c r="D72" s="5"/>
      <c r="E72" s="5"/>
      <c r="F72" s="5"/>
      <c r="G72" s="5"/>
      <c r="H72" s="5"/>
    </row>
    <row r="73" ht="106.5" customHeight="1">
      <c r="A73" s="5"/>
      <c r="B73" s="5"/>
      <c r="C73" s="5"/>
      <c r="D73" s="5"/>
      <c r="E73" s="5"/>
      <c r="F73" s="5"/>
      <c r="G73" s="5"/>
      <c r="H73" s="5"/>
    </row>
    <row r="74" ht="106.5" customHeight="1">
      <c r="A74" s="5"/>
      <c r="B74" s="5"/>
      <c r="C74" s="5"/>
      <c r="D74" s="5"/>
      <c r="E74" s="5"/>
      <c r="F74" s="5"/>
      <c r="G74" s="5"/>
      <c r="H74" s="5"/>
    </row>
    <row r="75" ht="106.5" customHeight="1">
      <c r="A75" s="5"/>
      <c r="B75" s="5"/>
      <c r="C75" s="5"/>
      <c r="D75" s="5"/>
      <c r="E75" s="5"/>
      <c r="F75" s="5"/>
      <c r="G75" s="5"/>
      <c r="H75" s="5"/>
    </row>
    <row r="76" ht="106.5" customHeight="1">
      <c r="A76" s="5"/>
      <c r="B76" s="5"/>
      <c r="C76" s="5"/>
      <c r="D76" s="5"/>
      <c r="E76" s="5"/>
      <c r="F76" s="5"/>
      <c r="G76" s="5"/>
      <c r="H76" s="5"/>
    </row>
    <row r="77" ht="106.5" customHeight="1">
      <c r="A77" s="5"/>
      <c r="B77" s="5"/>
      <c r="C77" s="5"/>
      <c r="D77" s="5"/>
      <c r="E77" s="5"/>
      <c r="F77" s="5"/>
      <c r="G77" s="5"/>
      <c r="H77" s="5"/>
    </row>
    <row r="78" ht="106.5" customHeight="1">
      <c r="A78" s="5"/>
      <c r="B78" s="5"/>
      <c r="C78" s="5"/>
      <c r="D78" s="5"/>
      <c r="E78" s="5"/>
      <c r="F78" s="5"/>
      <c r="G78" s="5"/>
      <c r="H78" s="5"/>
    </row>
    <row r="79" ht="106.5" customHeight="1">
      <c r="A79" s="5"/>
      <c r="B79" s="5"/>
      <c r="C79" s="5"/>
      <c r="D79" s="5"/>
      <c r="E79" s="5"/>
      <c r="F79" s="5"/>
      <c r="G79" s="5"/>
      <c r="H79" s="5"/>
    </row>
    <row r="80" ht="106.5" customHeight="1">
      <c r="A80" s="5"/>
      <c r="B80" s="5"/>
      <c r="C80" s="5"/>
      <c r="D80" s="5"/>
      <c r="E80" s="5"/>
      <c r="F80" s="5"/>
      <c r="G80" s="5"/>
      <c r="H80" s="5"/>
    </row>
    <row r="81" ht="106.5" customHeight="1">
      <c r="A81" s="5"/>
      <c r="B81" s="5"/>
      <c r="C81" s="5"/>
      <c r="D81" s="5"/>
      <c r="E81" s="5"/>
      <c r="F81" s="5"/>
      <c r="G81" s="5"/>
      <c r="H81" s="5"/>
    </row>
    <row r="82" ht="106.5" customHeight="1">
      <c r="A82" s="5"/>
      <c r="B82" s="5"/>
      <c r="C82" s="5"/>
      <c r="D82" s="5"/>
      <c r="E82" s="5"/>
      <c r="F82" s="5"/>
      <c r="G82" s="5"/>
      <c r="H82" s="5"/>
    </row>
    <row r="83" ht="106.5" customHeight="1">
      <c r="A83" s="5"/>
      <c r="B83" s="5"/>
      <c r="C83" s="5"/>
      <c r="D83" s="5"/>
      <c r="E83" s="5"/>
      <c r="F83" s="5"/>
      <c r="G83" s="5"/>
      <c r="H83" s="5"/>
    </row>
    <row r="84" ht="106.5" customHeight="1">
      <c r="A84" s="5"/>
      <c r="B84" s="5"/>
      <c r="C84" s="5"/>
      <c r="D84" s="5"/>
      <c r="E84" s="5"/>
      <c r="F84" s="5"/>
      <c r="G84" s="5"/>
      <c r="H84" s="5"/>
    </row>
    <row r="85" ht="106.5" customHeight="1">
      <c r="A85" s="5"/>
      <c r="B85" s="5"/>
      <c r="C85" s="5"/>
      <c r="D85" s="5"/>
      <c r="E85" s="5"/>
      <c r="F85" s="5"/>
      <c r="G85" s="5"/>
      <c r="H85" s="5"/>
    </row>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H1"/>
    <mergeCell ref="A2:H2"/>
  </mergeCells>
  <conditionalFormatting sqref="G5:G22">
    <cfRule type="expression" dxfId="0" priority="1">
      <formula>G5="Resuelto"</formula>
    </cfRule>
  </conditionalFormatting>
  <conditionalFormatting sqref="G5:G22">
    <cfRule type="expression" dxfId="1" priority="2">
      <formula>G5="Pendiente"</formula>
    </cfRule>
  </conditionalFormatting>
  <conditionalFormatting sqref="G5:G22">
    <cfRule type="expression" dxfId="2" priority="3">
      <formula>G5="Requiere análisis"</formula>
    </cfRule>
  </conditionalFormatting>
  <conditionalFormatting sqref="G5:G22">
    <cfRule type="expression" dxfId="3" priority="4">
      <formula>G5="Fuera de alcance"</formula>
    </cfRule>
  </conditionalFormatting>
  <dataValidations>
    <dataValidation type="list" allowBlank="1" sqref="G4 G24:G85">
      <formula1>"Pendiente,Aprobado,Ajustar,Fuera de alcance,Requiere análisis"</formula1>
    </dataValidation>
    <dataValidation type="list" allowBlank="1" sqref="G5:G23">
      <formula1>"Pendiente,Resuelto,Requiere análisis,Fuera de alcance"</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8.0"/>
    <col customWidth="1" min="3" max="3" width="16.0"/>
    <col customWidth="1" min="4" max="4" width="9.38"/>
    <col customWidth="1" min="5" max="5" width="28.0"/>
    <col customWidth="1" min="6" max="6" width="22.0"/>
    <col customWidth="1" min="7" max="7" width="52.0"/>
    <col customWidth="1" min="8" max="26" width="8.88"/>
  </cols>
  <sheetData>
    <row r="1" ht="53.25" customHeight="1">
      <c r="A1" s="16" t="s">
        <v>821</v>
      </c>
      <c r="B1" s="2"/>
      <c r="C1" s="2"/>
      <c r="D1" s="2"/>
      <c r="E1" s="2"/>
      <c r="F1" s="2"/>
      <c r="G1" s="3"/>
    </row>
    <row r="2" ht="13.5" customHeight="1"/>
    <row r="3" ht="13.5" customHeight="1">
      <c r="A3" s="4" t="s">
        <v>834</v>
      </c>
      <c r="B3" s="4" t="s">
        <v>837</v>
      </c>
      <c r="C3" s="17"/>
      <c r="D3" s="17"/>
      <c r="E3" s="18" t="s">
        <v>841</v>
      </c>
      <c r="F3" s="2"/>
      <c r="G3" s="3"/>
    </row>
    <row r="4" ht="13.5" customHeight="1">
      <c r="A4" s="19" t="s">
        <v>850</v>
      </c>
      <c r="B4" s="19">
        <f>COUNTA('Matriz Trazabilidad'!$A$5:$A$87)</f>
        <v>59</v>
      </c>
      <c r="C4" s="17"/>
      <c r="D4" s="17"/>
      <c r="E4" s="17" t="s">
        <v>893</v>
      </c>
      <c r="F4" s="17" t="s">
        <v>894</v>
      </c>
      <c r="G4" s="17" t="s">
        <v>895</v>
      </c>
    </row>
    <row r="5" ht="13.5" customHeight="1">
      <c r="A5" s="19" t="s">
        <v>896</v>
      </c>
      <c r="B5" s="19">
        <f>COUNTA('Historias y CA'!$A$4:$A$31)</f>
        <v>19</v>
      </c>
      <c r="C5" s="17"/>
      <c r="D5" s="17"/>
      <c r="E5" s="17" t="s">
        <v>897</v>
      </c>
      <c r="F5" s="17" t="s">
        <v>898</v>
      </c>
      <c r="G5" s="17" t="s">
        <v>899</v>
      </c>
    </row>
    <row r="6" ht="13.5" customHeight="1">
      <c r="A6" s="19" t="s">
        <v>900</v>
      </c>
      <c r="B6" s="19">
        <f>COUNTA('Reglas de Negocio'!$A$4:$A$84)</f>
        <v>80</v>
      </c>
      <c r="C6" s="17"/>
      <c r="D6" s="17"/>
      <c r="E6" s="17" t="s">
        <v>901</v>
      </c>
      <c r="F6" s="17" t="s">
        <v>902</v>
      </c>
      <c r="G6" s="17" t="s">
        <v>903</v>
      </c>
    </row>
    <row r="7" ht="13.5" customHeight="1">
      <c r="A7" s="19" t="s">
        <v>904</v>
      </c>
      <c r="B7" s="19">
        <f>COUNTIF('Matriz Trazabilidad'!$N$5:$N$87,"Passed")</f>
        <v>0</v>
      </c>
      <c r="C7" s="17"/>
      <c r="D7" s="17"/>
      <c r="E7" s="17" t="s">
        <v>905</v>
      </c>
      <c r="F7" s="17" t="s">
        <v>906</v>
      </c>
      <c r="G7" s="17" t="s">
        <v>907</v>
      </c>
    </row>
    <row r="8" ht="13.5" customHeight="1">
      <c r="A8" s="19" t="s">
        <v>908</v>
      </c>
      <c r="B8" s="19">
        <f>COUNTIF('Matriz Trazabilidad'!$N$5:$N$87,"Pendiente")</f>
        <v>59</v>
      </c>
      <c r="C8" s="17"/>
      <c r="D8" s="17"/>
      <c r="E8" s="17"/>
      <c r="F8" s="17"/>
      <c r="G8" s="17"/>
    </row>
    <row r="9" ht="13.5" customHeight="1">
      <c r="A9" s="19" t="s">
        <v>909</v>
      </c>
      <c r="B9" s="19">
        <f>COUNTA('Pendientes Cliente'!$A$5:$A$23)</f>
        <v>8</v>
      </c>
      <c r="C9" s="17"/>
      <c r="D9" s="17"/>
      <c r="E9" s="17"/>
      <c r="F9" s="17"/>
      <c r="G9" s="17"/>
    </row>
    <row r="10" ht="13.5" customHeight="1">
      <c r="A10" s="17" t="s">
        <v>910</v>
      </c>
      <c r="B10" s="17" t="s">
        <v>911</v>
      </c>
      <c r="C10" s="17"/>
      <c r="D10" s="17"/>
      <c r="E10" s="17"/>
      <c r="F10" s="17"/>
      <c r="G10" s="17"/>
    </row>
    <row r="11" ht="13.5" customHeight="1">
      <c r="A11" s="17"/>
      <c r="B11" s="17"/>
      <c r="C11" s="17"/>
      <c r="D11" s="17"/>
      <c r="E11" s="17"/>
      <c r="F11" s="17"/>
      <c r="G11" s="17"/>
    </row>
    <row r="12" ht="13.5" customHeight="1">
      <c r="A12" s="20" t="s">
        <v>912</v>
      </c>
      <c r="B12" s="2"/>
      <c r="C12" s="3"/>
      <c r="D12" s="17"/>
      <c r="E12" s="20" t="s">
        <v>913</v>
      </c>
      <c r="F12" s="2"/>
      <c r="G12" s="3"/>
    </row>
    <row r="13" ht="13.5" customHeight="1">
      <c r="A13" s="21" t="s">
        <v>914</v>
      </c>
      <c r="B13" s="21" t="s">
        <v>915</v>
      </c>
      <c r="C13" s="21" t="s">
        <v>916</v>
      </c>
      <c r="D13" s="17"/>
      <c r="E13" s="21" t="s">
        <v>701</v>
      </c>
      <c r="F13" s="21" t="s">
        <v>915</v>
      </c>
      <c r="G13" s="21" t="s">
        <v>916</v>
      </c>
    </row>
    <row r="14" ht="13.5" customHeight="1">
      <c r="A14" s="22" t="s">
        <v>917</v>
      </c>
      <c r="B14" s="22">
        <f>COUNTIF('Matriz Trazabilidad'!$R$5:$R$87,"Aprobado")</f>
        <v>0</v>
      </c>
      <c r="C14" s="23">
        <f t="shared" ref="C14:C18" si="1">IF($B$4=0,0,B14/$B$4)</f>
        <v>0</v>
      </c>
      <c r="D14" s="17"/>
      <c r="E14" s="24" t="s">
        <v>136</v>
      </c>
      <c r="F14" s="24">
        <f>COUNTIF('Pendientes Cliente'!$G$5:$G$23,"Pendiente")</f>
        <v>8</v>
      </c>
      <c r="G14" s="25">
        <f t="shared" ref="G14:G17" si="2">IF($B$9=0,0,F14/$B$9)</f>
        <v>1</v>
      </c>
    </row>
    <row r="15" ht="13.5" customHeight="1">
      <c r="A15" s="24" t="s">
        <v>136</v>
      </c>
      <c r="B15" s="24">
        <f>COUNTIF('Matriz Trazabilidad'!$R$5:$R$87,"Pendiente")</f>
        <v>59</v>
      </c>
      <c r="C15" s="25">
        <f t="shared" si="1"/>
        <v>1</v>
      </c>
      <c r="D15" s="17"/>
      <c r="E15" s="22" t="s">
        <v>918</v>
      </c>
      <c r="F15" s="22">
        <f>COUNTIF('Pendientes Cliente'!$G$5:$G$23,"Resuelto")</f>
        <v>0</v>
      </c>
      <c r="G15" s="23">
        <f t="shared" si="2"/>
        <v>0</v>
      </c>
    </row>
    <row r="16" ht="13.5" customHeight="1">
      <c r="A16" s="26" t="s">
        <v>919</v>
      </c>
      <c r="B16" s="26">
        <f>COUNTIF('Matriz Trazabilidad'!$R$5:$R$87,"Ajustar")</f>
        <v>0</v>
      </c>
      <c r="C16" s="27">
        <f t="shared" si="1"/>
        <v>0</v>
      </c>
      <c r="D16" s="17"/>
      <c r="E16" s="26" t="s">
        <v>920</v>
      </c>
      <c r="F16" s="26">
        <f>COUNTIF('Pendientes Cliente'!$G$5:$G$23,"Requiere análisis")</f>
        <v>0</v>
      </c>
      <c r="G16" s="27">
        <f t="shared" si="2"/>
        <v>0</v>
      </c>
    </row>
    <row r="17" ht="13.5" customHeight="1">
      <c r="A17" s="28" t="s">
        <v>921</v>
      </c>
      <c r="B17" s="28">
        <f>COUNTIF('Matriz Trazabilidad'!$R$5:$R$87,"Fuera de alcance")</f>
        <v>0</v>
      </c>
      <c r="C17" s="29">
        <f t="shared" si="1"/>
        <v>0</v>
      </c>
      <c r="D17" s="17"/>
      <c r="E17" s="28" t="s">
        <v>921</v>
      </c>
      <c r="F17" s="28">
        <f>COUNTIF('Pendientes Cliente'!$G$5:$G$23,"Fuera de alcance")</f>
        <v>0</v>
      </c>
      <c r="G17" s="29">
        <f t="shared" si="2"/>
        <v>0</v>
      </c>
    </row>
    <row r="18" ht="13.5" customHeight="1">
      <c r="A18" s="30" t="s">
        <v>920</v>
      </c>
      <c r="B18" s="30">
        <f>COUNTIF('Matriz Trazabilidad'!$R$5:$R$87,"Requiere análisis")</f>
        <v>0</v>
      </c>
      <c r="C18" s="31">
        <f t="shared" si="1"/>
        <v>0</v>
      </c>
      <c r="D18" s="17"/>
      <c r="E18" s="17"/>
      <c r="F18" s="17"/>
      <c r="G18" s="17"/>
    </row>
    <row r="19" ht="13.5" customHeight="1">
      <c r="A19" s="17"/>
      <c r="B19" s="17"/>
      <c r="C19" s="17"/>
      <c r="D19" s="17"/>
      <c r="E19" s="17"/>
      <c r="F19" s="17"/>
      <c r="G19" s="17"/>
    </row>
    <row r="20" ht="13.5" customHeight="1">
      <c r="A20" s="32" t="s">
        <v>922</v>
      </c>
      <c r="B20" s="33">
        <f>SUM(B14,B16:B18)</f>
        <v>0</v>
      </c>
      <c r="C20" s="17"/>
      <c r="D20" s="17"/>
      <c r="E20" s="17"/>
      <c r="F20" s="17"/>
      <c r="G20" s="17"/>
    </row>
    <row r="21" ht="13.5" customHeight="1">
      <c r="A21" s="32" t="s">
        <v>923</v>
      </c>
      <c r="B21" s="34">
        <f>IF($B$4=0,0,B20/$B$4)</f>
        <v>0</v>
      </c>
      <c r="C21" s="17"/>
      <c r="D21" s="17"/>
      <c r="E21" s="17"/>
      <c r="F21" s="17"/>
      <c r="G21" s="17"/>
    </row>
    <row r="22" ht="13.5" customHeight="1">
      <c r="A22" s="32" t="s">
        <v>924</v>
      </c>
      <c r="B22" s="34">
        <f>IF(B20=0,0,B14/B20)</f>
        <v>0</v>
      </c>
      <c r="C22" s="17"/>
      <c r="D22" s="17"/>
      <c r="E22" s="17"/>
      <c r="F22" s="17"/>
      <c r="G22" s="17"/>
    </row>
    <row r="23" ht="13.5" customHeight="1">
      <c r="D23" s="17"/>
    </row>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A1:G1"/>
    <mergeCell ref="E3:G3"/>
    <mergeCell ref="A12:C12"/>
    <mergeCell ref="E12:G1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