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xl/worksheets/walvy_extra_7.xml" ContentType="application/vnd.openxmlformats-officedocument.spreadsheetml.worksheet+xml"/>
  <Override PartName="/xl/worksheets/walvy_extra_8.xml" ContentType="application/vnd.openxmlformats-officedocument.spreadsheetml.worksheet+xml"/>
  <Override PartName="/xl/worksheets/walvy_extra_9.xml" ContentType="application/vnd.openxmlformats-officedocument.spreadsheetml.worksheet+xml"/>
  <Override PartName="/xl/worksheets/walvy_extra_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kabeli/Downloads/"/>
    </mc:Choice>
  </mc:AlternateContent>
  <xr:revisionPtr revIDLastSave="0" documentId="13_ncr:1_{42208777-F438-4A46-8C86-36EC0A903EA9}" xr6:coauthVersionLast="47" xr6:coauthVersionMax="47" xr10:uidLastSave="{00000000-0000-0000-0000-000000000000}"/>
  <bookViews>
    <workbookView xWindow="0" yWindow="600" windowWidth="28800" windowHeight="15840" xr2:uid="{00000000-000D-0000-FFFF-FFFF00000000}"/>
  </bookViews>
  <sheets>
    <sheet name="Matriz Trazabilidad" sheetId="1" r:id="rId1"/>
    <sheet name="Historias y CA" sheetId="2" r:id="rId2"/>
    <sheet name="Reglas de Negocio" sheetId="3" r:id="rId3"/>
    <sheet name="Fuentes" sheetId="4" r:id="rId4"/>
    <sheet name="Pendientes Cliente" sheetId="5" r:id="rId5"/>
    <sheet name="Resumen" sheetId="6" r:id="rId6"/>
    <sheet name="Reglas Walvy" sheetId="7" r:id="rId14"/>
    <sheet name="Brechas Walvy" sheetId="8" r:id="rId15"/>
    <sheet name="Cobertura Walvy" sheetId="9" r:id="rId16"/>
    <sheet name="Fuentes respuesta" sheetId="10" r:id="rId17"/>
  </sheets>
  <definedNames>
    <definedName name="_xlnm._FilterDatabase" localSheetId="0" hidden="1">'Matriz Trazabilidad'!$A$4:$T$4</definedName>
  </definedNames>
  <calcPr calcId="191029"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8" i="6" l="1"/>
  <c r="F17" i="6"/>
  <c r="B17" i="6"/>
  <c r="F16" i="6"/>
  <c r="B16" i="6"/>
  <c r="F15" i="6"/>
  <c r="B15" i="6"/>
  <c r="F14" i="6"/>
  <c r="B14" i="6"/>
  <c r="B9" i="6"/>
  <c r="B8" i="6"/>
  <c r="B7" i="6"/>
  <c r="B6" i="6"/>
  <c r="B5" i="6"/>
  <c r="B4" i="6"/>
  <c r="B20" i="6" l="1"/>
  <c r="B22" i="6" s="1"/>
  <c r="G16" i="6"/>
  <c r="C15" i="6"/>
  <c r="C17" i="6"/>
  <c r="G15" i="6"/>
  <c r="G17" i="6"/>
  <c r="C14" i="6"/>
  <c r="C16" i="6"/>
  <c r="C18" i="6"/>
  <c r="G14" i="6"/>
  <c r="B21" i="6" l="1"/>
</calcChain>
</file>

<file path=xl/sharedStrings.xml><?xml version="1.0" encoding="utf-8"?>
<sst xmlns="http://schemas.openxmlformats.org/spreadsheetml/2006/main" count="1791" uniqueCount="929">
  <si>
    <t>Indicador</t>
  </si>
  <si>
    <t>Valor</t>
  </si>
  <si>
    <t>Cómo revisar</t>
  </si>
  <si>
    <t>Variantes</t>
  </si>
  <si>
    <t>1</t>
  </si>
  <si>
    <t>Revisar HU/CA</t>
  </si>
  <si>
    <t>Confirmar que intención y criterios representan el comportamiento esperado.</t>
  </si>
  <si>
    <t>Historias de Usuario</t>
  </si>
  <si>
    <t>2</t>
  </si>
  <si>
    <t>Revisar RN</t>
  </si>
  <si>
    <t>Ratificar reglas y especialmente las marcadas como Figma/pendiente.</t>
  </si>
  <si>
    <t>Reglas de Negocio</t>
  </si>
  <si>
    <t>3</t>
  </si>
  <si>
    <t>Revisar variante</t>
  </si>
  <si>
    <t>Aprobar, ajustar o excluir cada escenario.</t>
  </si>
  <si>
    <t>Variantes con evidencia Passed</t>
  </si>
  <si>
    <t>4</t>
  </si>
  <si>
    <t>Revisar CP/QA</t>
  </si>
  <si>
    <t>Confirmar caso de prueba y luego vincular evidencia real.</t>
  </si>
  <si>
    <t>Variantes con evidencia pendiente</t>
  </si>
  <si>
    <t>Puntos de decisión/validación Cliente</t>
  </si>
  <si>
    <t>Nota Fuente RN</t>
  </si>
  <si>
    <t>Métrica de revisión del Cliente</t>
  </si>
  <si>
    <t>Decisiones funcionales pendientes</t>
  </si>
  <si>
    <t>Estado de validación</t>
  </si>
  <si>
    <t>Cantidad</t>
  </si>
  <si>
    <t>% del total</t>
  </si>
  <si>
    <t>Estado decisión</t>
  </si>
  <si>
    <t>Aprobado</t>
  </si>
  <si>
    <t>Pendiente</t>
  </si>
  <si>
    <t>Resuelto</t>
  </si>
  <si>
    <t>Ajustar</t>
  </si>
  <si>
    <t>Requiere análisis</t>
  </si>
  <si>
    <t>Fuera de alcance</t>
  </si>
  <si>
    <t>Variantes revisadas</t>
  </si>
  <si>
    <t>Avance de revisión</t>
  </si>
  <si>
    <t>Aprobación sobre revisadas</t>
  </si>
  <si>
    <t>WALVY | M6 – Matriz de trazabilidad para validación con Cliente</t>
  </si>
  <si>
    <t>Cadena de trazabilidad: Historia de Usuario → Criterio de Aceptación → Regla Funcional → Variante → Caso de Prueba → Evidencia QA. Las HU de esta matriz se derivan de F1–F5 para ordenar la trazabilidad; las definiciones exclusivamente visuales de Figma permanecen identificadas como referencia visual/pendiente de validación cuando corresponda.</t>
  </si>
  <si>
    <t>ID Variante</t>
  </si>
  <si>
    <t>Flujo / Subflujo</t>
  </si>
  <si>
    <t>Variante / Escenario</t>
  </si>
  <si>
    <t>Condición / Disparador</t>
  </si>
  <si>
    <t>Comportamiento esperado</t>
  </si>
  <si>
    <t>HU asociada</t>
  </si>
  <si>
    <t>CA asociado</t>
  </si>
  <si>
    <t>Regla de negocio asociada</t>
  </si>
  <si>
    <t>Origen / Estado RN</t>
  </si>
  <si>
    <t>Código fuente RN</t>
  </si>
  <si>
    <t>Descripción fuente RN</t>
  </si>
  <si>
    <t>Caso de Prueba</t>
  </si>
  <si>
    <t>Evidencia QA</t>
  </si>
  <si>
    <t>Estado evidencia</t>
  </si>
  <si>
    <t>Nodo Figma</t>
  </si>
  <si>
    <t>URL Figma</t>
  </si>
  <si>
    <t>Clasificación de soporte</t>
  </si>
  <si>
    <t>Validación Cliente</t>
  </si>
  <si>
    <t>Decisión PO / Comentarios</t>
  </si>
  <si>
    <t>ID Pendiente Cliente</t>
  </si>
  <si>
    <t>M6-V01</t>
  </si>
  <si>
    <t>Pagos / Hub</t>
  </si>
  <si>
    <t>Sin pagos registrados</t>
  </si>
  <si>
    <t>Usuario no tiene cuentas por pagar registradas</t>
  </si>
  <si>
    <t>Mostrar empty state orientativo y CTA Registrar cuenta por pagar, sin presión artificial.</t>
  </si>
  <si>
    <t>M6-HU-017</t>
  </si>
  <si>
    <t>CA1</t>
  </si>
  <si>
    <t>R-M6-001 / BDD-M6-024</t>
  </si>
  <si>
    <t>MVP</t>
  </si>
  <si>
    <t>F2 | F4 | F5 | M6-BP</t>
  </si>
  <si>
    <t>Fase 2 – Inventario de Pantallas, Estados y Componentes M6 Pagos v1.0: superficies, pantallas candidatas, estados, componentes, CTAs y acciones.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</si>
  <si>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CP-M6-001</t>
  </si>
  <si>
    <t>Pendiente de evidencia QA ejecutada</t>
  </si>
  <si>
    <t>8859:31712 · ID lógico blueprint M6-SCR-01 / M6-SCR-10</t>
  </si>
  <si>
    <t>https://www.figma.com/design/v45c4HTKnPnU0XABMa5vjY/Walvi-APP---Edificate-Inteligente?node-id=8859-31712</t>
  </si>
  <si>
    <t>Confirmado documental + Figma sección</t>
  </si>
  <si>
    <t>M6-V02</t>
  </si>
  <si>
    <t>Consolidado con pagos en distintos estados</t>
  </si>
  <si>
    <t>Existen compromisos registrados o detectados</t>
  </si>
  <si>
    <t>Mostrar una superficie Pagos o equivalente que permita distinguir Pendiente, Próximo, Vencido, Pagado, Detectado, Revisión, recurrencia y duplicidad con acciones seguras.</t>
  </si>
  <si>
    <t>M6-HU-001</t>
  </si>
  <si>
    <t>CA1-CA3</t>
  </si>
  <si>
    <t>R-M6-001 / R-M6-020 / R-M6-030 / R-M6-040</t>
  </si>
  <si>
    <t>F1 | F2 | F5 | M6-BP</t>
  </si>
  <si>
    <t>Fase 1 – Definición Funcional M6 Pagos v1.0: propósito, alcance MVP, estados, reglas base, dependencias y guardrails.
Fase 2 – Inventario de Pantallas, Estados y Componentes M6 Pagos v1.0: superficies, pantallas candidatas, estados, componentes, CTAs y acciones.
Fase 5 – Briefing UX y Matriz Maestra de Obligaciones UX M6 Pagos v1.0: obligaciones UX OUX-M6-001..024, superficies, prioridad y guardrails.
Blueprint plaintext M6-FLOW-02: nodos M6-SCR-01..11, cards, modales, rutas, retornos, memoria y señales externas.</t>
  </si>
  <si>
    <t>CP-M6-002</t>
  </si>
  <si>
    <t>8859:31712 · ID lógico blueprint M6-SCR-01</t>
  </si>
  <si>
    <t>Confirmado documental; arquitectura visual final pendiente + Figma sección</t>
  </si>
  <si>
    <t>PD-M6-02</t>
  </si>
  <si>
    <t>M6-V03</t>
  </si>
  <si>
    <t>Pagos / Detalle</t>
  </si>
  <si>
    <t>Revisar detalle de pago</t>
  </si>
  <si>
    <t>Usuario abre Ver detalle / Revisar pago</t>
  </si>
  <si>
    <t>Mostrar estado, fecha, monto, origen, relación y acciones seguras; no representar checkout ni confirmación bancaria.</t>
  </si>
  <si>
    <t>M6-HU-001 / M6-HU-009</t>
  </si>
  <si>
    <t>CA2-CA3</t>
  </si>
  <si>
    <t>R-M6-050 / R-M6-051</t>
  </si>
  <si>
    <t>CP-M6-003</t>
  </si>
  <si>
    <t>8859:31712 · ID lógico blueprint M6-SCR-02</t>
  </si>
  <si>
    <t>M6-V04</t>
  </si>
  <si>
    <t>Alta manual</t>
  </si>
  <si>
    <t>Registro completo</t>
  </si>
  <si>
    <t>Usuario ingresa descripción y fecha de vencimiento</t>
  </si>
  <si>
    <t>Crear cuenta activa en estado Pendiente, conservar origen manual y no ejecutar pago.</t>
  </si>
  <si>
    <t>M6-HU-002</t>
  </si>
  <si>
    <t>CA1 / CA3</t>
  </si>
  <si>
    <t>R-M6-001 / R-M6-004</t>
  </si>
  <si>
    <t>F1 | F3 | M6-BP</t>
  </si>
  <si>
    <t>Fase 1 – Definición Funcional M6 Pagos v1.0: propósito, alcance MVP, estados, reglas base, dependencias y guardrails.
Fase 3 – Reglas Funcionales, Severidad y Anexo BDD M6 Pagos v1.0: reglas R-M6, severidad, semáforo de presión, señales intermodulares y BDD.
Blueprint plaintext M6-FLOW-02: nodos M6-SCR-01..11, cards, modales, rutas, retornos, memoria y señales externas.</t>
  </si>
  <si>
    <t>CP-M6-004</t>
  </si>
  <si>
    <t>8859:31712 · ID lógico blueprint M6-SCR-03</t>
  </si>
  <si>
    <t>M6-V05</t>
  </si>
  <si>
    <t>Registro incompleto</t>
  </si>
  <si>
    <t>Falta descripción o fecha de vencimiento</t>
  </si>
  <si>
    <t>Mantener Borrador / Sin datos suficientes; CTA Completar datos; no gatillar alerta fuerte.</t>
  </si>
  <si>
    <t>M6-HU-002 / M6-HU-004</t>
  </si>
  <si>
    <t>CA2</t>
  </si>
  <si>
    <t>R-M6-002 / R-M6-080 / R-M6-081 / BDD-M6-002</t>
  </si>
  <si>
    <t>F3 | F4 | M6-BP</t>
  </si>
  <si>
    <t>Fase 3 – Reglas Funcionales, Severidad y Anexo BDD M6 Pagos v1.0: reglas R-M6, severidad, semáforo de presión, señales intermodulares y BDD.
Fase 4 – Copy UX, CTAs y Mensajería Contextual M6 Pagos v1.0: CTAs oficiales, copy permitido/restringido/prohibido y mensajes por estado.
Blueprint plaintext M6-FLOW-02: nodos M6-SCR-01..11, cards, modales, rutas, retornos, memoria y señales externas.</t>
  </si>
  <si>
    <t>CP-M6-005</t>
  </si>
  <si>
    <t>8859:31712 · ID lógico blueprint M6-SCR-03 / M6-SCR-10</t>
  </si>
  <si>
    <t>M6-V06</t>
  </si>
  <si>
    <t>Monto ausente</t>
  </si>
  <si>
    <t>Descripción y fecha existen, pero falta monto</t>
  </si>
  <si>
    <t>La cuenta puede existir, pero el impacto económico no debe elevarse a severidad crítica solo por monto ausente.</t>
  </si>
  <si>
    <t>CA1-CA2</t>
  </si>
  <si>
    <t>R-M6-003 / R-M6-082</t>
  </si>
  <si>
    <t>F3</t>
  </si>
  <si>
    <t>Fase 3 – Reglas Funcionales, Severidad y Anexo BDD M6 Pagos v1.0: reglas R-M6, severidad, semáforo de presión, señales intermodulares y BDD.</t>
  </si>
  <si>
    <t>CP-M6-006</t>
  </si>
  <si>
    <t>M6-V07</t>
  </si>
  <si>
    <t>Candidato detectado</t>
  </si>
  <si>
    <t>Crear candidato, no cuenta confirmada</t>
  </si>
  <si>
    <t>Captura, ingesta, glosa, documento, cartola o patrón sugiere un pago</t>
  </si>
  <si>
    <t>Crear estado Detectado con origen/confianza; no consolidar automáticamente.</t>
  </si>
  <si>
    <t>M6-HU-003</t>
  </si>
  <si>
    <t>R-M6-010 / R-M6-011</t>
  </si>
  <si>
    <t>F1 | F3 | F5 | M6-BP</t>
  </si>
  <si>
    <t>Fase 1 – Definición Funcional M6 Pagos v1.0: propósito, alcance MVP, estados, reglas base, dependencias y guardrails.
Fase 3 – Reglas Funcionales, Severidad y Anexo BDD M6 Pagos v1.0: reglas R-M6, severidad, semáforo de presión, señales intermodulares y BDD.
Fase 5 – Briefing UX y Matriz Maestra de Obligaciones UX M6 Pagos v1.0: obligaciones UX OUX-M6-001..024, superficies, prioridad y guardrails.
Blueprint plaintext M6-FLOW-02: nodos M6-SCR-01..11, cards, modales, rutas, retornos, memoria y señales externas.</t>
  </si>
  <si>
    <t>CP-M6-007</t>
  </si>
  <si>
    <t>8859:31712 · ID lógico blueprint M6-SCR-04</t>
  </si>
  <si>
    <t>M6-V08</t>
  </si>
  <si>
    <t>Confirmar cuenta detectada</t>
  </si>
  <si>
    <t>Candidato con datos mínimos y usuario confirma</t>
  </si>
  <si>
    <t>Transformar a Pendiente, Próximo o Pagado según contexto; usar CTA oficial Confirmar cuenta / Confirmar como pago pendiente.</t>
  </si>
  <si>
    <t>R-M6-013 / BDD-M6-003</t>
  </si>
  <si>
    <t>F3 | F4 | F5 | M6-BP</t>
  </si>
  <si>
    <t>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</si>
  <si>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CP-M6-008</t>
  </si>
  <si>
    <t>M6-V09</t>
  </si>
  <si>
    <t>Corregir candidato</t>
  </si>
  <si>
    <t>Usuario corrige datos antes de consolidar</t>
  </si>
  <si>
    <t>Guardar dato corregido como fuente funcional prioritaria, conservar origen original y recalcular estado.</t>
  </si>
  <si>
    <t>R-M6-014 / BDD-M6-004</t>
  </si>
  <si>
    <t>CP-M6-009</t>
  </si>
  <si>
    <t>M6-V10</t>
  </si>
  <si>
    <t>Descartar candidato</t>
  </si>
  <si>
    <t>Usuario indica que el candidato no corresponde</t>
  </si>
  <si>
    <t>Estado Descartado; evitar reproponer de forma insistente salvo nueva señal/dato/regla.</t>
  </si>
  <si>
    <t>CA3</t>
  </si>
  <si>
    <t>R-M6-015 / BDD-M6-005</t>
  </si>
  <si>
    <t>CP-M6-010</t>
  </si>
  <si>
    <t>M6-V11</t>
  </si>
  <si>
    <t>Baja confianza</t>
  </si>
  <si>
    <t>Candidato con dato ambiguo o de baja confianza</t>
  </si>
  <si>
    <t>Mantener Requiere revisión; CTA Revisar dato; no consolidar ni escalar a alerta crítica.</t>
  </si>
  <si>
    <t>M6-HU-004</t>
  </si>
  <si>
    <t>R-M6-012 / R-M6-083 / R-M6-084 / BDD-M6-006</t>
  </si>
  <si>
    <t>CP-M6-011</t>
  </si>
  <si>
    <t>8859:31712 · ID lógico blueprint M6-SCR-10</t>
  </si>
  <si>
    <t>M6-V12</t>
  </si>
  <si>
    <t>Vencimiento</t>
  </si>
  <si>
    <t>Paso a Próximo</t>
  </si>
  <si>
    <t>Cuenta Pendiente entra en umbral funcional</t>
  </si>
  <si>
    <t>Cambiar a Próximo con severidad Atención; umbral parametrizable.</t>
  </si>
  <si>
    <t>M6-HU-005</t>
  </si>
  <si>
    <t>R-M6-020 / R-M6-021 / BDD-M6-007</t>
  </si>
  <si>
    <t>MVP – parametrizable</t>
  </si>
  <si>
    <t>F3 | F5</t>
  </si>
  <si>
    <t>Fase 3 – Reglas Funcionales, Severidad y Anexo BDD M6 Pagos v1.0: reglas R-M6, severidad, semáforo de presión, señales intermodulares y BDD.
Fase 5 – Briefing UX y Matriz Maestra de Obligaciones UX M6 Pagos v1.0: obligaciones UX OUX-M6-001..024, superficies, prioridad y guardrails.</t>
  </si>
  <si>
    <t>CP-M6-012</t>
  </si>
  <si>
    <t>8859:31712 · ID lógico blueprint M6-SCR-01 / M6-SCR-02</t>
  </si>
  <si>
    <t>PD-M6-01</t>
  </si>
  <si>
    <t>M6-V13</t>
  </si>
  <si>
    <t>Próximo con impacto relevante</t>
  </si>
  <si>
    <t>Pago Próximo tiene fecha/origen confiables y alto impacto o deuda asociada</t>
  </si>
  <si>
    <t>Puede elevarse a Urgente y gatillar señal/recordatorio seguro; no implica pago directo.</t>
  </si>
  <si>
    <t>R-M6-023 / R-M6-090</t>
  </si>
  <si>
    <t>F3 | F4</t>
  </si>
  <si>
    <t>Fase 3 – Reglas Funcionales, Severidad y Anexo BDD M6 Pagos v1.0: reglas R-M6, severidad, semáforo de presión, señales intermodulares y BDD.
Fase 4 – Copy UX, CTAs y Mensajería Contextual M6 Pagos v1.0: CTAs oficiales, copy permitido/restringido/prohibido y mensajes por estado.</t>
  </si>
  <si>
    <t>CP-M6-013</t>
  </si>
  <si>
    <t>PD-M6-05</t>
  </si>
  <si>
    <t>M6-V14</t>
  </si>
  <si>
    <t>Próximo sin fecha confiable</t>
  </si>
  <si>
    <t>Falta fecha confiable, origen claro o dato suficiente</t>
  </si>
  <si>
    <t>Mantener Requiere revisión / Atención; no gatillar urgencia ni criticidad.</t>
  </si>
  <si>
    <t>M6-HU-004 / M6-HU-005</t>
  </si>
  <si>
    <t>R-M6-024 / R-M6-080</t>
  </si>
  <si>
    <t>CP-M6-014</t>
  </si>
  <si>
    <t>M6-V15</t>
  </si>
  <si>
    <t>Pago vencido</t>
  </si>
  <si>
    <t>Fecha confiable superada sin pago registrado ni vínculo suficiente</t>
  </si>
  <si>
    <t>Estado Vencido, severidad Urgente; puede gatillar alerta operativa; CTA Registrar pago realizado / Revisar pago.</t>
  </si>
  <si>
    <t>M6-HU-006</t>
  </si>
  <si>
    <t>R-M6-030 / R-M6-033 / BDD-M6-008 / BDD-M6-018</t>
  </si>
  <si>
    <t>F3 | F4 | F5</t>
  </si>
  <si>
    <t>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t>
  </si>
  <si>
    <t>CP-M6-015</t>
  </si>
  <si>
    <t>M6-V16</t>
  </si>
  <si>
    <t>Pago vencido con severidad crítica</t>
  </si>
  <si>
    <t>Vencido con datos confiables y monto relevante, deuda bajo presión, mora, pago parcial/mínimo recurrente o fuerte impacto</t>
  </si>
  <si>
    <t>Elevar a Crítica internamente y mostrar revisión prioritaria sin usar 'crítico' como etiqueta visible por defecto.</t>
  </si>
  <si>
    <t>M6-HU-006 / M6-HU-018</t>
  </si>
  <si>
    <t>R-M6-031 / R-M6-035</t>
  </si>
  <si>
    <t>CP-M6-016</t>
  </si>
  <si>
    <t>M6-V17</t>
  </si>
  <si>
    <t>Vencido con datos insuficientes</t>
  </si>
  <si>
    <t>Monto/origen/fecha ambiguos o baja confianza</t>
  </si>
  <si>
    <t>No escalar a Crítica; mantener Requiere revisión / Atención.</t>
  </si>
  <si>
    <t>M6-HU-004 / M6-HU-006</t>
  </si>
  <si>
    <t>R-M6-032 / R-M6-084</t>
  </si>
  <si>
    <t>CP-M6-017</t>
  </si>
  <si>
    <t>M6-V18</t>
  </si>
  <si>
    <t>Pago realizado</t>
  </si>
  <si>
    <t>Registrar desde Pendiente/Próximo/Vencido</t>
  </si>
  <si>
    <t>Usuario declara que ya pagó fuera de Walvy</t>
  </si>
  <si>
    <t>Estado Pagado; conservar fecha/origen/actor; limpiar o reducir señal pendiente sin borrar historial.</t>
  </si>
  <si>
    <t>M6-HU-007</t>
  </si>
  <si>
    <t>R-M6-040 / R-M6-041 / R-M6-042 / BDD-M6-009</t>
  </si>
  <si>
    <t>F1 | F3 | F4 | F5 | M6-BP</t>
  </si>
  <si>
    <t>Fase 1 – Definición Funcional M6 Pagos v1.0: propósito, alcance MVP, estados, reglas base, dependencias y guardrails.
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</si>
  <si>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CP-M6-018</t>
  </si>
  <si>
    <t>8859:31712 · ID lógico blueprint M6-SCR-05</t>
  </si>
  <si>
    <t>M6-V19</t>
  </si>
  <si>
    <t>Pago realizado probable por ingesta</t>
  </si>
  <si>
    <t>Documento/cartola/movimiento sugiere que el pago ocurrió fuera de Walvy</t>
  </si>
  <si>
    <t>Representar Pago realizado probable; si coincidencia/validación suficiente puede registrarse Pagado; si no, mantener sugerencia/revisión.</t>
  </si>
  <si>
    <t>M6-HU-007 / M6-HU-009</t>
  </si>
  <si>
    <t>R-M6-050 / R-M6-052 / R-M6-056 / R-M6-057 / BDD-M6-015</t>
  </si>
  <si>
    <t>CP-M6-019</t>
  </si>
  <si>
    <t>8859:31712 · ID lógico blueprint M6-SCR-07 / M6-SCR-02</t>
  </si>
  <si>
    <t>M6-V20</t>
  </si>
  <si>
    <t>Corregir pago marcado</t>
  </si>
  <si>
    <t>Usuario detecta un dato incorrecto en un registro Pagado</t>
  </si>
  <si>
    <t>Permitir corregir fecha, monto, origen o vínculo; conservar historial funcional.</t>
  </si>
  <si>
    <t>M6-HU-008</t>
  </si>
  <si>
    <t>R-M6-043 / R-M6-044 / R-M6-045 / BDD-M6-010</t>
  </si>
  <si>
    <t>CP-M6-020</t>
  </si>
  <si>
    <t>8859:31712 · ID lógico blueprint M6-SCR-06</t>
  </si>
  <si>
    <t>M6-V21</t>
  </si>
  <si>
    <t>Deshacer pago marcado</t>
  </si>
  <si>
    <t>Usuario deshace un pago realizado por error</t>
  </si>
  <si>
    <t>Recalcular a Pendiente, Próximo, Vencido, Requiere revisión o Corregido según datos vigentes; mantener trazabilidad.</t>
  </si>
  <si>
    <t>R-M6-043 / R-M6-044 / BDD-M6-010</t>
  </si>
  <si>
    <t>CP-M6-021</t>
  </si>
  <si>
    <t>M6-V22</t>
  </si>
  <si>
    <t>Origen del dato</t>
  </si>
  <si>
    <t>Mostrar origen asociado</t>
  </si>
  <si>
    <t>Pago tiene registro manual o dato detectado asociado</t>
  </si>
  <si>
    <t>Mostrar origen/registro de forma acotada; no interpretarlo como comprobante formal, pago ejecutado o deuda cerrada.</t>
  </si>
  <si>
    <t>M6-HU-009</t>
  </si>
  <si>
    <t>CP-M6-022</t>
  </si>
  <si>
    <t>8859:31712 · ID lógico blueprint M6-SCR-07</t>
  </si>
  <si>
    <t>M6-V23</t>
  </si>
  <si>
    <t>Dato detectado con coincidencia mínima</t>
  </si>
  <si>
    <t>Existe coincidencia funcional por monto, fecha, glosa, categoría/proveedor u otro identificador razonable</t>
  </si>
  <si>
    <t>Permitir vínculo/revisión con confianza media/alta; no consolidar de forma opaca.</t>
  </si>
  <si>
    <t>R-M6-052</t>
  </si>
  <si>
    <t>CP-M6-023</t>
  </si>
  <si>
    <t>M6-V24</t>
  </si>
  <si>
    <t>Dato ilegible o insuficiente</t>
  </si>
  <si>
    <t>Documento/dato no permite lectura confiable</t>
  </si>
  <si>
    <t>Estado Requiere revisión / baja confianza; CTA Revisar archivo/origen o ingresar manualmente; no exigir comprobante obligatorio.</t>
  </si>
  <si>
    <t>M6-HU-004 / M6-HU-009 / M6-HU-017</t>
  </si>
  <si>
    <t>R-M6-053 / R-M6-054 / BDD-M6-016</t>
  </si>
  <si>
    <t>F2 | F3 | F4 | F5 | M6-BP</t>
  </si>
  <si>
    <t>Fase 2 – Inventario de Pantallas, Estados y Componentes M6 Pagos v1.0: superficies, pantallas candidatas, estados, componentes, CTAs y acciones.
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</si>
  <si>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CP-M6-024</t>
  </si>
  <si>
    <t>8859:31712 · ID lógico blueprint M6-SCR-10 / M6-SCR-07</t>
  </si>
  <si>
    <t>M6-V25</t>
  </si>
  <si>
    <t>Dato contradictorio</t>
  </si>
  <si>
    <t>Dato detectado contradice dato declarado</t>
  </si>
  <si>
    <t>Solicitar revisión o corrección; no confirmar sin revisión.</t>
  </si>
  <si>
    <t>M6-HU-004 / M6-HU-009</t>
  </si>
  <si>
    <t>R-M6-055</t>
  </si>
  <si>
    <t>CP-M6-025</t>
  </si>
  <si>
    <t>M6-V26</t>
  </si>
  <si>
    <t>Pago informado sin confianza suficiente</t>
  </si>
  <si>
    <t>Dato informado/detectado no alcanza confianza suficiente</t>
  </si>
  <si>
    <t>Mantener Requiere revisión y no marcar Pagado por defecto.</t>
  </si>
  <si>
    <t>R-M6-057</t>
  </si>
  <si>
    <t>CP-M6-026</t>
  </si>
  <si>
    <t>8859:31712 · ID lógico blueprint M6-SCR-07 / M6-SCR-10</t>
  </si>
  <si>
    <t>M6-V27</t>
  </si>
  <si>
    <t>Duplicidad</t>
  </si>
  <si>
    <t>Detectar duplicado probable</t>
  </si>
  <si>
    <t>Candidato coincide con cuenta existente por monto, fecha, descripción, glosa o categoría</t>
  </si>
  <si>
    <t>Estado Duplicado probable; bloquear fusión/consolidación automática y CTA Revisar duplicado.</t>
  </si>
  <si>
    <t>M6-HU-010</t>
  </si>
  <si>
    <t>R-M6-060 / R-M6-061 / R-M6-062 / BDD-M6-011</t>
  </si>
  <si>
    <t>CP-M6-027</t>
  </si>
  <si>
    <t>8859:31712 · ID lógico blueprint M6-SCR-08</t>
  </si>
  <si>
    <t>M6-V28</t>
  </si>
  <si>
    <t>Confirmar que no es duplicado</t>
  </si>
  <si>
    <t>Usuario determina que corresponde a compromiso distinto</t>
  </si>
  <si>
    <t>Mantener cuenta separada como Pendiente/Detectado y conservar trazabilidad.</t>
  </si>
  <si>
    <t>R-M6-063</t>
  </si>
  <si>
    <t>CP-M6-028</t>
  </si>
  <si>
    <t>M6-V29</t>
  </si>
  <si>
    <t>Confirmar duplicado</t>
  </si>
  <si>
    <t>Usuario confirma que corresponde al mismo pago</t>
  </si>
  <si>
    <t>Descartar o vincular al pago existente según regla; mantener historial y no borrar de forma opaca.</t>
  </si>
  <si>
    <t>R-M6-064</t>
  </si>
  <si>
    <t>CP-M6-029</t>
  </si>
  <si>
    <t>M6-V30</t>
  </si>
  <si>
    <t>Recurrencia</t>
  </si>
  <si>
    <t>Sugerir recurrencia probable</t>
  </si>
  <si>
    <t>Patrón de fecha, monto, glosa, categoría, proveedor o historial sugiere repetición</t>
  </si>
  <si>
    <t>Estado Recurrente probable; CTA Confirmar recurrencia; no activar automáticamente.</t>
  </si>
  <si>
    <t>M6-HU-011</t>
  </si>
  <si>
    <t>R-M6-070 / R-M6-071 / BDD-M6-012</t>
  </si>
  <si>
    <t>CP-M6-030</t>
  </si>
  <si>
    <t>8859:31712 · ID lógico blueprint M6-SCR-09</t>
  </si>
  <si>
    <t>M6-V31</t>
  </si>
  <si>
    <t>Confirmar recurrencia</t>
  </si>
  <si>
    <t>Usuario confirma recurrencia</t>
  </si>
  <si>
    <t>Marcar recurrencia confirmada/preparable; cualquier compromiso futuro depende de regla definida y no de pago automático.</t>
  </si>
  <si>
    <t>R-M6-072 / BDD-M6-013</t>
  </si>
  <si>
    <t>CP-M6-031</t>
  </si>
  <si>
    <t>PD-M6-06</t>
  </si>
  <si>
    <t>M6-V32</t>
  </si>
  <si>
    <t>Rechazar recurrencia</t>
  </si>
  <si>
    <t>Usuario indica No es recurrente</t>
  </si>
  <si>
    <t>Mantener como pago único / recurrencia descartada, evitando insistencia.</t>
  </si>
  <si>
    <t>R-M6-073 / BDD-M6-014</t>
  </si>
  <si>
    <t>CP-M6-032</t>
  </si>
  <si>
    <t>M6-V33</t>
  </si>
  <si>
    <t>Patrón de baja confianza</t>
  </si>
  <si>
    <t>Se detecta posible recurrencia con confianza baja</t>
  </si>
  <si>
    <t>Mostrar Requiere revisión; no presentar recurrencia sugerida fuerte ni crear futuros.</t>
  </si>
  <si>
    <t>M6-HU-004 / M6-HU-011</t>
  </si>
  <si>
    <t>R-M6-074</t>
  </si>
  <si>
    <t>CP-M6-033</t>
  </si>
  <si>
    <t>8859:31712 · ID lógico blueprint M6-SCR-10 / M6-SCR-09</t>
  </si>
  <si>
    <t>M6-V34</t>
  </si>
  <si>
    <t>Alertas</t>
  </si>
  <si>
    <t>Recordatorio de pago próximo</t>
  </si>
  <si>
    <t>Estado Próximo</t>
  </si>
  <si>
    <t>Gatillar alerta/recordatorio seguro con CTA Revisar pago; no inducir pago.</t>
  </si>
  <si>
    <t>M6-HU-013</t>
  </si>
  <si>
    <t>R-M6-090 / R-M6-094 / BDD-M6-017 / BDD-M6-023</t>
  </si>
  <si>
    <t>CP-M6-034</t>
  </si>
  <si>
    <t>PD-M6-03</t>
  </si>
  <si>
    <t>M6-V35</t>
  </si>
  <si>
    <t>Alerta de pago vencido</t>
  </si>
  <si>
    <t>Estado Vencido</t>
  </si>
  <si>
    <t>Gatillar alerta operativa con CTA seguro; no usar Pagar ahora ni lenguaje transaccional.</t>
  </si>
  <si>
    <t>R-M6-091 / R-M6-094 / BDD-M6-018</t>
  </si>
  <si>
    <t>CP-M6-035</t>
  </si>
  <si>
    <t>M6-V36</t>
  </si>
  <si>
    <t>Aviso por dato incompleto</t>
  </si>
  <si>
    <t>Estado Requiere revisión / dato incompleto</t>
  </si>
  <si>
    <t>Mostrar aviso de revisión, sin urgencia artificial ni criticidad.</t>
  </si>
  <si>
    <t>M6-HU-013 / M6-HU-004</t>
  </si>
  <si>
    <t>R-M6-092</t>
  </si>
  <si>
    <t>CP-M6-036</t>
  </si>
  <si>
    <t>M6-V37</t>
  </si>
  <si>
    <t>Aviso de recurrencia probable</t>
  </si>
  <si>
    <t>Estado Recurrente probable</t>
  </si>
  <si>
    <t>Solicitar confirmación, sin activar recurrencia ni pagos futuros automáticamente.</t>
  </si>
  <si>
    <t>M6-HU-013 / M6-HU-011</t>
  </si>
  <si>
    <t>R-M6-093</t>
  </si>
  <si>
    <t>CP-M6-037</t>
  </si>
  <si>
    <t>M6-V38</t>
  </si>
  <si>
    <t>Recomendaciones</t>
  </si>
  <si>
    <t>Recomendación contextual segura</t>
  </si>
  <si>
    <t>Vencido, recurrente o dato por revisar</t>
  </si>
  <si>
    <t>Mensaje informativo para ordenar/revisar; sin asesoría financiera regulada, promesa, culpa o instrucción de pago.</t>
  </si>
  <si>
    <t>M6-HU-014</t>
  </si>
  <si>
    <t>R-M6-100 / R-M6-101 / R-M6-102 / R-M6-104 / BDD-M6-019</t>
  </si>
  <si>
    <t>CP-M6-038</t>
  </si>
  <si>
    <t>Confirmado documental</t>
  </si>
  <si>
    <t>M6-V39</t>
  </si>
  <si>
    <t>Señal Home</t>
  </si>
  <si>
    <t>Pago vencido urgente/crítico</t>
  </si>
  <si>
    <t>Pago vencido relevante con datos confiables</t>
  </si>
  <si>
    <t>Enviar foco o próxima acción candidata a Home; no definir prioridad visual final ni convertir Home en panel de pagos.</t>
  </si>
  <si>
    <t>M6-HU-015</t>
  </si>
  <si>
    <t>R-M6-110 / R-M6-113 / BDD-M6-020</t>
  </si>
  <si>
    <t>CP-M6-039</t>
  </si>
  <si>
    <t>PD-M6-04</t>
  </si>
  <si>
    <t>M6-V40</t>
  </si>
  <si>
    <t>Pago próximo de alto impacto</t>
  </si>
  <si>
    <t>Próximo urgente/crítico con datos confiables</t>
  </si>
  <si>
    <t>Enviar foco candidato a Home, sujeto a priorización posterior.</t>
  </si>
  <si>
    <t>R-M6-111 / R-M6-113</t>
  </si>
  <si>
    <t>CP-M6-040</t>
  </si>
  <si>
    <t>M6-V41</t>
  </si>
  <si>
    <t>Revisión relevante por baja confianza</t>
  </si>
  <si>
    <t>Dato de baja confianza afecta materialmente la claridad del mes</t>
  </si>
  <si>
    <t>Puede enviar foco de revisión evitando ruido; no presentar certeza.</t>
  </si>
  <si>
    <t>M6-HU-015 / M6-HU-004</t>
  </si>
  <si>
    <t>R-M6-112 / R-M6-113</t>
  </si>
  <si>
    <t>CP-M6-041</t>
  </si>
  <si>
    <t>M6-V42</t>
  </si>
  <si>
    <t>Señal M5</t>
  </si>
  <si>
    <t>Impacto mensual/categoría</t>
  </si>
  <si>
    <t>Cuenta Pendiente/Próxima/Vencida tiene impacto trazable</t>
  </si>
  <si>
    <t>Enviar señal de impacto a Presupuesto Vivo; M6 no reasigna presupuesto ni reabre M5.</t>
  </si>
  <si>
    <t>R-M6-120 / R-M6-123 / BDD-M6-021</t>
  </si>
  <si>
    <t>CP-M6-042</t>
  </si>
  <si>
    <t>M6-V43</t>
  </si>
  <si>
    <t>Pago realizado explica impacto</t>
  </si>
  <si>
    <t>Pago vinculado pasa a Pagado</t>
  </si>
  <si>
    <t>Enviar señal de ajuste/explicación a M5 sin reasignación automática.</t>
  </si>
  <si>
    <t>R-M6-121</t>
  </si>
  <si>
    <t>CP-M6-043</t>
  </si>
  <si>
    <t>M6-V44</t>
  </si>
  <si>
    <t>Recurrencia confirmada futura</t>
  </si>
  <si>
    <t>Recurrencia confirmada y regla suficiente</t>
  </si>
  <si>
    <t>Puede alimentar previsibilidad futura a M5; requiere regla suficiente.</t>
  </si>
  <si>
    <t>M6-HU-015 / M6-HU-011</t>
  </si>
  <si>
    <t>R-M6-122</t>
  </si>
  <si>
    <t>MVP – condicionado</t>
  </si>
  <si>
    <t>CP-M6-044</t>
  </si>
  <si>
    <t>M6-V45</t>
  </si>
  <si>
    <t>Señal M4</t>
  </si>
  <si>
    <t>Pago asociado a deuda sin presión</t>
  </si>
  <si>
    <t>Existe deuda asociada, pero sin mora/presión/atraso material</t>
  </si>
  <si>
    <t>Mantener el compromiso en M6; no activar M4 ni Ruta Despeje por la sola asociación.</t>
  </si>
  <si>
    <t>M6-HU-016</t>
  </si>
  <si>
    <t>R-M6-130 / R-M6-132 / R-M6-133</t>
  </si>
  <si>
    <t>F1 | F3 | F5</t>
  </si>
  <si>
    <t>Fase 1 – Definición Funcional M6 Pagos v1.0: propósito, alcance MVP, estados, reglas base, dependencias y guardrails.
Fase 3 – Reglas Funcionales, Severidad y Anexo BDD M6 Pagos v1.0: reglas R-M6, severidad, semáforo de presión, señales intermodulares y BDD.
Fase 5 – Briefing UX y Matriz Maestra de Obligaciones UX M6 Pagos v1.0: obligaciones UX OUX-M6-001..024, superficies, prioridad y guardrails.</t>
  </si>
  <si>
    <t>CP-M6-045</t>
  </si>
  <si>
    <t>M6-V46</t>
  </si>
  <si>
    <t>Deuda bajo presión</t>
  </si>
  <si>
    <t>Pago asociado a deuda presenta presión, mora, pago mínimo recurrente, pago parcial, saldo arrastrado, atraso acumulado o riesgo de incumplimiento</t>
  </si>
  <si>
    <t>Enviar señal controlada a evaluación M4; M4 conserva estrategia y M6 no activa Ruta Despeje automáticamente.</t>
  </si>
  <si>
    <t>R-M6-130 / R-M6-131 / R-M6-132 / R-M6-133 / BDD-M6-022</t>
  </si>
  <si>
    <t>CP-M6-046</t>
  </si>
  <si>
    <t>M6-V47</t>
  </si>
  <si>
    <t>Pago mínimo / parcial / saldo arrastrado</t>
  </si>
  <si>
    <t>Se registra o detecta de forma recurrente o presiona el flujo</t>
  </si>
  <si>
    <t>Tratar como señal de alerta/deterioro y posible evaluación M4; no recomendar pago mínimo ni considerarlo sano.</t>
  </si>
  <si>
    <t>M6-HU-016 / M6-HU-019</t>
  </si>
  <si>
    <t>R-M6-134 / BDD-M6-026</t>
  </si>
  <si>
    <t>CP-M6-047</t>
  </si>
  <si>
    <t>M6-V48</t>
  </si>
  <si>
    <t>Presión de flujo</t>
  </si>
  <si>
    <t>Zona de atención 50%-79%</t>
  </si>
  <si>
    <t>Presión mensual entre 50% y 79%</t>
  </si>
  <si>
    <t>M6 puede mostrar señales preventivas si hay concentración, pagos próximos o pérdida de margen.</t>
  </si>
  <si>
    <t>M6-HU-019</t>
  </si>
  <si>
    <t>R-M6-124 / R-M6-125</t>
  </si>
  <si>
    <t>CP-M6-048</t>
  </si>
  <si>
    <t>M6-V49</t>
  </si>
  <si>
    <t>Alerta preventiva &gt;=80%</t>
  </si>
  <si>
    <t>Presión mensual &gt;=80% sin condición suficiente de deuda bajo presión</t>
  </si>
  <si>
    <t>Advertir poco margen de reacción; no activar M4 automáticamente.</t>
  </si>
  <si>
    <t>R-M6-135 / BDD-M6-025</t>
  </si>
  <si>
    <t>CP-M6-049</t>
  </si>
  <si>
    <t>M6-V50</t>
  </si>
  <si>
    <t>Presión alta &gt;=90% con deuda</t>
  </si>
  <si>
    <t>Presión &gt;=90% y causa incluye deuda/compromiso financiero bajo presión</t>
  </si>
  <si>
    <t>Puede gatillar evaluación M4 de forma controlada.</t>
  </si>
  <si>
    <t>R-M6-135 / BDD-M6-022</t>
  </si>
  <si>
    <t>CP-M6-050</t>
  </si>
  <si>
    <t>M6-V51</t>
  </si>
  <si>
    <t>Flujo negativo &gt;=100% sin deuda bajo presión</t>
  </si>
  <si>
    <t>Mes no cierra por gasto general o compromisos cerrables sin condición de deuda bajo presión</t>
  </si>
  <si>
    <t>Bifurcar: M5/Home explica presupuesto; M6 revisa compromisos cerrables; M4 no se activa sin deuda bajo presión.</t>
  </si>
  <si>
    <t>R-M6-124 / R-M6-125 / R-M6-135 / BDD-M6-025</t>
  </si>
  <si>
    <t>CP-M6-051</t>
  </si>
  <si>
    <t>M6-V52</t>
  </si>
  <si>
    <t>Sobrepresión &gt;=110% o recurrente 2+ ciclos</t>
  </si>
  <si>
    <t>Presión extrema o estructural</t>
  </si>
  <si>
    <t>Elevar severidad/señal a Home/M5; evaluar M4 solo si existe deuda o compromiso financiero presionante.</t>
  </si>
  <si>
    <t>M6-HU-019 / M6-HU-016</t>
  </si>
  <si>
    <t>R-M6-135</t>
  </si>
  <si>
    <t>CP-M6-052</t>
  </si>
  <si>
    <t>M6-V53</t>
  </si>
  <si>
    <t>Historial</t>
  </si>
  <si>
    <t>Ver historial de pagos y estados</t>
  </si>
  <si>
    <t>Usuario selecciona Ver historial</t>
  </si>
  <si>
    <t>Mostrar cambios y estados funcionales con trazabilidad; no cartola bancaria ni conciliación contable.</t>
  </si>
  <si>
    <t>M6-HU-012</t>
  </si>
  <si>
    <t>R-M6-044</t>
  </si>
  <si>
    <t>CP-M6-053</t>
  </si>
  <si>
    <t>8859:31712 · ID lógico blueprint M6-SCR-11</t>
  </si>
  <si>
    <t>M6-V54</t>
  </si>
  <si>
    <t>Calidad de dato</t>
  </si>
  <si>
    <t>Revisión repetida</t>
  </si>
  <si>
    <t>Existen datos incompletos recurrentes</t>
  </si>
  <si>
    <t>Puede alimentar una señal de calidad de dato a Perfil; no operar pagos desde Perfil.</t>
  </si>
  <si>
    <t>M6-HU-004 / M6-HU-018</t>
  </si>
  <si>
    <t>R-M6-140</t>
  </si>
  <si>
    <t>CP-M6-054</t>
  </si>
  <si>
    <t>M6-V55</t>
  </si>
  <si>
    <t>Baja confianza como señal de calidad</t>
  </si>
  <si>
    <t>Dato detectado insuficiente o baja confianza</t>
  </si>
  <si>
    <t>Puede indicar baja confiabilidad; no validar automáticamente.</t>
  </si>
  <si>
    <t>R-M6-141</t>
  </si>
  <si>
    <t>CP-M6-055</t>
  </si>
  <si>
    <t>M6-V56</t>
  </si>
  <si>
    <t>Guardrail transversal</t>
  </si>
  <si>
    <t>Bloqueo de lenguaje transaccional</t>
  </si>
  <si>
    <t>Cualquier pantalla/card/modal/alerta de M6</t>
  </si>
  <si>
    <t>No usar Pagar ahora, Pagar desde Walvy, Transferir, pago automático ni lenguaje que sugiera movimiento de fondos.</t>
  </si>
  <si>
    <t>M6-HU-018</t>
  </si>
  <si>
    <t>R-M6-040 / R-M6-094</t>
  </si>
  <si>
    <t>MVP / guardrail</t>
  </si>
  <si>
    <t>F1 | F4 | F5 | M6-BP</t>
  </si>
  <si>
    <t>Fase 1 – Definición Funcional M6 Pagos v1.0: propósito, alcance MVP, estados, reglas base, dependencias y guardrails.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</si>
  <si>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CP-M6-056</t>
  </si>
  <si>
    <t>8859:31712 · ID lógico blueprint M6-SCR-01..11</t>
  </si>
  <si>
    <t>M6-V57</t>
  </si>
  <si>
    <t>Severidad crítica no visible por defecto</t>
  </si>
  <si>
    <t>Estado interno Crítica</t>
  </si>
  <si>
    <t>Comunicar revisión prioritaria sin usar 'Crítica' como etiqueta visible por defecto, con datos confiables suficientes y sin alarmismo.</t>
  </si>
  <si>
    <t>M6-HU-018 / M6-HU-006</t>
  </si>
  <si>
    <t>R-M6-031 / R-M6-084</t>
  </si>
  <si>
    <t>CP-M6-057</t>
  </si>
  <si>
    <t>M6-V58</t>
  </si>
  <si>
    <t>Sin comprobante obligatorio</t>
  </si>
  <si>
    <t>Pago informado o detectado</t>
  </si>
  <si>
    <t>No abrir flujo obligatorio de comprobantes ni exigir evidencia formal; conservar origen funcional y confianza.</t>
  </si>
  <si>
    <t>M6-HU-007 / M6-HU-009 / M6-HU-018</t>
  </si>
  <si>
    <t>R-M6-040 / R-M6-051 / R-M6-054</t>
  </si>
  <si>
    <t>CP-M6-058</t>
  </si>
  <si>
    <t>M6-V59</t>
  </si>
  <si>
    <t>Diseño / Equivalencia</t>
  </si>
  <si>
    <t>Pantalla Pagos vs superficie equivalente</t>
  </si>
  <si>
    <t>Se debe representar M6 en UX</t>
  </si>
  <si>
    <t>La solución debe cubrir todas las obligaciones MVP mínimas; la pantalla propia es candidata fuerte, pero el cierre visual final requiere validación UX/QA.</t>
  </si>
  <si>
    <t>R-M6-113 / R-M6-123 / R-M6-133</t>
  </si>
  <si>
    <t>Fase 5 / decisión UX</t>
  </si>
  <si>
    <t>F2 | F5 | M6-BP | M6-FIG</t>
  </si>
  <si>
    <t>Fase 2 – Inventario de Pantallas, Estados y Componentes M6 Pagos v1.0: superficies, pantallas candidatas, estados, componentes, CTAs y acciones.
Fase 5 – Briefing UX y Matriz Maestra de Obligaciones UX M6 Pagos v1.0: obligaciones UX OUX-M6-001..024, superficies, prioridad y guardrails.
Blueprint plaintext M6-FLOW-02: nodos M6-SCR-01..11, cards, modales, rutas, retornos, memoria y señales externas.
Figma Walvi APP – sección M6 Pagos, nodo padre 8859:31712. Se usa como referencia visual; no convierte por sí solo una definición visual en regla de Producto.</t>
  </si>
  <si>
    <t>CP-M6-059</t>
  </si>
  <si>
    <t>Documento + blueprint + Figma; decisión visual final pendiente</t>
  </si>
  <si>
    <t>WALVY | M6 – Historias de Usuario y Criterios de Aceptación</t>
  </si>
  <si>
    <t>ID</t>
  </si>
  <si>
    <t>Historia</t>
  </si>
  <si>
    <t>Redacción</t>
  </si>
  <si>
    <t>Criterios de aceptación</t>
  </si>
  <si>
    <t>Consultar consolidado de pagos</t>
  </si>
  <si>
    <t>Como usuario, quiero ver mis compromisos de pago organizados por estado, para entender qué tengo pendiente, próximo, vencido, realizado o por revisar.</t>
  </si>
  <si>
    <t>CA1. Debe existir una superficie Pagos o equivalente funcional aprobada que concentre las obligaciones mínimas de M6.
CA2. Se distinguen estados pendientes, próximos, vencidos, realizados y casos que requieren revisión.
CA3. Cada elemento ofrece una acción segura y no transaccional según su estado.</t>
  </si>
  <si>
    <t>Registrar cuenta por pagar manualmente</t>
  </si>
  <si>
    <t>Como usuario, quiero registrar manualmente una cuenta por pagar, para hacer seguimiento de un compromiso aunque Walvy no lo haya detectado.</t>
  </si>
  <si>
    <t>CA1. Con descripción y fecha de vencimiento puede crearse una cuenta activa.
CA2. Si faltan datos mínimos queda como borrador o sin datos suficientes.
CA3. El origen manual se conserva y la acción no ejecuta ningún pago.</t>
  </si>
  <si>
    <t>Revisar candidato detectado</t>
  </si>
  <si>
    <t>Como usuario, quiero revisar un posible pago detectado antes de consolidarlo, para confirmar, corregir o descartar información sugerida por Walvy.</t>
  </si>
  <si>
    <t>CA1. El candidato muestra origen y nivel de confianza cuando corresponde.
CA2. El CTA oficial para una posible cuenta es Confirmar cuenta o Confirmar como pago pendiente según contexto.
CA3. No existe consolidación automática sin confirmación o regla funcional suficiente.</t>
  </si>
  <si>
    <t>Gestionar datos insuficientes o de baja confianza</t>
  </si>
  <si>
    <t>Como usuario, quiero identificar y completar datos incompletos o poco confiables, para evitar que Walvy use información incierta como confirmada.</t>
  </si>
  <si>
    <t>CA1. La baja confianza se muestra como revisión, no como certeza.
CA2. Sin fecha confiable no se calcula Próximo/Vencido y sin datos suficientes no se eleva a criticidad.
CA3. El usuario puede revisar, completar, corregir o descartar según el caso.</t>
  </si>
  <si>
    <t>Revisar pago próximo</t>
  </si>
  <si>
    <t>Como usuario, quiero identificar pagos próximos a vencer, para revisar con anticipación mis compromisos del mes.</t>
  </si>
  <si>
    <t>CA1. El estado Próximo depende de un umbral funcional parametrizable.
CA2. Con datos confiables e impacto relevante puede elevarse a Urgente.
CA3. El CTA orienta a Revisar pago o Registrar pago realizado, nunca a pagar desde Walvy.</t>
  </si>
  <si>
    <t>Revisar pago vencido</t>
  </si>
  <si>
    <t>Como usuario, quiero identificar pagos vencidos, para revisar su estado y registrar si ya los pagué fuera de Walvy.</t>
  </si>
  <si>
    <t>CA1. Vencido requiere fecha confiable superada sin pago registrado ni vínculo suficiente.
CA2. Puede gatillar alerta y, con datos suficientes, severidad Urgente/Crítica.
CA3. El CTA no debe ser transaccional ni usar lenguaje alarmista.</t>
  </si>
  <si>
    <t>Registrar pago realizado fuera de Walvy</t>
  </si>
  <si>
    <t>Como usuario, quiero registrar que un pago ya fue realizado fuera de Walvy, para mantener actualizado el seguimiento de mis compromisos.</t>
  </si>
  <si>
    <t>CA1. Registrar pago realizado no ejecuta ni instruye un pago.
CA2. El registro conserva fecha, origen y acción del usuario o dato detectado cuando aplique.
CA3. Al registrarse puede limpiar o reducir una señal pendiente, próxima o vencida sin borrar el historial.</t>
  </si>
  <si>
    <t>Corregir o deshacer un pago realizado</t>
  </si>
  <si>
    <t>Como usuario, quiero corregir o deshacer un pago marcado como realizado por error, para recuperar el estado correcto sin perder trazabilidad.</t>
  </si>
  <si>
    <t>CA1. Debe existir tratamiento de Corregir / Deshacer.
CA2. El estado se recalcula a Pendiente, Próximo, Vencido, Requiere revisión o Corregido según datos vigentes.
CA3. Se conserva historial mínimo de estado anterior, acción y fecha.</t>
  </si>
  <si>
    <t>Revisar registro u origen del dato</t>
  </si>
  <si>
    <t>Como usuario, quiero revisar el registro u origen del dato asociado a un pago, para entender de dónde proviene sin asumir que está validado formalmente.</t>
  </si>
  <si>
    <t>CA1. Puede mostrarse origen manual, documento, cartola, movimiento, glosa, patrón u otra fuente permitida.
CA2. El origen del dato no equivale por sí solo a pago validado, comprobante formal o deuda cerrada.
CA3. Si el dato es ilegible, incompleto o contradictorio queda en revisión.</t>
  </si>
  <si>
    <t>Revisar duplicado probable</t>
  </si>
  <si>
    <t>Como usuario, quiero revisar un pago que podría estar duplicado, para decidir si corresponde al mismo compromiso o a uno distinto.</t>
  </si>
  <si>
    <t>CA1. La coincidencia puede considerar monto, fecha, descripción, glosa o categoría.
CA2. No se fusiona ni consolida automáticamente.
CA3. El usuario puede mantener separado, descartar o vincular según la regla aplicable.</t>
  </si>
  <si>
    <t>Gestionar recurrencia probable</t>
  </si>
  <si>
    <t>Como usuario, quiero confirmar o rechazar un patrón de pago recurrente, para anticipar compromisos repetidos sin activar pagos automáticos.</t>
  </si>
  <si>
    <t>CA1. La recurrencia probable se sugiere por patrón y requiere confirmación o regla suficiente.
CA2. El usuario puede Confirmar recurrencia o indicar No es recurrente.
CA3. Baja confianza mantiene el caso en revisión y no crea compromisos futuros automáticamente.</t>
  </si>
  <si>
    <t>Consultar historial de pagos y estados</t>
  </si>
  <si>
    <t>Como usuario, quiero revisar el historial funcional de mis pagos y cambios de estado, para entender qué decisiones se registraron.</t>
  </si>
  <si>
    <t>CA1. El historial permite revisar pagos/estados y cambios relevantes.
CA2. No se presenta como cartola bancaria, conciliación contable ni comprobante.
CA3. Mantiene trazabilidad de correcciones, descartes y reversibilidad cuando aplique.</t>
  </si>
  <si>
    <t>Recibir alertas y recordatorios seguros</t>
  </si>
  <si>
    <t>Como usuario, quiero recibir avisos sobre pagos próximos, vencidos o datos por revisar, para no perder de vista compromisos relevantes.</t>
  </si>
  <si>
    <t>CA1. Próximo puede gatillar recordatorio y Vencido puede gatillar alerta operativa.
CA2. Baja confianza o datos incompletos generan aviso de revisión, no urgencia artificial.
CA3. El CTA orienta a revisar o registrar pago realizado fuera de Walvy.</t>
  </si>
  <si>
    <t>Recibir recomendaciones contextuales seguras</t>
  </si>
  <si>
    <t>Como usuario, quiero recibir mensajes contextuales sobre mis pagos, para ordenar el mes sin recibir asesoría financiera regulada.</t>
  </si>
  <si>
    <t>CA1. Los mensajes son informativos/contextuales y basados en datos observados.
CA2. No recomiendan productos financieros ni instruyen pagos.
CA3. El copy usa los textos/guardrails de Fase 4 y evita culpa, amenaza o promesas.</t>
  </si>
  <si>
    <t>Reflejar impacto de pagos en Home y Presupuesto Vivo</t>
  </si>
  <si>
    <t>Como usuario, quiero que los compromisos relevantes puedan reflejarse como señales en Home o Presupuesto Vivo, para entender su impacto en el mes.</t>
  </si>
  <si>
    <t>CA1. M6 puede emitir señales candidatas a Home y de impacto a M5.
CA2. Home no se convierte en panel de pagos y M6 no reabre ni reasigna M5 automáticamente.
CA3. La prioridad visual final corresponde a una etapa posterior de UX/Producto.</t>
  </si>
  <si>
    <t>Derivar señal controlada a M4</t>
  </si>
  <si>
    <t>Como usuario con deuda bajo presión, quiero que un compromiso de pago pueda generar una señal controlada hacia M4, para que la estrategia de deuda sea evaluada en el módulo correcto.</t>
  </si>
  <si>
    <t>CA1. Un pago asociado a deuda no deriva a M4 por sí solo; requiere presión, mora, pago mínimo recurrente, pago parcial, saldo arrastrado u otra condición suficiente.
CA2. M6 no activa Ruta Despeje automáticamente ni define estrategia de deuda.
CA3. M4 conserva el dominio sobre priorización y tratamiento estratégico.</t>
  </si>
  <si>
    <t>Gestionar estados vacíos y errores</t>
  </si>
  <si>
    <t>Como usuario, quiero recibir estados claros cuando no hay pagos o cuando una fuente no puede interpretarse, para saber cómo continuar sin que se inventen datos.</t>
  </si>
  <si>
    <t>CA1. Sin pagos registrados se muestra un empty state orientativo con CTA Registrar cuenta por pagar.
CA2. Error de lectura o dato no interpretable no consolida información.
CA3. Debe existir opción de revisar archivo/dato o ingresar manualmente según corresponda.</t>
  </si>
  <si>
    <t>Mantener experiencia no transaccional y trazable</t>
  </si>
  <si>
    <t>Como usuario, quiero que Walvy organice mis pagos sin mover dinero ni presentar acciones ambiguas, para mantener claridad sobre el alcance del servicio.</t>
  </si>
  <si>
    <t>CA1. Se bloquean CTAs y lenguaje de pago directo, wallet, transferencias o pago automático.
CA2. Todo dato detectado conserva origen, confianza y acción del usuario cuando corresponda.
CA3. Los estados y severidades no deben presentar certeza o criticidad sin datos suficientes.</t>
  </si>
  <si>
    <t>Interpretar presión de flujo por compromisos</t>
  </si>
  <si>
    <t>Como usuario, quiero que Walvy interprete la presión de flujo provocada por compromisos, para recibir señales coherentes según la causa.</t>
  </si>
  <si>
    <t>CA1. La lectura funcional usa los umbrales 50/80/90/100/110 definidos en Fase 3.
CA2. &gt;=80% es alerta preventiva y no activa M4 automáticamente.
CA3. La derivación se bifurca por causa: M5/Home para presupuesto general, M6 para compromisos cerrables y M4 solo con deuda bajo presión.</t>
  </si>
  <si>
    <t>WALVY | M6 – Matriz completa de Reglas Funcionales</t>
  </si>
  <si>
    <t>Nombre / Grupo</t>
  </si>
  <si>
    <t>Regla</t>
  </si>
  <si>
    <t>Estado / Origen</t>
  </si>
  <si>
    <t>R-M6-001</t>
  </si>
  <si>
    <t>Creación</t>
  </si>
  <si>
    <t>Si el usuario crea una cuenta con descripción y fecha de vencimiento, M6 puede crear una cuenta por pagar activa.</t>
  </si>
  <si>
    <t>MVP / Fase 3</t>
  </si>
  <si>
    <t>M6-F3</t>
  </si>
  <si>
    <t>Fase 3 – Reglas Funcionales, Severidad y Anexo BDD M6 Pagos v1.0: reglas R-M6, severidad, semáforo de presión, señales intermodulares y BDD.
Resultado/Gatillo documentado: Pendiente.
Guardrail/condición: No ejecuta pago.</t>
  </si>
  <si>
    <t>R-M6-002</t>
  </si>
  <si>
    <t>Si falta descripción o fecha de vencimiento, la cuenta no debe quedar activa como pendiente completa.</t>
  </si>
  <si>
    <t>Fase 3 – Reglas Funcionales, Severidad y Anexo BDD M6 Pagos v1.0: reglas R-M6, severidad, semáforo de presión, señales intermodulares y BDD.
Resultado/Gatillo documentado: Borrador / Sin datos suficientes.
Guardrail/condición: No gatillar alerta fuerte.</t>
  </si>
  <si>
    <t>R-M6-003</t>
  </si>
  <si>
    <t>Si el monto falta, la cuenta puede existir, pero su severidad por impacto económico debe quedar limitada.</t>
  </si>
  <si>
    <t>Fase 3 – Reglas Funcionales, Severidad y Anexo BDD M6 Pagos v1.0: reglas R-M6, severidad, semáforo de presión, señales intermodulares y BDD.
Resultado/Gatillo documentado: Pendiente / Requiere revisión.
Guardrail/condición: No marcar crítica solo por monto ausente.</t>
  </si>
  <si>
    <t>R-M6-004</t>
  </si>
  <si>
    <t>Toda cuenta creada manualmente debe conservar origen manual.</t>
  </si>
  <si>
    <t>Fase 3 – Reglas Funcionales, Severidad y Anexo BDD M6 Pagos v1.0: reglas R-M6, severidad, semáforo de presión, señales intermodulares y BDD.
Resultado/Gatillo documentado: Estado correspondiente.
Guardrail/condición: Trazabilidad obligatoria.</t>
  </si>
  <si>
    <t>R-M6-005</t>
  </si>
  <si>
    <t>Una cuenta manual puede corregirse antes o después de ser registrada, según reglas de edición/corrección.</t>
  </si>
  <si>
    <t>Fase 3 – Reglas Funcionales, Severidad y Anexo BDD M6 Pagos v1.0: reglas R-M6, severidad, semáforo de presión, señales intermodulares y BDD.
Resultado/Gatillo documentado: Estado actualizado.
Guardrail/condición: Mantener historial funcional.</t>
  </si>
  <si>
    <t>R-M6-010</t>
  </si>
  <si>
    <t>Si captura, ingesta, glosa, documento, cartola o patrón sugiere un pago, M6 debe crear candidato detectado, no cuenta confirmada automática.</t>
  </si>
  <si>
    <t>Fase 3 – Reglas Funcionales, Severidad y Anexo BDD M6 Pagos v1.0: reglas R-M6, severidad, semáforo de presión, señales intermodulares y BDD.
Resultado/Gatillo documentado: Detectado.
Guardrail/condición: No consolidación automática.</t>
  </si>
  <si>
    <t>R-M6-011</t>
  </si>
  <si>
    <t>Todo candidato detectado debe mostrar origen y nivel de confianza funcional.</t>
  </si>
  <si>
    <t>Fase 3 – Reglas Funcionales, Severidad y Anexo BDD M6 Pagos v1.0: reglas R-M6, severidad, semáforo de presión, señales intermodulares y BDD.
Resultado/Gatillo documentado: Detectado.
Guardrail/condición: Trazabilidad.</t>
  </si>
  <si>
    <t>R-M6-012</t>
  </si>
  <si>
    <t>Si el candidato tiene datos incompletos o ambiguos, debe marcarse como requiere revisión.</t>
  </si>
  <si>
    <t>Fase 3 – Reglas Funcionales, Severidad y Anexo BDD M6 Pagos v1.0: reglas R-M6, severidad, semáforo de presión, señales intermodulares y BDD.
Resultado/Gatillo documentado: Requiere revisión.
Guardrail/condición: No alerta crítica.</t>
  </si>
  <si>
    <t>R-M6-013</t>
  </si>
  <si>
    <t>Si el usuario confirma candidato con datos mínimos, puede transformarse en cuenta pendiente, próxima o pagada según contexto.</t>
  </si>
  <si>
    <t>Fase 3 – Reglas Funcionales, Severidad y Anexo BDD M6 Pagos v1.0: reglas R-M6, severidad, semáforo de presión, señales intermodulares y BDD.
Resultado/Gatillo documentado: Pendiente / Próximo / Pagado.
Guardrail/condición: Confirmación usuario.</t>
  </si>
  <si>
    <t>R-M6-014</t>
  </si>
  <si>
    <t>Si el usuario corrige candidato, debe guardarse el dato corregido como fuente funcional prioritaria.</t>
  </si>
  <si>
    <t>Fase 3 – Reglas Funcionales, Severidad y Anexo BDD M6 Pagos v1.0: reglas R-M6, severidad, semáforo de presión, señales intermodulares y BDD.
Resultado/Gatillo documentado: Estado corregido.
Guardrail/condición: Mantener origen original.</t>
  </si>
  <si>
    <t>R-M6-015</t>
  </si>
  <si>
    <t>Si el usuario descarta candidato, no debe volver a proponerse de forma insistente salvo nueva senal, dato autorizado o regla posterior.</t>
  </si>
  <si>
    <t>Fase 3 – Reglas Funcionales, Severidad y Anexo BDD M6 Pagos v1.0: reglas R-M6, severidad, semáforo de presión, señales intermodulares y BDD.
Resultado/Gatillo documentado: Descartado.
Guardrail/condición: Evitar ruido.</t>
  </si>
  <si>
    <t>R-M6-020</t>
  </si>
  <si>
    <t>Próximo vencimiento</t>
  </si>
  <si>
    <t>Una cuenta pendiente pasa a próximo cuando entra en el umbral funcional de vencimiento definido para M6.</t>
  </si>
  <si>
    <t>Fase 3 – Reglas Funcionales, Severidad y Anexo BDD M6 Pagos v1.0: reglas R-M6, severidad, semáforo de presión, señales intermodulares y BDD.
Resultado/Gatillo documentado: Próximo.
Guardrail/condición: Atención</t>
  </si>
  <si>
    <t>R-M6-021</t>
  </si>
  <si>
    <t>El umbral de próximo vencimiento queda parametrizable y no se cierra como valor definitivo en Fase 3.</t>
  </si>
  <si>
    <t>Fase 3 – Reglas Funcionales, Severidad y Anexo BDD M6 Pagos v1.0: reglas R-M6, severidad, semáforo de presión, señales intermodulares y BDD.
Resultado/Gatillo documentado: Pendiente / Próximo.
Guardrail/condición: Según fecha</t>
  </si>
  <si>
    <t>R-M6-022</t>
  </si>
  <si>
    <t>Fase 3 no define valor, rango ni número de días para el umbral de próximo vencimiento. Ese parámetro queda sujeto a decisión producto, configuración posterior o criterio funcional validado en una fase futura.</t>
  </si>
  <si>
    <t>R-M6-023</t>
  </si>
  <si>
    <t>Si el pago próximo tiene datos confiables y además monto relevante, deuda asociada o impacto mensual trazable, puede elevarse a urgente.</t>
  </si>
  <si>
    <t>Fase 3 – Reglas Funcionales, Severidad y Anexo BDD M6 Pagos v1.0: reglas R-M6, severidad, semáforo de presión, señales intermodulares y BDD.
Resultado/Gatillo documentado: Próximo.
Guardrail/condición: Urgente</t>
  </si>
  <si>
    <t>R-M6-024</t>
  </si>
  <si>
    <t>Si el pago próximo carece de fecha confiable, origen claro o dato suficiente, no debe gatillar alerta urgente ni severidad crítica.</t>
  </si>
  <si>
    <t>Fase 3 – Reglas Funcionales, Severidad y Anexo BDD M6 Pagos v1.0: reglas R-M6, severidad, semáforo de presión, señales intermodulares y BDD.
Resultado/Gatillo documentado: Requiere revisión.
Guardrail/condición: Atención</t>
  </si>
  <si>
    <t>R-M6-030</t>
  </si>
  <si>
    <t>Una cuenta pasa a vencida cuando supera la fecha de vencimiento confiable sin pago registrado ni vínculo validado suficiente.</t>
  </si>
  <si>
    <t>Fase 3 – Reglas Funcionales, Severidad y Anexo BDD M6 Pagos v1.0: reglas R-M6, severidad, semáforo de presión, señales intermodulares y BDD.
Resultado/Gatillo documentado: Vencido.
Guardrail/condición: Urgente</t>
  </si>
  <si>
    <t>R-M6-031</t>
  </si>
  <si>
    <t>Un pago vencido con datos confiables, monto relevante, deuda bajo presion, mora, pago parcial, pago minimo recurrente o fuerte impacto mensual puede elevarse a critica.</t>
  </si>
  <si>
    <t>Fase 3 – Reglas Funcionales, Severidad y Anexo BDD M6 Pagos v1.0: reglas R-M6, severidad, semáforo de presión, señales intermodulares y BDD.
Resultado/Gatillo documentado: Vencido.
Guardrail/condición: Crítica</t>
  </si>
  <si>
    <t>R-M6-032</t>
  </si>
  <si>
    <t>Un pago vencido sin monto, sin origen confiable, con fecha ambigua, dato detectado insuficiente o baja confianza debe requerir revision antes de escalar a critica.</t>
  </si>
  <si>
    <t>R-M6-033</t>
  </si>
  <si>
    <t>Un pago vencido puede gatillar alerta operativa.</t>
  </si>
  <si>
    <t>R-M6-034</t>
  </si>
  <si>
    <t>Un pago vencido puede gatillar recomendación contextual si el mensaje es informativo y no transaccional.</t>
  </si>
  <si>
    <t>R-M6-035</t>
  </si>
  <si>
    <t>Un pago vencido crítico puede enviar señal funcional a Home como foco o próxima acción candidata, sin definir prioridad visual final ni layout de Home.</t>
  </si>
  <si>
    <t>R-M6-040</t>
  </si>
  <si>
    <t>Registrar pago realizado significa que el usuario declara que pago fuera de Walvy o que Walvy detecta un pago desde documento financiero autorizado.</t>
  </si>
  <si>
    <t>Fase 3 – Reglas Funcionales, Severidad y Anexo BDD M6 Pagos v1.0: reglas R-M6, severidad, semáforo de presión, señales intermodulares y BDD.
Resultado/Gatillo documentado: Pagado.
Guardrail/condición: No ejecutar pago ni exigir comprobante.</t>
  </si>
  <si>
    <t>R-M6-041</t>
  </si>
  <si>
    <t>Al registrar pago realizado, M6 debe conservar fecha de registro, origen de accion u origen del dato y usuario/actor funcional cuando aplique.</t>
  </si>
  <si>
    <t>Fase 3 – Reglas Funcionales, Severidad y Anexo BDD M6 Pagos v1.0: reglas R-M6, severidad, semáforo de presión, señales intermodulares y BDD.
Resultado/Gatillo documentado: Pagado.
Guardrail/condición: Trazabilidad.</t>
  </si>
  <si>
    <t>R-M6-042</t>
  </si>
  <si>
    <t>Si el pago estaba próximo o vencido, registrar pago realizado debe limpiar o reducir la señal pendiente cuando corresponda.</t>
  </si>
  <si>
    <t>Fase 3 – Reglas Funcionales, Severidad y Anexo BDD M6 Pagos v1.0: reglas R-M6, severidad, semáforo de presión, señales intermodulares y BDD.
Resultado/Gatillo documentado: Pagado.
Guardrail/condición: No borrar historial.</t>
  </si>
  <si>
    <t>R-M6-043</t>
  </si>
  <si>
    <t>Si el usuario registró pago realizado por error, debe existir tratamiento funcional para corregir, deshacer o reabrir el estado.</t>
  </si>
  <si>
    <t>Fase 3 – Reglas Funcionales, Severidad y Anexo BDD M6 Pagos v1.0: reglas R-M6, severidad, semáforo de presión, señales intermodulares y BDD.
Resultado/Gatillo documentado: Pendiente / Próximo / Vencido / Corregido.
Guardrail/condición: Obligación Fase 3.</t>
  </si>
  <si>
    <t>La corrección/deshacer debe conservar historial funcional mínimo: estado anterior, acción realizada y fecha.</t>
  </si>
  <si>
    <t>Fase 3 – Reglas Funcionales, Severidad y Anexo BDD M6 Pagos v1.0: reglas R-M6, severidad, semáforo de presión, señales intermodulares y BDD.
Resultado/Gatillo documentado: Estado corregido.
Guardrail/condición: Trazabilidad.</t>
  </si>
  <si>
    <t>R-M6-045</t>
  </si>
  <si>
    <t>Si el pago realizado esta asociado a registro manual o dato detectado, el origen puede mantenerse, corregirse o marcarse como no aplicable segun accion del usuario.</t>
  </si>
  <si>
    <t>Fase 3 – Reglas Funcionales, Severidad y Anexo BDD M6 Pagos v1.0: reglas R-M6, severidad, semáforo de presión, señales intermodulares y BDD.
Resultado/Gatillo documentado: Pagado / Revision / Corregido.
Guardrail/condición: No validacion probatoria ni cierre de deuda desde M6.</t>
  </si>
  <si>
    <t>R-M6-050</t>
  </si>
  <si>
    <t>Registro/origen del dato</t>
  </si>
  <si>
    <t>Un pago o compromiso puede tener registro manual del usuario o dato detectado desde documento financiero autorizado.</t>
  </si>
  <si>
    <t>Fase 3 – Reglas Funcionales, Severidad y Anexo BDD M6 Pagos v1.0: reglas R-M6, severidad, semáforo de presión, señales intermodulares y BDD.
Resultado/Gatillo documentado: Con registro / Dato detectado.
Guardrail/condición: Segun origen y calidad</t>
  </si>
  <si>
    <t>R-M6-051</t>
  </si>
  <si>
    <t>El registro u origen del dato no equivale automaticamente a pago validado, pago ejecutado, comprobante formal ni deuda cerrada.</t>
  </si>
  <si>
    <t>Fase 3 – Reglas Funcionales, Severidad y Anexo BDD M6 Pagos v1.0: reglas R-M6, severidad, semáforo de presión, señales intermodulares y BDD.
Resultado/Gatillo documentado: Con registro / Requiere revision.
Guardrail/condición: Variable</t>
  </si>
  <si>
    <t>Para asociar un dato detectado a un pago se requiere coincidencia funcional minima: monto, fecha aproximada, descripcion/glosa, categoria, proveedor o identificacion razonable.</t>
  </si>
  <si>
    <t>Fase 3 – Reglas Funcionales, Severidad y Anexo BDD M6 Pagos v1.0: reglas R-M6, severidad, semáforo de presión, señales intermodulares y BDD.
Resultado/Gatillo documentado: Vinculado / Revision.
Guardrail/condición: Media/alta</t>
  </si>
  <si>
    <t>R-M6-053</t>
  </si>
  <si>
    <t>Si el dato detectado es ilegible, incompleto o ambiguo, debe marcarse como baja confianza o requiere revision.</t>
  </si>
  <si>
    <t>Fase 3 – Reglas Funcionales, Severidad y Anexo BDD M6 Pagos v1.0: reglas R-M6, severidad, semáforo de presión, señales intermodulares y BDD.
Resultado/Gatillo documentado: Requiere revision.
Guardrail/condición: Baja</t>
  </si>
  <si>
    <t>R-M6-054</t>
  </si>
  <si>
    <t>Fase 3 no habilita flujo documental de comprobantes ni solicitud obligatoria de evidencia formal.</t>
  </si>
  <si>
    <t>Fase 3 – Reglas Funcionales, Severidad y Anexo BDD M6 Pagos v1.0: reglas R-M6, severidad, semáforo de presión, señales intermodulares y BDD.
Resultado/Gatillo documentado: Con origen registrado.
Guardrail/condición: No aplica</t>
  </si>
  <si>
    <t>Si el dato detectado contradice el dato declarado, debe solicitar revision o correccion.</t>
  </si>
  <si>
    <t>Fase 3 – Reglas Funcionales, Severidad y Anexo BDD M6 Pagos v1.0: reglas R-M6, severidad, semáforo de presión, señales intermodulares y BDD.
Resultado/Gatillo documentado: Requiere revision.
Guardrail/condición: Media/baja</t>
  </si>
  <si>
    <t>R-M6-056</t>
  </si>
  <si>
    <t>Un pago puede considerarse registrado como realizado si existe accion explicita del usuario o deteccion con confianza funcional suficiente, sin que eso implique validacion probatoria.</t>
  </si>
  <si>
    <t>Fase 3 – Reglas Funcionales, Severidad y Anexo BDD M6 Pagos v1.0: reglas R-M6, severidad, semáforo de presión, señales intermodulares y BDD.
Resultado/Gatillo documentado: Pagado / Registrado / Revision.
Guardrail/condición: Media/alta</t>
  </si>
  <si>
    <t>Un pago informado o detectado sin confianza suficiente debe mantenerse como requiere revision, no como pagado por defecto.</t>
  </si>
  <si>
    <t>Fase 3 – Reglas Funcionales, Severidad y Anexo BDD M6 Pagos v1.0: reglas R-M6, severidad, semáforo de presión, señales intermodulares y BDD.
Resultado/Gatillo documentado: Requiere revision.
Guardrail/condición: Variable</t>
  </si>
  <si>
    <t>R-M6-060</t>
  </si>
  <si>
    <t>Si un candidato coincide con una cuenta existente por monto, fecha, descripción, glosa o categoría, debe evaluarse duplicidad probable.</t>
  </si>
  <si>
    <t>Fase 3 – Reglas Funcionales, Severidad y Anexo BDD M6 Pagos v1.0: reglas R-M6, severidad, semáforo de presión, señales intermodulares y BDD.
Resultado/Gatillo documentado: Duplicado probable.
Guardrail/condición: No consolidar automático.</t>
  </si>
  <si>
    <t>R-M6-061</t>
  </si>
  <si>
    <t>Duplicado probable debe requerir revisión antes de crear o fusionar.</t>
  </si>
  <si>
    <t>Fase 3 – Reglas Funcionales, Severidad y Anexo BDD M6 Pagos v1.0: reglas R-M6, severidad, semáforo de presión, señales intermodulares y BDD.
Resultado/Gatillo documentado: Requiere revisión.
Guardrail/condición: Acción usuario.</t>
  </si>
  <si>
    <t>R-M6-062</t>
  </si>
  <si>
    <t>M6 no debe fusionar pagos automáticamente sin regla suficiente o confirmación.</t>
  </si>
  <si>
    <t>Fase 3 – Reglas Funcionales, Severidad y Anexo BDD M6 Pagos v1.0: reglas R-M6, severidad, semáforo de presión, señales intermodulares y BDD.
Resultado/Gatillo documentado: Duplicado probable.
Guardrail/condición: No fusión automática.</t>
  </si>
  <si>
    <t>Si el usuario confirma que no es duplicado, puede mantenerse como cuenta separada.</t>
  </si>
  <si>
    <t>Fase 3 – Reglas Funcionales, Severidad y Anexo BDD M6 Pagos v1.0: reglas R-M6, severidad, semáforo de presión, señales intermodulares y BDD.
Resultado/Gatillo documentado: Pendiente / Detectado.
Guardrail/condición: Trazabilidad.</t>
  </si>
  <si>
    <t>Si el usuario confirma duplicado, puede descartarse o vincularse al pago existente según regla posterior.</t>
  </si>
  <si>
    <t>Fase 3 – Reglas Funcionales, Severidad y Anexo BDD M6 Pagos v1.0: reglas R-M6, severidad, semáforo de presión, señales intermodulares y BDD.
Resultado/Gatillo documentado: Descartado / Vinculado.
Guardrail/condición: Mantener historial.</t>
  </si>
  <si>
    <t>R-M6-070</t>
  </si>
  <si>
    <t>Recurrencia probable</t>
  </si>
  <si>
    <t>Una recurrencia probable puede sugerirse por patrón de fecha, monto, glosa, categoría, proveedor o historial.</t>
  </si>
  <si>
    <t>Fase 3 – Reglas Funcionales, Severidad y Anexo BDD M6 Pagos v1.0: reglas R-M6, severidad, semáforo de presión, señales intermodulares y BDD.
Resultado/Gatillo documentado: Recurrente probable.
Guardrail/condición: No activar automático.</t>
  </si>
  <si>
    <t>R-M6-071</t>
  </si>
  <si>
    <t>La recurrencia probable debe requerir confirmación del usuario o regla suficiente antes de crear compromisos futuros.</t>
  </si>
  <si>
    <t>Fase 3 – Reglas Funcionales, Severidad y Anexo BDD M6 Pagos v1.0: reglas R-M6, severidad, semáforo de presión, señales intermodulares y BDD.
Resultado/Gatillo documentado: Recurrente probable.
Guardrail/condición: Confirmación.</t>
  </si>
  <si>
    <t>R-M6-072</t>
  </si>
  <si>
    <t>Si el usuario confirma recurrencia, M6 puede preparar compromisos futuros según regla definida.</t>
  </si>
  <si>
    <t>MVP – condicionado / requiere regla suficiente</t>
  </si>
  <si>
    <t>Fase 3 – Reglas Funcionales, Severidad y Anexo BDD M6 Pagos v1.0: reglas R-M6, severidad, semáforo de presión, señales intermodulares y BDD.
Resultado/Gatillo documentado: Recurrente confirmado / Pendiente futuro.
Guardrail/condición: Parametrizable.</t>
  </si>
  <si>
    <t>R-M6-073</t>
  </si>
  <si>
    <t>Si el usuario descarta recurrencia, el pago puede mantenerse como evento único.</t>
  </si>
  <si>
    <t>Fase 3 – Reglas Funcionales, Severidad y Anexo BDD M6 Pagos v1.0: reglas R-M6, severidad, semáforo de presión, señales intermodulares y BDD.
Resultado/Gatillo documentado: Pendiente / Descartado recurrencia.
Guardrail/condición: No insistencia.</t>
  </si>
  <si>
    <t>Si el patrón tiene baja confianza, debe mostrarse como revisión, no como recurrencia sugerida fuerte.</t>
  </si>
  <si>
    <t>Fase 3 – Reglas Funcionales, Severidad y Anexo BDD M6 Pagos v1.0: reglas R-M6, severidad, semáforo de presión, señales intermodulares y BDD.
Resultado/Gatillo documentado: Requiere revisión.
Guardrail/condición: No automatismo opaco.</t>
  </si>
  <si>
    <t>R-M6-080</t>
  </si>
  <si>
    <t>Baja confianza y datos incompletos</t>
  </si>
  <si>
    <t>Si falta fecha de vencimiento, no debe calcularse próximo/vencido.</t>
  </si>
  <si>
    <t>Fase 3 – Reglas Funcionales, Severidad y Anexo BDD M6 Pagos v1.0: reglas R-M6, severidad, semáforo de presión, señales intermodulares y BDD.
Resultado/Gatillo documentado: Sin datos suficientes.
Guardrail/condición: Bloquea alerta de vencimiento.</t>
  </si>
  <si>
    <t>R-M6-081</t>
  </si>
  <si>
    <t>Si falta descripción mínima, no debe consolidarse como cuenta clara.</t>
  </si>
  <si>
    <t>Fase 3 – Reglas Funcionales, Severidad y Anexo BDD M6 Pagos v1.0: reglas R-M6, severidad, semáforo de presión, señales intermodulares y BDD.
Resultado/Gatillo documentado: Borrador / Revisión.
Guardrail/condición: Bloquea consolidación.</t>
  </si>
  <si>
    <t>R-M6-082</t>
  </si>
  <si>
    <t>Si falta monto, puede existir pago, pero limita severidad por impacto económico.</t>
  </si>
  <si>
    <t>Fase 3 – Reglas Funcionales, Severidad y Anexo BDD M6 Pagos v1.0: reglas R-M6, severidad, semáforo de presión, señales intermodulares y BDD.
Resultado/Gatillo documentado: Pendiente / Revisión.
Guardrail/condición: Bloquea severidad crítica por monto.</t>
  </si>
  <si>
    <t>R-M6-083</t>
  </si>
  <si>
    <t>Si origen del dato es incierto, debe mantenerse como baja confianza.</t>
  </si>
  <si>
    <t>Fase 3 – Reglas Funcionales, Severidad y Anexo BDD M6 Pagos v1.0: reglas R-M6, severidad, semáforo de presión, señales intermodulares y BDD.
Resultado/Gatillo documentado: Requiere revisión.
Guardrail/condición: Bloquea consolidación automática.</t>
  </si>
  <si>
    <t>R-M6-084</t>
  </si>
  <si>
    <t>Baja confianza no debe gatillar recomendación fuerte ni alerta crítica sin validación.</t>
  </si>
  <si>
    <t>Fase 3 – Reglas Funcionales, Severidad y Anexo BDD M6 Pagos v1.0: reglas R-M6, severidad, semáforo de presión, señales intermodulares y BDD.
Resultado/Gatillo documentado: Requiere revisión.
Guardrail/condición: Bloquea escalamiento.</t>
  </si>
  <si>
    <t>R-M6-090</t>
  </si>
  <si>
    <t>Pago próximo puede gatillar recordatorio.</t>
  </si>
  <si>
    <t>Fase 3 – Reglas Funcionales, Severidad y Anexo BDD M6 Pagos v1.0: reglas R-M6, severidad, semáforo de presión, señales intermodulares y BDD.
Resultado/Gatillo documentado: Estado próximo.
Guardrail/condición: No pago directo.</t>
  </si>
  <si>
    <t>R-M6-091</t>
  </si>
  <si>
    <t>Pago vencido debe poder gatillar alerta operativa.</t>
  </si>
  <si>
    <t>Fase 3 – Reglas Funcionales, Severidad y Anexo BDD M6 Pagos v1.0: reglas R-M6, severidad, semáforo de presión, señales intermodulares y BDD.
Resultado/Gatillo documentado: Estado vencido.
Guardrail/condición: No pagar ahora.</t>
  </si>
  <si>
    <t>Dato incompleto puede gatillar aviso de revisión.</t>
  </si>
  <si>
    <t>Fase 3 – Reglas Funcionales, Severidad y Anexo BDD M6 Pagos v1.0: reglas R-M6, severidad, semáforo de presión, señales intermodulares y BDD.
Resultado/Gatillo documentado: Requiere revisión.
Guardrail/condición: No urgencia artificial.</t>
  </si>
  <si>
    <t>Recurrencia probable puede gatillar aviso de confirmación.</t>
  </si>
  <si>
    <t>R-M6-094</t>
  </si>
  <si>
    <t>Alerta debe orientar a revisar o registrar pago realizado fuera de Walvy.</t>
  </si>
  <si>
    <t>Fase 3 – Reglas Funcionales, Severidad y Anexo BDD M6 Pagos v1.0: reglas R-M6, severidad, semáforo de presión, señales intermodulares y BDD.
Resultado/Gatillo documentado: Próximo/Vencido.
Guardrail/condición: No transacción.</t>
  </si>
  <si>
    <t>R-M6-100</t>
  </si>
  <si>
    <t>Recomendaciones contextuales</t>
  </si>
  <si>
    <t>Pago vencido puede gatillar recomendación contextual para ordenar el compromiso.</t>
  </si>
  <si>
    <t>Fase 3 – Reglas Funcionales, Severidad y Anexo BDD M6 Pagos v1.0: reglas R-M6, severidad, semáforo de presión, señales intermodulares y BDD.
Resultado/Gatillo documentado: Vencido.
Guardrail/condición: No asesoría.</t>
  </si>
  <si>
    <t>R-M6-101</t>
  </si>
  <si>
    <t>Pago recurrente probable puede gatillar recomendación para anticipar compromiso.</t>
  </si>
  <si>
    <t>Fase 3 – Reglas Funcionales, Severidad y Anexo BDD M6 Pagos v1.0: reglas R-M6, severidad, semáforo de presión, señales intermodulares y BDD.
Resultado/Gatillo documentado: Recurrente probable.
Guardrail/condición: No producto financiero.</t>
  </si>
  <si>
    <t>R-M6-102</t>
  </si>
  <si>
    <t>Dato incompleto puede gatillar recomendación para mejorar precisión.</t>
  </si>
  <si>
    <t>Fase 3 – Reglas Funcionales, Severidad y Anexo BDD M6 Pagos v1.0: reglas R-M6, severidad, semáforo de presión, señales intermodulares y BDD.
Resultado/Gatillo documentado: Revisión.
Guardrail/condición: No presión indebida.</t>
  </si>
  <si>
    <t>R-M6-103</t>
  </si>
  <si>
    <t>Pago que presiona el mes puede gatillar recomendación de revisión operativa.</t>
  </si>
  <si>
    <t>Fase 3 – Reglas Funcionales, Severidad y Anexo BDD M6 Pagos v1.0: reglas R-M6, severidad, semáforo de presión, señales intermodulares y BDD.
Resultado/Gatillo documentado: Próximo/Vencido + impacto.
Guardrail/condición: No inversión/crédito.</t>
  </si>
  <si>
    <t>R-M6-104</t>
  </si>
  <si>
    <t>Toda recomendación debe basarse en datos cargados, declarados o validados por el usuario.</t>
  </si>
  <si>
    <t>Fase 3 – Reglas Funcionales, Severidad y Anexo BDD M6 Pagos v1.0: reglas R-M6, severidad, semáforo de presión, señales intermodulares y BDD.
Resultado/Gatillo documentado: Cualquier recomendación.
Guardrail/condición: No inferencia opaca.</t>
  </si>
  <si>
    <t>R-M6-110</t>
  </si>
  <si>
    <t>Señales a Home</t>
  </si>
  <si>
    <t>Pago vencido urgente o crítico puede enviar señal funcional a Home.</t>
  </si>
  <si>
    <t>Fase 3 – Reglas Funcionales, Severidad y Anexo BDD M6 Pagos v1.0: reglas R-M6, severidad, semáforo de presión, señales intermodulares y BDD.
Resultado/Gatillo documentado: Vencido urgente/crítico.
Guardrail/condición: No rediseñar Home.</t>
  </si>
  <si>
    <t>R-M6-111</t>
  </si>
  <si>
    <t>Pago próximo con datos confiables y alto impacto puede enviar señal funcional a Home.</t>
  </si>
  <si>
    <t>Fase 3 – Reglas Funcionales, Severidad y Anexo BDD M6 Pagos v1.0: reglas R-M6, severidad, semáforo de presión, señales intermodulares y BDD.
Resultado/Gatillo documentado: Próximo urgente/crítico.
Guardrail/condición: Home no se convierte en panel de pagos.</t>
  </si>
  <si>
    <t>R-M6-112</t>
  </si>
  <si>
    <t>Candidato de baja confianza solo debe ir a Home si afecta claridad del mes y requiere acción del usuario.</t>
  </si>
  <si>
    <t>Fase 3 – Reglas Funcionales, Severidad y Anexo BDD M6 Pagos v1.0: reglas R-M6, severidad, semáforo de presión, señales intermodulares y BDD.
Resultado/Gatillo documentado: Revisión relevante.
Guardrail/condición: Evitar ruido.</t>
  </si>
  <si>
    <t>R-M6-113</t>
  </si>
  <si>
    <t>Fase 3 define gatillos funcionales hacia Home, no prioridad visual final, layout, jerarquía de cards ni diseño de Home.</t>
  </si>
  <si>
    <t>MVP – gatillo funcional, visual posterior</t>
  </si>
  <si>
    <t>Fase 3 – Reglas Funcionales, Severidad y Anexo BDD M6 Pagos v1.0: reglas R-M6, severidad, semáforo de presión, señales intermodulares y BDD.
Resultado/Gatillo documentado: Señal Home.
Guardrail/condición: Representación visual posterior.</t>
  </si>
  <si>
    <t>R-M6-120</t>
  </si>
  <si>
    <t>Señales a M5</t>
  </si>
  <si>
    <t>Cuenta por pagar puede enviar impacto mensual/categoría a M5.</t>
  </si>
  <si>
    <t>Fase 3 – Reglas Funcionales, Severidad y Anexo BDD M6 Pagos v1.0: reglas R-M6, severidad, semáforo de presión, señales intermodulares y BDD.
Resultado/Gatillo documentado: Pendiente/próximo/vencido.
Guardrail/condición: No reabrir M5.</t>
  </si>
  <si>
    <t>Pago realizado vinculado puede limpiar o explicar impacto.</t>
  </si>
  <si>
    <t>Fase 3 – Reglas Funcionales, Severidad y Anexo BDD M6 Pagos v1.0: reglas R-M6, severidad, semáforo de presión, señales intermodulares y BDD.
Resultado/Gatillo documentado: Pagado/vinculado.
Guardrail/condición: No reasignar automáticamente.</t>
  </si>
  <si>
    <t>Recurrente confirmado puede alimentar previsibilidad futura.</t>
  </si>
  <si>
    <t>Fase 3 – Reglas Funcionales, Severidad y Anexo BDD M6 Pagos v1.0: reglas R-M6, severidad, semáforo de presión, señales intermodulares y BDD.
Resultado/Gatillo documentado: Recurrencia confirmada.
Guardrail/condición: Requiere regla suficiente.</t>
  </si>
  <si>
    <t>R-M6-123</t>
  </si>
  <si>
    <t>Fase 3 define gatillos funcionales hacia M5, no componentes visuales, prioridad visual ni cambios estructurales en Presupuesto Vivo.</t>
  </si>
  <si>
    <t>Fase 3 – Reglas Funcionales, Severidad y Anexo BDD M6 Pagos v1.0: reglas R-M6, severidad, semáforo de presión, señales intermodulares y BDD.
Resultado/Gatillo documentado: Señal M5.
Guardrail/condición: M5 se mantiene cerrado como fuente/dependencia.</t>
  </si>
  <si>
    <t>R-M6-124</t>
  </si>
  <si>
    <t>Presion de flujo mensual puede enviar senal a M5/Home cuando proviene de gasto general, fugas, categorias o sobreconsumo no asociado a deuda.</t>
  </si>
  <si>
    <t>Fase 3 – Reglas Funcionales, Severidad y Anexo BDD M6 Pagos v1.0: reglas R-M6, severidad, semáforo de presión, señales intermodulares y BDD.
Resultado/Gatillo documentado: Presion de flujo.
Guardrail/condición: M5/Home explican impacto; M6 no reabre presupuesto.</t>
  </si>
  <si>
    <t>R-M6-125</t>
  </si>
  <si>
    <t>Compromisos recurrentes, suscripciones o pagos cerrables que presionan el flujo pueden permanecer en M6 para revision operativa.</t>
  </si>
  <si>
    <t>Fase 3 – Reglas Funcionales, Severidad y Anexo BDD M6 Pagos v1.0: reglas R-M6, severidad, semáforo de presión, señales intermodulares y BDD.
Resultado/Gatillo documentado: Compromisos cerrables.
Guardrail/condición: M6 no cancela automaticamente.</t>
  </si>
  <si>
    <t>R-M6-130</t>
  </si>
  <si>
    <t>Señales a M4</t>
  </si>
  <si>
    <t>Pago asociado a deuda solo puede generar senal controlada hacia evaluacion M4 si ademas existe presion financiera, mora, pago minimo recurrente, pago parcial, saldo arrastrado, atraso acumulado o riesgo de incumplimiento.</t>
  </si>
  <si>
    <t>Fase 3 – Reglas Funcionales, Severidad y Anexo BDD M6 Pagos v1.0: reglas R-M6, severidad, semáforo de presión, señales intermodulares y BDD.
Resultado/Gatillo documentado: Deuda + presion.
Guardrail/condición: No activacion automatica de Ruta Despeje.</t>
  </si>
  <si>
    <t>R-M6-131</t>
  </si>
  <si>
    <t>Pago vencido de deuda, mora o atraso acumulado puede elevar urgencia operativa y generar evaluacion M4 si hay datos suficientes.</t>
  </si>
  <si>
    <t>Fase 3 – Reglas Funcionales, Severidad y Anexo BDD M6 Pagos v1.0: reglas R-M6, severidad, semáforo de presión, señales intermodulares y BDD.
Resultado/Gatillo documentado: Deuda + vencido/mora.
Guardrail/condición: M4 mantiene estrategia.</t>
  </si>
  <si>
    <t>R-M6-132</t>
  </si>
  <si>
    <t>M6 no define pago sugerido, capacidad recuperable ni prioridad estrategica de deuda.</t>
  </si>
  <si>
    <t>Fase 3 – Reglas Funcionales, Severidad y Anexo BDD M6 Pagos v1.0: reglas R-M6, severidad, semáforo de presión, señales intermodulares y BDD.
Resultado/Gatillo documentado: Cualquier pago deuda.
Guardrail/condición: Frontera M4.</t>
  </si>
  <si>
    <t>R-M6-133</t>
  </si>
  <si>
    <t>Fase 3 define gatillos funcionales hacia M4, no prioridad visual final, activacion automatica ni rediseno de Ruta Despeje.</t>
  </si>
  <si>
    <t>Fase 3 – Reglas Funcionales, Severidad y Anexo BDD M6 Pagos v1.0: reglas R-M6, severidad, semáforo de presión, señales intermodulares y BDD.
Resultado/Gatillo documentado: Senal M4.
Guardrail/condición: M4 conserva dominio estrategico.</t>
  </si>
  <si>
    <t>R-M6-134</t>
  </si>
  <si>
    <t>Pago minimo, pago parcial o saldo arrastrado no debe tratarse como estado sano. Si es recurrente o presiona el flujo, genera alerta y posible evaluacion M4.</t>
  </si>
  <si>
    <t>Fase 3 – Reglas Funcionales, Severidad y Anexo BDD M6 Pagos v1.0: reglas R-M6, severidad, semáforo de presión, señales intermodulares y BDD.
Resultado/Gatillo documentado: Pago minimo/parcial.
Guardrail/condición: No recomendar pago minimo.</t>
  </si>
  <si>
    <t>Presion de flujo mensual igual o superior a 80% es alerta preventiva; igual o superior a 90% o 100% puede gatillar evaluacion M4 solo si la causa incluye deuda o compromiso financiero bajo presion.</t>
  </si>
  <si>
    <t>Fase 3 – Reglas Funcionales, Severidad y Anexo BDD M6 Pagos v1.0: reglas R-M6, severidad, semáforo de presión, señales intermodulares y BDD.
Resultado/Gatillo documentado: Presion flujo + deuda.
Guardrail/condición: M5/Home explican presupuesto; M4 evalua deuda.</t>
  </si>
  <si>
    <t>R-M6-136</t>
  </si>
  <si>
    <t>Pago informado o detectado que impacta mora, saldo, avance, cierre o presion de flujo puede generar referencia controlada a M4.</t>
  </si>
  <si>
    <t>Fase 3 – Reglas Funcionales, Severidad y Anexo BDD M6 Pagos v1.0: reglas R-M6, severidad, semáforo de presión, señales intermodulares y BDD.
Resultado/Gatillo documentado: Pago informado/detectado + impacto deuda.
Guardrail/condición: M6 no valida comprobante ni cierra deuda.</t>
  </si>
  <si>
    <t>Calidad de dato/Perfil</t>
  </si>
  <si>
    <t>Datos incompletos recurrentes pueden alimentar calidad de dato.</t>
  </si>
  <si>
    <t>Fase 3 – Reglas Funcionales, Severidad y Anexo BDD M6 Pagos v1.0: reglas R-M6, severidad, semáforo de presión, señales intermodulares y BDD.
Resultado/Gatillo documentado: Revisión repetida.
Guardrail/condición: No operar pagos.</t>
  </si>
  <si>
    <t>Dato detectado insuficiente o baja confianza puede indicar baja confiabilidad.</t>
  </si>
  <si>
    <t>Fase 3 – Reglas Funcionales, Severidad y Anexo BDD M6 Pagos v1.0: reglas R-M6, severidad, semáforo de presión, señales intermodulares y BDD.
Resultado/Gatillo documentado: Dato baja confianza.
Guardrail/condición: No validar automáticamente.</t>
  </si>
  <si>
    <t>WALVY | M6 – Fuentes documentales, blueprint y Figma</t>
  </si>
  <si>
    <t>Código</t>
  </si>
  <si>
    <t>Fuente</t>
  </si>
  <si>
    <t>Tipo</t>
  </si>
  <si>
    <t>Uso / cobertura</t>
  </si>
  <si>
    <t>URL / referencia</t>
  </si>
  <si>
    <t>M6-F1</t>
  </si>
  <si>
    <t>Walvy_Modulo6_Pagos_Fase1_Definicion_Funcional_v1_0</t>
  </si>
  <si>
    <t>Documento funcional</t>
  </si>
  <si>
    <t>Propósito, alcance MVP, estados, reglas base, capacidades transversales, dependencias y guardrails</t>
  </si>
  <si>
    <t>Adjunto cliente</t>
  </si>
  <si>
    <t>M6-F2</t>
  </si>
  <si>
    <t>Walvy_Modulo6_Pagos_Fase2_Inventario_Pantallas_Estados_Componentes_v1_0</t>
  </si>
  <si>
    <t>Documento funcional / modelado</t>
  </si>
  <si>
    <t>Pantallas candidatas, estados visibles, componentes, CTAs, acciones y superficies consumidoras</t>
  </si>
  <si>
    <t>Walvy_Modulo6_Pagos_Fase3_Reglas_Funcionales_Severidad_Anexo_BDD_v1_0</t>
  </si>
  <si>
    <t>Reglas / BDD</t>
  </si>
  <si>
    <t>Reglas R-M6-001..141, severidad, presión de flujo, señales Home/M5/M4 y BDD-M6-001..027</t>
  </si>
  <si>
    <t>M6-F4</t>
  </si>
  <si>
    <t>Walvy_Modulo6_Pagos_Fase4_Copy_UX_CTAs_Mensajeria_Contextual_v1_0</t>
  </si>
  <si>
    <t>Copy / CTAs</t>
  </si>
  <si>
    <t>CTAs oficiales, copy por estado, lenguaje permitido/restringido/prohibido y mensajería contextual</t>
  </si>
  <si>
    <t>M6-F5</t>
  </si>
  <si>
    <t>Walvy_Modulo6_Pagos_Fase5_Briefing_UX_Matriz_Obligaciones_UX_v1_0</t>
  </si>
  <si>
    <t>Briefing UX funcional</t>
  </si>
  <si>
    <t>Matriz OUX-M6-001..024, obligaciones MVP, equivalencia de superficie, prioridad y guardrails</t>
  </si>
  <si>
    <t>M6-BP</t>
  </si>
  <si>
    <t>Walvy_Modulo6_Pagos_Plaintext_Nodos_Cards_Modales_v1_0</t>
  </si>
  <si>
    <t>Blueprint textual</t>
  </si>
  <si>
    <t>Mapa M6-FLOW-02, M6-SCR-01..11, cards, modales, rutas, retornos, memoria y señales externas</t>
  </si>
  <si>
    <t>M6-FIG</t>
  </si>
  <si>
    <t>Walvi APP – Edifícate Inteligente / M6 Pagos</t>
  </si>
  <si>
    <t>Figma</t>
  </si>
  <si>
    <t>Referencia visual del módulo M6 Pagos. Se conserva como fuente visual y requiere validación UX/QA para elevar comportamientos Figma-only a definición cerrada.</t>
  </si>
  <si>
    <t>M6-RECTOR</t>
  </si>
  <si>
    <t>Walvy_Rector_Producto_y_Funcionalidades_MVP_v1.0</t>
  </si>
  <si>
    <t>Rector MVP declarado por F1–F5</t>
  </si>
  <si>
    <t>Fuente rectora citada por la documentación M6; no fue adjuntada en esta entrega, por lo que no se incorporan reglas nuevas desde ella.</t>
  </si>
  <si>
    <t>Fuente declarada en M6; no adjunta</t>
  </si>
  <si>
    <t>WALVY | M6 – Decisiones funcionales / UX / técnicas pendientes del Cliente</t>
  </si>
  <si>
    <t>Esta pestaña no replica las variantes pendientes de aprobación. Incluye únicamente definiciones, parámetros o comportamientos que requieren una decisión explícita. La aprobación de cada variante se registra en “Validación Cliente” de la Matriz Trazabilidad.</t>
  </si>
  <si>
    <t>ID Pendiente</t>
  </si>
  <si>
    <t>Tipo de decisión</t>
  </si>
  <si>
    <t>Variantes / RN afectadas</t>
  </si>
  <si>
    <t>Tema a definir</t>
  </si>
  <si>
    <t>Motivo / Fuente</t>
  </si>
  <si>
    <t>Nodo(s) Figma</t>
  </si>
  <si>
    <t>Producto / Configuración</t>
  </si>
  <si>
    <t>M6-V12 | R-M6-020, R-M6-021, R-M6-022</t>
  </si>
  <si>
    <t>Definir el valor/rango del umbral de “Próximo vencimiento”.</t>
  </si>
  <si>
    <t>F3-D01 deja el umbral parametrizable y explícitamente no fija número de días.</t>
  </si>
  <si>
    <t>8859:31712</t>
  </si>
  <si>
    <t>Producto / UX</t>
  </si>
  <si>
    <t>M6-V02, M6-V59 | F5 sección 6</t>
  </si>
  <si>
    <t>Confirmar cierre visual de Pantalla principal Pagos versus superficie equivalente aprobada, incluyendo arquitectura de navegación.</t>
  </si>
  <si>
    <t>F2/F5 recomiendan pantalla propia como candidata fuerte, pero no la cierran como obligación visual final. El nodo Figma se incorpora como referencia visual, no como aprobación de Producto.</t>
  </si>
  <si>
    <t>Producto / UX / Técnica</t>
  </si>
  <si>
    <t>M6-V36 | F3-D10 / M6-PAN-06</t>
  </si>
  <si>
    <t>Definir personalización avanzada de recordatorios: catálogo, anticipación, persistencia y configuración del usuario.</t>
  </si>
  <si>
    <t>F2 deja Configuración de recordatorios pendiente y F3 deriva personalización avanzada fuera de su alcance.</t>
  </si>
  <si>
    <t>M6-V41–M6-V43 | R-M6-110..113</t>
  </si>
  <si>
    <t>Definir prioridad y representación visual final de señales M6 en Home y superficies consumidoras.</t>
  </si>
  <si>
    <t>F3/F5 solo definen gatillos funcionales; no fijan jerarquía, layout ni prioridad visual final.</t>
  </si>
  <si>
    <t>Producto / Reglas</t>
  </si>
  <si>
    <t>M6-V13, M6-V16 | R-M6-023 / R-M6-031</t>
  </si>
  <si>
    <t>Definir criterio parametrizable de “monto relevante / alto impacto mensual” cuando se use para elevar severidad a Urgente o Crítica.</t>
  </si>
  <si>
    <t>F3 utiliza el criterio de monto relevante/impacto con condición de confianza, pero no documenta un umbral cuantitativo específico.</t>
  </si>
  <si>
    <t>—</t>
  </si>
  <si>
    <t>Producto / Reglas / Técnica</t>
  </si>
  <si>
    <t>M6-V33, M6-V46 | R-M6-072 / R-M6-122</t>
  </si>
  <si>
    <t>Definir regla para preparar compromisos futuros tras confirmar recurrencia: horizonte, fecha, monto y mecanismo de actualización.</t>
  </si>
  <si>
    <t>F3 permite preparar futuros “según regla definida” y exige regla suficiente, pero no cierra los parámetros de generación.</t>
  </si>
  <si>
    <t>PD-M6-07</t>
  </si>
  <si>
    <t>Técnica / Datos</t>
  </si>
  <si>
    <t>M6-V20–M6-V21 / M6-V50 | R-M6-041, R-M6-044</t>
  </si>
  <si>
    <t>Definir retención, modelo de auditoría y nivel de detalle técnico del historial funcional.</t>
  </si>
  <si>
    <t>La documentación exige trazabilidad mínima, pero no define retención, estructura física de auditoría ni política técnica de conservación.</t>
  </si>
  <si>
    <t>PD-M6-08</t>
  </si>
  <si>
    <t>UX / QA / Producto</t>
  </si>
  <si>
    <t>M6-V01–M6-V59 | Figma 8859:31712</t>
  </si>
  <si>
    <t>Validar correspondencia visual entre el nodo Figma M6 y las obligaciones F1–F5 / blueprint M6-SCR-01..11 antes de considerar el diseño como fuente cerrada.</t>
  </si>
  <si>
    <t>Las fases documentales declaran que Figma/mockups requieren QA y aprobación posterior. La matriz conserva esa clasificación de autoridad.</t>
  </si>
  <si>
    <t>WALVY | M6 – Resumen de trazabilidad</t>
  </si>
  <si>
    <t>El código identifica el artefacto de origen; la descripción explica su nombre y cobertura. Las HU M6 fueron derivadas de las obligaciones documentales F1–F5 para estructurar la cadena de trazabilidad y deben ser validadas junto con las variantes.</t>
  </si>
  <si>
    <t>Diferido / backlog · no bloquea M06 MVP</t>
  </si>
  <si>
    <t>Personalización avanzada de recordatorios es más amplia que “Activar alerta”: incluye catálogo, anticipación, persistencia y configuración del usuario. Para M06 MVP, “Activar alerta” está retirado y “Recordarme este pago” queda diferido. Los avisos automáticos continúan bajo M02/M03. Backend M06 no debe inferir catálogo, anticipación, persistencia ni configuración individual.</t>
  </si>
  <si>
    <t>CT-M06-14 | DEF-M06-03 | D-M06-ALERTA-MVP-01</t>
  </si>
  <si>
    <t>Backlog futuro / owner transversal M02-M03/UX; no bloquea MVP ni requiere nueva decisión PO M06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</si>
</sst>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5"/>
      <color rgb="FFFFFFFF"/>
      <name val="Carlito"/>
    </font>
    <font>
      <sz val="10"/>
      <color rgb="FF103F43"/>
      <name val="Carlito"/>
    </font>
    <font>
      <b/>
      <sz val="9"/>
      <color rgb="FFFFFFFF"/>
      <name val="Carlito"/>
    </font>
    <font>
      <sz val="9"/>
      <color rgb="FF1F2A33"/>
      <name val="Carlito"/>
    </font>
    <font>
      <b/>
      <sz val="11"/>
      <color rgb="FFFFFFFF"/>
      <name val="Carlito"/>
    </font>
    <font>
      <sz val="9"/>
      <name val="Carlito"/>
    </font>
    <font>
      <sz val="10"/>
      <name val="Carlito"/>
    </font>
    <font>
      <b/>
      <sz val="13"/>
      <color rgb="FFFFFFFF"/>
      <name val="Carlito"/>
    </font>
    <font>
      <i/>
      <sz val="11"/>
      <color rgb="FF334155"/>
      <name val="Carlito"/>
    </font>
    <font>
      <b/>
      <sz val="14"/>
      <color rgb="FFFFFFFF"/>
      <name val="Carlito"/>
    </font>
    <font>
      <b/>
      <sz val="12"/>
      <color rgb="FFFFFFFF"/>
      <name val="Carlito"/>
    </font>
    <font>
      <b/>
      <sz val="11"/>
      <name val="Carlito"/>
    </font>
    <font>
      <name val="Calibri"/>
      <family val="2"/>
      <color theme="1"/>
      <sz val="11"/>
      <scheme val="minor"/>
    </font>
    <font>
      <name val="Calibri"/>
      <b val="1"/>
      <color rgb="00FFFFFF"/>
      <sz val="16"/>
    </font>
    <font>
      <name val="Calibri"/>
      <color rgb="00203F48"/>
      <sz val="10"/>
    </font>
    <font>
      <name val="Calibri"/>
      <b val="1"/>
      <color rgb="00FFFFFF"/>
      <sz val="11"/>
    </font>
    <font>
      <name val="Calibri"/>
      <color rgb="00203F48"/>
      <sz val="11"/>
    </font>
  </fonts>
  <fills count="19">
    <fill>
      <patternFill patternType="none"/>
    </fill>
    <fill>
      <patternFill patternType="gray125"/>
    </fill>
    <fill>
      <patternFill patternType="solid">
        <fgColor rgb="FF0D5C63"/>
      </patternFill>
    </fill>
    <fill>
      <patternFill patternType="solid">
        <fgColor rgb="FFE8F3F2"/>
      </patternFill>
    </fill>
    <fill>
      <patternFill patternType="solid">
        <fgColor rgb="FF126D73"/>
      </patternFill>
    </fill>
    <fill>
      <patternFill patternType="solid">
        <fgColor rgb="FFB27600"/>
      </patternFill>
    </fill>
    <fill>
      <patternFill patternType="solid">
        <fgColor rgb="FF0F666B"/>
      </patternFill>
    </fill>
    <fill>
      <patternFill patternType="solid">
        <fgColor rgb="FFEEF6F6"/>
      </patternFill>
    </fill>
    <fill>
      <patternFill patternType="solid">
        <fgColor rgb="FF1C7B80"/>
      </patternFill>
    </fill>
    <fill>
      <patternFill patternType="solid">
        <fgColor rgb="FFDCFCE7"/>
      </patternFill>
    </fill>
    <fill>
      <patternFill patternType="solid">
        <fgColor rgb="FFF3F4F6"/>
      </patternFill>
    </fill>
    <fill>
      <patternFill patternType="solid">
        <fgColor rgb="FFFEF3C7"/>
      </patternFill>
    </fill>
    <fill>
      <patternFill patternType="solid">
        <fgColor rgb="FFE5E7EB"/>
      </patternFill>
    </fill>
    <fill>
      <patternFill patternType="solid">
        <fgColor rgb="FFFEE2E2"/>
      </patternFill>
    </fill>
    <fill>
      <patternFill/>
    </fill>
    <fill>
      <patternFill patternType="gray125"/>
    </fill>
    <fill>
      <patternFill patternType="solid">
        <fgColor rgb="0014676D"/>
      </patternFill>
    </fill>
    <fill>
      <patternFill patternType="solid">
        <fgColor rgb="00FFFFFF"/>
      </patternFill>
    </fill>
    <fill>
      <patternFill patternType="solid">
        <fgColor rgb="00F1F5F6"/>
      </patternFill>
    </fill>
  </fills>
  <borders count="2">
    <border>
      <left/>
      <right/>
      <top/>
      <bottom/>
      <diagonal/>
    </border>
    <border>
      <left/>
      <right/>
      <top/>
      <bottom/>
      <diagonal/>
    </border>
  </borders>
  <cellStyleXfs count="1">
    <xf numFmtId="0" fontId="0" fillId="0" borderId="0"/>
  </cellStyleXfs>
  <cellXfs count="40">
    <xf numFmtId="0" fontId="0" fillId="0" borderId="0" xfId="0"/>
    <xf numFmtId="0" fontId="4" fillId="0" borderId="0" xfId="0" applyFont="1" applyAlignment="1">
      <alignment vertical="top" wrapText="1"/>
    </xf>
    <xf numFmtId="0" fontId="5" fillId="4" borderId="0" xfId="0" applyFont="1" applyFill="1" applyAlignment="1">
      <alignment wrapText="1"/>
    </xf>
    <xf numFmtId="0" fontId="6" fillId="0" borderId="0" xfId="0" applyFont="1" applyAlignment="1">
      <alignment vertical="top" wrapText="1"/>
    </xf>
    <xf numFmtId="0" fontId="5" fillId="5" borderId="0" xfId="0" applyFont="1" applyFill="1" applyAlignment="1">
      <alignment wrapText="1"/>
    </xf>
    <xf numFmtId="0" fontId="0" fillId="0" borderId="0" xfId="0" applyAlignment="1">
      <alignment wrapText="1"/>
    </xf>
    <xf numFmtId="0" fontId="3" fillId="6" borderId="0" xfId="0" applyFont="1" applyFill="1" applyAlignment="1">
      <alignment horizontal="center" vertical="center" wrapText="1"/>
    </xf>
    <xf numFmtId="0" fontId="5" fillId="6" borderId="0" xfId="0" applyFont="1" applyFill="1" applyAlignment="1">
      <alignment horizontal="center" vertical="center" wrapText="1"/>
    </xf>
    <xf numFmtId="0" fontId="0" fillId="0" borderId="0" xfId="0" applyAlignment="1">
      <alignment vertical="top" wrapText="1"/>
    </xf>
    <xf numFmtId="0" fontId="3" fillId="8" borderId="0" xfId="0" applyFont="1" applyFill="1" applyAlignment="1">
      <alignment horizontal="center" vertical="center" wrapText="1"/>
    </xf>
    <xf numFmtId="0" fontId="5" fillId="8" borderId="0" xfId="0" applyFont="1" applyFill="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0" fillId="9" borderId="0" xfId="0" applyFill="1" applyAlignment="1">
      <alignment vertical="center" wrapText="1"/>
    </xf>
    <xf numFmtId="9" fontId="0" fillId="9" borderId="0" xfId="0" applyNumberFormat="1" applyFill="1" applyAlignment="1">
      <alignment vertical="center" wrapText="1"/>
    </xf>
    <xf numFmtId="0" fontId="0" fillId="10" borderId="0" xfId="0" applyFill="1" applyAlignment="1">
      <alignment vertical="center" wrapText="1"/>
    </xf>
    <xf numFmtId="9" fontId="0" fillId="10" borderId="0" xfId="0" applyNumberFormat="1" applyFill="1" applyAlignment="1">
      <alignment vertical="center" wrapText="1"/>
    </xf>
    <xf numFmtId="0" fontId="0" fillId="11" borderId="0" xfId="0" applyFill="1" applyAlignment="1">
      <alignment vertical="center" wrapText="1"/>
    </xf>
    <xf numFmtId="9" fontId="0" fillId="11" borderId="0" xfId="0" applyNumberFormat="1" applyFill="1" applyAlignment="1">
      <alignment vertical="center" wrapText="1"/>
    </xf>
    <xf numFmtId="0" fontId="0" fillId="12" borderId="0" xfId="0" applyFill="1" applyAlignment="1">
      <alignment vertical="center" wrapText="1"/>
    </xf>
    <xf numFmtId="9" fontId="0" fillId="12" borderId="0" xfId="0" applyNumberFormat="1" applyFill="1" applyAlignment="1">
      <alignment vertical="center" wrapText="1"/>
    </xf>
    <xf numFmtId="0" fontId="0" fillId="13" borderId="0" xfId="0" applyFill="1" applyAlignment="1">
      <alignment vertical="center" wrapText="1"/>
    </xf>
    <xf numFmtId="9" fontId="0" fillId="13" borderId="0" xfId="0" applyNumberFormat="1" applyFill="1" applyAlignment="1">
      <alignment vertical="center" wrapText="1"/>
    </xf>
    <xf numFmtId="0" fontId="12" fillId="7" borderId="0" xfId="0" applyFont="1" applyFill="1" applyAlignment="1">
      <alignment vertical="center" wrapText="1"/>
    </xf>
    <xf numFmtId="0" fontId="0" fillId="7" borderId="0" xfId="0" applyFill="1" applyAlignment="1">
      <alignment vertical="center" wrapText="1"/>
    </xf>
    <xf numFmtId="9" fontId="0" fillId="7" borderId="0" xfId="0" applyNumberFormat="1" applyFill="1" applyAlignment="1">
      <alignment vertical="center" wrapText="1"/>
    </xf>
    <xf numFmtId="0" fontId="1" fillId="2" borderId="0" xfId="0" applyFont="1" applyFill="1" applyAlignment="1">
      <alignment horizontal="left" vertical="center" wrapText="1"/>
    </xf>
    <xf numFmtId="0" fontId="0" fillId="0" borderId="0" xfId="0"/>
    <xf numFmtId="0" fontId="2" fillId="3" borderId="0" xfId="0" applyFont="1" applyFill="1" applyAlignment="1">
      <alignment vertical="center" wrapText="1"/>
    </xf>
    <xf numFmtId="0" fontId="8" fillId="6" borderId="0" xfId="0" applyFont="1" applyFill="1" applyAlignment="1">
      <alignment horizontal="left" vertical="center" wrapText="1"/>
    </xf>
    <xf numFmtId="0" fontId="9" fillId="7" borderId="0" xfId="0" applyFont="1" applyFill="1" applyAlignment="1">
      <alignment vertical="center" wrapText="1"/>
    </xf>
    <xf numFmtId="0" fontId="10" fillId="6" borderId="0" xfId="0" applyFont="1" applyFill="1" applyAlignment="1">
      <alignment horizontal="left" vertical="center" wrapText="1"/>
    </xf>
    <xf numFmtId="0" fontId="5" fillId="6" borderId="0" xfId="0" applyFont="1" applyFill="1" applyAlignment="1">
      <alignment horizontal="center" vertical="center" wrapText="1"/>
    </xf>
    <xf numFmtId="0" fontId="11" fillId="6" borderId="0" xfId="0" applyFont="1" applyFill="1" applyAlignment="1">
      <alignment horizontal="left" vertical="center" wrapText="1"/>
    </xf>
    <xf numFmtId="0" fontId="13" fillId="14" borderId="1" pivotButton="0" quotePrefix="0" xfId="0"/>
    <xf numFmtId="0" fontId="14" fillId="16" borderId="1" pivotButton="0" quotePrefix="0" xfId="0"/>
    <xf numFmtId="0" fontId="15" fillId="14" borderId="1" applyAlignment="1" pivotButton="0" quotePrefix="0" xfId="0">
      <alignment vertical="center" wrapText="1"/>
    </xf>
    <xf numFmtId="0" fontId="16" fillId="16" borderId="1" applyAlignment="1" pivotButton="0" quotePrefix="0" xfId="0">
      <alignment vertical="center" wrapText="1"/>
    </xf>
    <xf numFmtId="0" fontId="17" fillId="17" borderId="1" applyAlignment="1" pivotButton="0" quotePrefix="0" xfId="0">
      <alignment vertical="top" wrapText="1"/>
    </xf>
    <xf numFmtId="0" fontId="17" fillId="18" borderId="1" applyAlignment="1" pivotButton="0" quotePrefix="0" xfId="0">
      <alignment vertical="top" wrapText="1"/>
    </xf>
  </cellXfs>
  <cellStyles count="1">
    <cellStyle name="Normal" xfId="0" builtinId="0"/>
  </cellStyles>
  <dxfs count="16">
    <dxf>
      <font>
        <b/>
        <color rgb="FF4B5563"/>
      </font>
      <fill>
        <patternFill>
          <bgColor rgb="FFE5E7EB"/>
        </patternFill>
      </fill>
    </dxf>
    <dxf>
      <font>
        <b/>
        <color rgb="FF92400E"/>
      </font>
      <fill>
        <patternFill>
          <bgColor rgb="FFFEF3C7"/>
        </patternFill>
      </fill>
    </dxf>
    <dxf>
      <font>
        <color rgb="FF374151"/>
      </font>
      <fill>
        <patternFill>
          <bgColor rgb="FFF3F4F6"/>
        </patternFill>
      </fill>
    </dxf>
    <dxf>
      <font>
        <b/>
        <color rgb="FF166534"/>
      </font>
      <fill>
        <patternFill>
          <bgColor rgb="FFDCFCE7"/>
        </patternFill>
      </fill>
    </dxf>
    <dxf>
      <font>
        <b/>
        <color rgb="FF9A3412"/>
      </font>
      <fill>
        <patternFill>
          <bgColor rgb="FFFFF7ED"/>
        </patternFill>
      </fill>
    </dxf>
    <dxf>
      <font>
        <b/>
        <color rgb="FF991B1B"/>
      </font>
      <fill>
        <patternFill>
          <bgColor rgb="FFFEE2E2"/>
        </patternFill>
      </fill>
    </dxf>
    <dxf>
      <font>
        <b/>
        <color rgb="FF4B5563"/>
      </font>
      <fill>
        <patternFill>
          <bgColor rgb="FFE5E7EB"/>
        </patternFill>
      </fill>
    </dxf>
    <dxf>
      <font>
        <b/>
        <color rgb="FF92400E"/>
      </font>
      <fill>
        <patternFill>
          <bgColor rgb="FFFEF3C7"/>
        </patternFill>
      </fill>
    </dxf>
    <dxf>
      <font>
        <color rgb="FF374151"/>
      </font>
      <fill>
        <patternFill>
          <bgColor rgb="FFF3F4F6"/>
        </patternFill>
      </fill>
    </dxf>
    <dxf>
      <font>
        <b/>
        <color rgb="FF166534"/>
      </font>
      <fill>
        <patternFill>
          <bgColor rgb="FFDCFCE7"/>
        </patternFill>
      </fill>
    </dxf>
    <dxf>
      <font>
        <color rgb="FF9C0006"/>
      </font>
      <fill>
        <patternFill>
          <bgColor rgb="FFFCE4D6"/>
        </patternFill>
      </fill>
    </dxf>
    <dxf>
      <font>
        <color rgb="FF555555"/>
      </font>
      <fill>
        <patternFill>
          <bgColor rgb="FFE7E6E6"/>
        </patternFill>
      </fill>
    </dxf>
    <dxf>
      <font>
        <color rgb="FF7F6000"/>
      </font>
      <fill>
        <patternFill>
          <bgColor rgb="FFFFF2CC"/>
        </patternFill>
      </fill>
    </dxf>
    <dxf>
      <font>
        <color rgb="FF2F6B2F"/>
      </font>
      <fill>
        <patternFill>
          <bgColor rgb="FFDFF2E0"/>
        </patternFill>
      </fill>
    </dxf>
    <dxf>
      <fill>
        <patternFill>
          <bgColor rgb="FFF4CCCC"/>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walvy_extra_7.xml"/><Relationship Id="rId15" Type="http://schemas.openxmlformats.org/officeDocument/2006/relationships/worksheet" Target="worksheets/walvy_extra_8.xml"/><Relationship Id="rId16" Type="http://schemas.openxmlformats.org/officeDocument/2006/relationships/worksheet" Target="worksheets/walvy_extra_9.xml"/><Relationship Id="rId17" Type="http://schemas.openxmlformats.org/officeDocument/2006/relationships/worksheet" Target="worksheets/walvy_extra_10.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7"/>
  <sheetViews>
    <sheetView tabSelected="1" zoomScale="110" workbookViewId="0">
      <selection activeCell="B5" sqref="B5"/>
    </sheetView>
  </sheetViews>
  <sheetFormatPr baseColWidth="10" defaultColWidth="8.83203125" defaultRowHeight="14"/>
  <cols>
    <col min="1" max="1" width="13" customWidth="1"/>
    <col min="2" max="2" width="24" customWidth="1"/>
    <col min="3" max="3" width="34" customWidth="1"/>
    <col min="4" max="4" width="38" customWidth="1"/>
    <col min="5" max="5" width="44" customWidth="1"/>
    <col min="6" max="6" width="20" customWidth="1"/>
    <col min="7" max="7" width="14" customWidth="1"/>
    <col min="8" max="8" width="36" customWidth="1"/>
    <col min="9" max="9" width="28" customWidth="1"/>
    <col min="10" max="10" width="26" customWidth="1"/>
    <col min="11" max="11" width="48" customWidth="1"/>
    <col min="12" max="12" width="22" customWidth="1"/>
    <col min="13" max="13" width="32" customWidth="1"/>
    <col min="14" max="14" width="18" customWidth="1"/>
    <col min="15" max="15" width="17" customWidth="1"/>
    <col min="16" max="16" width="42" customWidth="1"/>
    <col min="17" max="17" width="31" customWidth="1"/>
    <col min="18" max="18" width="21" customWidth="1"/>
    <col min="19" max="19" width="85" customWidth="1"/>
    <col min="20" max="20" width="20" customWidth="1"/>
    <col min="21" max="21" width="42" customWidth="1"/>
    <col min="22" max="22" width="70" customWidth="1"/>
    <col min="23" max="23" width="55" customWidth="1"/>
  </cols>
  <sheetData>
    <row r="1" spans="1:20" ht="53.25" customHeight="1">
      <c r="A1" s="26" t="s">
        <v>37</v>
      </c>
      <c r="B1" s="26"/>
      <c r="C1" s="26"/>
      <c r="D1" s="26"/>
      <c r="E1" s="26"/>
      <c r="F1" s="26"/>
      <c r="G1" s="26"/>
      <c r="H1" s="26"/>
      <c r="I1" s="26"/>
      <c r="J1" s="26"/>
      <c r="K1" s="26"/>
      <c r="L1" s="26"/>
      <c r="M1" s="26"/>
      <c r="N1" s="26"/>
      <c r="O1" s="26"/>
      <c r="P1" s="26"/>
      <c r="Q1" s="26"/>
      <c r="R1" s="26"/>
      <c r="S1" s="27"/>
      <c r="T1" s="27"/>
    </row>
    <row r="2" spans="1:20" ht="74.75" customHeight="1">
      <c r="A2" s="28" t="s">
        <v>38</v>
      </c>
      <c r="B2" s="28"/>
      <c r="C2" s="28"/>
      <c r="D2" s="28"/>
      <c r="E2" s="28"/>
      <c r="F2" s="28"/>
      <c r="G2" s="28"/>
      <c r="H2" s="28"/>
      <c r="I2" s="28"/>
      <c r="J2" s="28"/>
      <c r="K2" s="28"/>
      <c r="L2" s="28"/>
      <c r="M2" s="28"/>
      <c r="N2" s="28"/>
      <c r="O2" s="28"/>
      <c r="P2" s="28"/>
      <c r="Q2" s="28"/>
      <c r="R2" s="28"/>
      <c r="S2" s="27"/>
      <c r="T2" s="27"/>
    </row>
    <row r="4" spans="1:20" ht="64" customHeight="1">
      <c r="A4" s="6" t="s">
        <v>39</v>
      </c>
      <c r="B4" s="6" t="s">
        <v>40</v>
      </c>
      <c r="C4" s="6" t="s">
        <v>41</v>
      </c>
      <c r="D4" s="6" t="s">
        <v>42</v>
      </c>
      <c r="E4" s="6" t="s">
        <v>43</v>
      </c>
      <c r="F4" s="6" t="s">
        <v>44</v>
      </c>
      <c r="G4" s="6" t="s">
        <v>45</v>
      </c>
      <c r="H4" s="6" t="s">
        <v>46</v>
      </c>
      <c r="I4" s="6" t="s">
        <v>47</v>
      </c>
      <c r="J4" s="6" t="s">
        <v>48</v>
      </c>
      <c r="K4" s="6" t="s">
        <v>49</v>
      </c>
      <c r="L4" s="6" t="s">
        <v>50</v>
      </c>
      <c r="M4" s="6" t="s">
        <v>51</v>
      </c>
      <c r="N4" s="6" t="s">
        <v>52</v>
      </c>
      <c r="O4" s="6" t="s">
        <v>53</v>
      </c>
      <c r="P4" s="6" t="s">
        <v>54</v>
      </c>
      <c r="Q4" s="6" t="s">
        <v>55</v>
      </c>
      <c r="R4" s="6" t="s">
        <v>56</v>
      </c>
      <c r="S4" s="7" t="s">
        <v>57</v>
      </c>
      <c r="T4" s="7" t="s">
        <v>58</v>
      </c>
      <c r="U4" s="6" t="inlineStr">
        <is>
          <t xml:space="preserve">Reglas Walvy vigentes</t>
        </is>
      </c>
      <c r="V4" s="6" t="inlineStr">
        <is>
          <t xml:space="preserve">Documento rector</t>
        </is>
      </c>
      <c r="W4" s="6" t="inlineStr">
        <is>
          <t xml:space="preserve">Referencia detallada</t>
        </is>
      </c>
    </row>
    <row r="5" spans="1:20" ht="190" customHeight="1">
      <c r="A5" s="1" t="s">
        <v>59</v>
      </c>
      <c r="B5" s="1" t="s">
        <v>60</v>
      </c>
      <c r="C5" s="1" t="s">
        <v>61</v>
      </c>
      <c r="D5" s="1" t="s">
        <v>62</v>
      </c>
      <c r="E5" s="1" t="s">
        <v>63</v>
      </c>
      <c r="F5" s="1" t="s">
        <v>64</v>
      </c>
      <c r="G5" s="1" t="s">
        <v>65</v>
      </c>
      <c r="H5" s="1" t="s">
        <v>66</v>
      </c>
      <c r="I5" s="1" t="s">
        <v>67</v>
      </c>
      <c r="J5" s="1" t="s">
        <v>68</v>
      </c>
      <c r="K5" s="1" t="s">
        <v>69</v>
      </c>
      <c r="L5" s="1" t="s">
        <v>70</v>
      </c>
      <c r="M5" s="1" t="s">
        <v>71</v>
      </c>
      <c r="N5" s="1" t="s">
        <v>29</v>
      </c>
      <c r="O5" s="1" t="s">
        <v>72</v>
      </c>
      <c r="P5" s="1" t="s">
        <v>73</v>
      </c>
      <c r="Q5" s="1" t="s">
        <v>74</v>
      </c>
      <c r="R5" s="1" t="inlineStr">
        <is>
          <t xml:space="preserve">Aprobado</t>
        </is>
      </c>
      <c r="S5" s="8" t="inlineStr">
        <is>
          <t xml:space="preserve">Aprobado. Se confirma el vacio orientativo y el acceso al registro manual. Sin compromisos del período no se muestra 0% ni 100%; no se inventa una obligacion. El copy y sus variantes se materializan segun el handoff UX.</t>
        </is>
      </c>
      <c r="T5" s="8"/>
      <c r="U5" s="1" t="inlineStr">
        <is>
          <t xml:space="preserve">M06-RGL-001; M06-RGL-005; M06-RGL-009; M06-RGL-017; M06-RGL-019; M06-RGL-024; M06-RGL-026; M06-RGL-027; M06-RGL-035; M06-RGL-036; M06-RGL-037; M06-RGL-040; M06-RGL-041; M06-RGL-042; M06-RGL-043</t>
        </is>
      </c>
      <c r="V5" s="1" t="inlineStr">
        <is>
          <t xml:space="preserve">Walvy_M06_Documentacion_Funcional_Consolidada_v1.0.docx</t>
        </is>
      </c>
      <c r="W5" s="1" t="inlineStr">
        <is>
          <t xml:space="preserve">CT-M06-09; CT-M06-17</t>
        </is>
      </c>
    </row>
    <row r="6" spans="1:20" ht="190" customHeight="1">
      <c r="A6" s="1" t="s">
        <v>75</v>
      </c>
      <c r="B6" s="1" t="s">
        <v>60</v>
      </c>
      <c r="C6" s="1" t="s">
        <v>76</v>
      </c>
      <c r="D6" s="1" t="s">
        <v>77</v>
      </c>
      <c r="E6" s="1" t="s">
        <v>78</v>
      </c>
      <c r="F6" s="1" t="s">
        <v>79</v>
      </c>
      <c r="G6" s="1" t="s">
        <v>80</v>
      </c>
      <c r="H6" s="1" t="s">
        <v>81</v>
      </c>
      <c r="I6" s="1" t="s">
        <v>67</v>
      </c>
      <c r="J6" s="1" t="s">
        <v>82</v>
      </c>
      <c r="K6" s="1" t="s">
        <v>83</v>
      </c>
      <c r="L6" s="1" t="s">
        <v>84</v>
      </c>
      <c r="M6" s="1" t="s">
        <v>71</v>
      </c>
      <c r="N6" s="1" t="s">
        <v>29</v>
      </c>
      <c r="O6" s="1" t="s">
        <v>85</v>
      </c>
      <c r="P6" s="1" t="s">
        <v>73</v>
      </c>
      <c r="Q6" s="1" t="s">
        <v>86</v>
      </c>
      <c r="R6" s="1" t="inlineStr">
        <is>
          <t xml:space="preserve">Aprobado</t>
        </is>
      </c>
      <c r="S6" s="8" t="inlineStr">
        <is>
          <t xml:space="preserve">Aprobado. Se confirma el hub M06 con estados y acciones diferenciados. Confirmado es condición de consolidación, no un estado temporal adicional. El resumen mensual excluye candidatos; la cola de revisión es independiente del mes. El cierre visual sigue pendiente.</t>
        </is>
      </c>
      <c r="T6" s="8" t="s">
        <v>87</v>
      </c>
      <c r="U6" s="1" t="inlineStr">
        <is>
          <t xml:space="preserve">M06-RGL-001; M06-RGL-002; M06-RGL-005; M06-RGL-006; M06-RGL-008; M06-RGL-009; M06-RGL-012; M06-RGL-017; M06-RGL-019; M06-RGL-023; M06-RGL-024; M06-RGL-025; M06-RGL-026; M06-RGL-027; M06-RGL-035; M06-RGL-036; M06-RGL-037; M06-RGL-040; M06-RGL-041; M06-RGL-042; M06-RGL-043</t>
        </is>
      </c>
      <c r="V6" s="1" t="inlineStr">
        <is>
          <t xml:space="preserve">Walvy_M06_Documentacion_Funcional_Consolidada_v1.0.docx</t>
        </is>
      </c>
      <c r="W6" s="1" t="inlineStr">
        <is>
          <t xml:space="preserve">CT-M06-02; CT-M06-09; CT-M06-17</t>
        </is>
      </c>
    </row>
    <row r="7" spans="1:20" ht="190" customHeight="1">
      <c r="A7" s="1" t="s">
        <v>88</v>
      </c>
      <c r="B7" s="1" t="s">
        <v>89</v>
      </c>
      <c r="C7" s="1" t="s">
        <v>90</v>
      </c>
      <c r="D7" s="1" t="s">
        <v>91</v>
      </c>
      <c r="E7" s="1" t="s">
        <v>92</v>
      </c>
      <c r="F7" s="1" t="s">
        <v>93</v>
      </c>
      <c r="G7" s="1" t="s">
        <v>94</v>
      </c>
      <c r="H7" s="1" t="s">
        <v>95</v>
      </c>
      <c r="I7" s="1" t="s">
        <v>67</v>
      </c>
      <c r="J7" s="1" t="s">
        <v>68</v>
      </c>
      <c r="K7" s="1" t="s">
        <v>69</v>
      </c>
      <c r="L7" s="1" t="s">
        <v>96</v>
      </c>
      <c r="M7" s="1" t="s">
        <v>71</v>
      </c>
      <c r="N7" s="1" t="s">
        <v>29</v>
      </c>
      <c r="O7" s="1" t="s">
        <v>97</v>
      </c>
      <c r="P7" s="1" t="s">
        <v>73</v>
      </c>
      <c r="Q7" s="1" t="s">
        <v>74</v>
      </c>
      <c r="R7" s="1" t="inlineStr">
        <is>
          <t xml:space="preserve">Aprobado</t>
        </is>
      </c>
      <c r="S7" s="8" t="inlineStr">
        <is>
          <t xml:space="preserve">Aprobado. Se confirma el detalle del objeto seleccionado, con fecha, monto conocido, origen y acciones seguras. Ver detalle no confirma ni paga; volver conserva el contexto y muestra el estado vigente.</t>
        </is>
      </c>
      <c r="T7" s="8"/>
      <c r="U7" s="1" t="inlineStr">
        <is>
          <t xml:space="preserve">M06-RGL-001; M06-RGL-005; M06-RGL-009; M06-RGL-017; M06-RGL-018; M06-RGL-019; M06-RGL-020; M06-RGL-021; M06-RGL-022; M06-RGL-024; M06-RGL-026; M06-RGL-027; M06-RGL-040; M06-RGL-041; M06-RGL-042; M06-RGL-043</t>
        </is>
      </c>
      <c r="V7" s="1" t="inlineStr">
        <is>
          <t xml:space="preserve">Walvy_M06_Documentacion_Funcional_Consolidada_v1.0.docx</t>
        </is>
      </c>
      <c r="W7" s="1" t="inlineStr">
        <is>
          <t xml:space="preserve">CT-M06-06; CT-M06-17</t>
        </is>
      </c>
    </row>
    <row r="8" spans="1:20" ht="190" customHeight="1">
      <c r="A8" s="1" t="s">
        <v>98</v>
      </c>
      <c r="B8" s="1" t="s">
        <v>99</v>
      </c>
      <c r="C8" s="1" t="s">
        <v>100</v>
      </c>
      <c r="D8" s="1" t="s">
        <v>101</v>
      </c>
      <c r="E8" s="1" t="s">
        <v>102</v>
      </c>
      <c r="F8" s="1" t="s">
        <v>103</v>
      </c>
      <c r="G8" s="1" t="s">
        <v>104</v>
      </c>
      <c r="H8" s="1" t="s">
        <v>105</v>
      </c>
      <c r="I8" s="1" t="s">
        <v>67</v>
      </c>
      <c r="J8" s="1" t="s">
        <v>106</v>
      </c>
      <c r="K8" s="1" t="s">
        <v>107</v>
      </c>
      <c r="L8" s="1" t="s">
        <v>108</v>
      </c>
      <c r="M8" s="1" t="s">
        <v>71</v>
      </c>
      <c r="N8" s="1" t="s">
        <v>29</v>
      </c>
      <c r="O8" s="1" t="s">
        <v>109</v>
      </c>
      <c r="P8" s="1" t="s">
        <v>73</v>
      </c>
      <c r="Q8" s="1" t="s">
        <v>74</v>
      </c>
      <c r="R8" s="1" t="inlineStr">
        <is>
          <t xml:space="preserve">Ajustar</t>
        </is>
      </c>
      <c r="S8" s="8" t="inlineStr">
        <is>
          <t xml:space="preserve">Ajustar. No debe forzarse Pendiente al guardar. Con descripción y fecha exacta confiable se consolida y resuelve Pendiente/Próximo/Vencido segun business_date y N=7. Monto opcional; Número de cliente excluido. Sin mínimos se conserva borrador.</t>
        </is>
      </c>
      <c r="T8" s="8"/>
      <c r="U8" s="1" t="inlineStr">
        <is>
          <t xml:space="preserve">M06-RGL-002; M06-RGL-003; M06-RGL-004; M06-RGL-005; M06-RGL-012; M06-RGL-013; M06-RGL-014; M06-RGL-038; M06-RGL-044</t>
        </is>
      </c>
      <c r="V8" s="1" t="inlineStr">
        <is>
          <t xml:space="preserve">Walvy_M06_Documentacion_Funcional_Consolidada_v1.0.docx</t>
        </is>
      </c>
      <c r="W8" s="1" t="inlineStr">
        <is>
          <t xml:space="preserve">CT-M06-03; CT-M06-07</t>
        </is>
      </c>
    </row>
    <row r="9" spans="1:20" ht="190" customHeight="1">
      <c r="A9" s="1" t="s">
        <v>110</v>
      </c>
      <c r="B9" s="1" t="s">
        <v>99</v>
      </c>
      <c r="C9" s="1" t="s">
        <v>111</v>
      </c>
      <c r="D9" s="1" t="s">
        <v>112</v>
      </c>
      <c r="E9" s="1" t="s">
        <v>113</v>
      </c>
      <c r="F9" s="1" t="s">
        <v>114</v>
      </c>
      <c r="G9" s="1" t="s">
        <v>115</v>
      </c>
      <c r="H9" s="1" t="s">
        <v>116</v>
      </c>
      <c r="I9" s="1" t="s">
        <v>67</v>
      </c>
      <c r="J9" s="1" t="s">
        <v>117</v>
      </c>
      <c r="K9" s="1" t="s">
        <v>118</v>
      </c>
      <c r="L9" s="1" t="s">
        <v>119</v>
      </c>
      <c r="M9" s="1" t="s">
        <v>71</v>
      </c>
      <c r="N9" s="1" t="s">
        <v>29</v>
      </c>
      <c r="O9" s="1" t="s">
        <v>120</v>
      </c>
      <c r="P9" s="1" t="s">
        <v>73</v>
      </c>
      <c r="Q9" s="1" t="s">
        <v>74</v>
      </c>
      <c r="R9" s="1" t="inlineStr">
        <is>
          <t xml:space="preserve">Aprobado</t>
        </is>
      </c>
      <c r="S9" s="8" t="inlineStr">
        <is>
          <t xml:space="preserve">Aprobado. Se confirma el borrador recuperable cuando faltan descripción o fecha. Guardar pendiente conserva los datos conocidos sin contar en el mes; un formulario sin ningun dato no crea registro ni muestra exito.</t>
        </is>
      </c>
      <c r="T9" s="8"/>
      <c r="U9" s="1" t="inlineStr">
        <is>
          <t xml:space="preserve">M06-RGL-002; M06-RGL-003; M06-RGL-004; M06-RGL-005; M06-RGL-035; M06-RGL-036; M06-RGL-037; M06-RGL-044</t>
        </is>
      </c>
      <c r="V9" s="1" t="inlineStr">
        <is>
          <t xml:space="preserve">Walvy_M06_Documentacion_Funcional_Consolidada_v1.0.docx</t>
        </is>
      </c>
      <c r="W9" s="1" t="inlineStr">
        <is>
          <t xml:space="preserve">CT-M06-03; CT-M06-09</t>
        </is>
      </c>
    </row>
    <row r="10" spans="1:20" ht="190" customHeight="1">
      <c r="A10" s="1" t="s">
        <v>121</v>
      </c>
      <c r="B10" s="1" t="s">
        <v>99</v>
      </c>
      <c r="C10" s="1" t="s">
        <v>122</v>
      </c>
      <c r="D10" s="1" t="s">
        <v>123</v>
      </c>
      <c r="E10" s="1" t="s">
        <v>124</v>
      </c>
      <c r="F10" s="1" t="s">
        <v>114</v>
      </c>
      <c r="G10" s="1" t="s">
        <v>125</v>
      </c>
      <c r="H10" s="1" t="s">
        <v>126</v>
      </c>
      <c r="I10" s="1" t="s">
        <v>67</v>
      </c>
      <c r="J10" s="1" t="s">
        <v>127</v>
      </c>
      <c r="K10" s="1" t="s">
        <v>128</v>
      </c>
      <c r="L10" s="1" t="s">
        <v>129</v>
      </c>
      <c r="M10" s="1" t="s">
        <v>71</v>
      </c>
      <c r="N10" s="1" t="s">
        <v>29</v>
      </c>
      <c r="O10" s="1" t="s">
        <v>109</v>
      </c>
      <c r="P10" s="1" t="s">
        <v>73</v>
      </c>
      <c r="Q10" s="1" t="s">
        <v>74</v>
      </c>
      <c r="R10" s="1" t="inlineStr">
        <is>
          <t xml:space="preserve">Aprobado</t>
        </is>
      </c>
      <c r="S10" s="8" t="inlineStr">
        <is>
          <t xml:space="preserve">Aprobado. Se confirma que monto ausente no bloquea un compromiso con descripción y fecha suficientes. null no es cero; limita cálculos dependientes del importe y no eleva criticidad ni elimina un vencimiento cierto.</t>
        </is>
      </c>
      <c r="T10" s="8"/>
      <c r="U10" s="1" t="inlineStr">
        <is>
          <t xml:space="preserve">M06-RGL-002; M06-RGL-003; M06-RGL-004; M06-RGL-005; M06-RGL-014; M06-RGL-015; M06-RGL-016; M06-RGL-029; M06-RGL-031; M06-RGL-032; M06-RGL-039; M06-RGL-044</t>
        </is>
      </c>
      <c r="V10" s="1" t="inlineStr">
        <is>
          <t xml:space="preserve">Walvy_M06_Documentacion_Funcional_Consolidada_v1.0.docx</t>
        </is>
      </c>
      <c r="W10" s="1" t="inlineStr">
        <is>
          <t xml:space="preserve">CT-M06-03; CT-M06-10</t>
        </is>
      </c>
    </row>
    <row r="11" spans="1:20" ht="190" customHeight="1">
      <c r="A11" s="1" t="s">
        <v>130</v>
      </c>
      <c r="B11" s="1" t="s">
        <v>131</v>
      </c>
      <c r="C11" s="1" t="s">
        <v>132</v>
      </c>
      <c r="D11" s="1" t="s">
        <v>133</v>
      </c>
      <c r="E11" s="1" t="s">
        <v>134</v>
      </c>
      <c r="F11" s="1" t="s">
        <v>135</v>
      </c>
      <c r="G11" s="1" t="s">
        <v>104</v>
      </c>
      <c r="H11" s="1" t="s">
        <v>136</v>
      </c>
      <c r="I11" s="1" t="s">
        <v>67</v>
      </c>
      <c r="J11" s="1" t="s">
        <v>137</v>
      </c>
      <c r="K11" s="1" t="s">
        <v>138</v>
      </c>
      <c r="L11" s="1" t="s">
        <v>139</v>
      </c>
      <c r="M11" s="1" t="s">
        <v>71</v>
      </c>
      <c r="N11" s="1" t="s">
        <v>29</v>
      </c>
      <c r="O11" s="1" t="s">
        <v>140</v>
      </c>
      <c r="P11" s="1" t="s">
        <v>73</v>
      </c>
      <c r="Q11" s="1" t="s">
        <v>74</v>
      </c>
      <c r="R11" s="1" t="inlineStr">
        <is>
          <t xml:space="preserve">Aprobado</t>
        </is>
      </c>
      <c r="S11" s="8" t="inlineStr">
        <is>
          <t xml:space="preserve">Aprobado. Se confirma crear un candidato con origen y calidad. Leer, cargar o clasificar una fuente no confirma compromiso ni pago; errores y resultados parciales conservan revisión acotada.</t>
        </is>
      </c>
      <c r="T11" s="8"/>
      <c r="U11" s="1" t="inlineStr">
        <is>
          <t xml:space="preserve">M06-RGL-006; M06-RGL-007; M06-RGL-008; M06-RGL-009; M06-RGL-010; M06-RGL-011; M06-RGL-020; M06-RGL-021; M06-RGL-022; M06-RGL-023; M06-RGL-024; M06-RGL-040</t>
        </is>
      </c>
      <c r="V11" s="1" t="inlineStr">
        <is>
          <t xml:space="preserve">Walvy_M06_Documentacion_Funcional_Consolidada_v1.0.docx</t>
        </is>
      </c>
      <c r="W11" s="1" t="inlineStr">
        <is>
          <t xml:space="preserve">CT-M06-04; CT-M06-05</t>
        </is>
      </c>
    </row>
    <row r="12" spans="1:20" ht="190" customHeight="1">
      <c r="A12" s="1" t="s">
        <v>141</v>
      </c>
      <c r="B12" s="1" t="s">
        <v>131</v>
      </c>
      <c r="C12" s="1" t="s">
        <v>142</v>
      </c>
      <c r="D12" s="1" t="s">
        <v>143</v>
      </c>
      <c r="E12" s="1" t="s">
        <v>144</v>
      </c>
      <c r="F12" s="1" t="s">
        <v>135</v>
      </c>
      <c r="G12" s="1" t="s">
        <v>94</v>
      </c>
      <c r="H12" s="1" t="s">
        <v>145</v>
      </c>
      <c r="I12" s="1" t="s">
        <v>67</v>
      </c>
      <c r="J12" s="1" t="s">
        <v>146</v>
      </c>
      <c r="K12" s="1" t="s">
        <v>147</v>
      </c>
      <c r="L12" s="1" t="s">
        <v>148</v>
      </c>
      <c r="M12" s="1" t="s">
        <v>71</v>
      </c>
      <c r="N12" s="1" t="s">
        <v>29</v>
      </c>
      <c r="O12" s="1" t="s">
        <v>140</v>
      </c>
      <c r="P12" s="1" t="s">
        <v>73</v>
      </c>
      <c r="Q12" s="1" t="s">
        <v>74</v>
      </c>
      <c r="R12" s="1" t="inlineStr">
        <is>
          <t xml:space="preserve">Ajustar</t>
        </is>
      </c>
      <c r="S12" s="8" t="inlineStr">
        <is>
          <t xml:space="preserve">Ajustar. Confirmar una cuenta no equivale a marcar Pagado. Tras mínimos y decision valida, resolver Pendiente/Próximo/Vencido por fecha. Pagado exige declaracion completa del usuario o conciliación suficiente; no basta la confirmación del candidato.</t>
        </is>
      </c>
      <c r="T12" s="8"/>
      <c r="U12" s="1" t="inlineStr">
        <is>
          <t xml:space="preserve">M06-RGL-007; M06-RGL-008; M06-RGL-009; M06-RGL-010; M06-RGL-011; M06-RGL-012; M06-RGL-013; M06-RGL-014; M06-RGL-017; M06-RGL-018; M06-RGL-019; M06-RGL-020; M06-RGL-021; M06-RGL-022; M06-RGL-023; M06-RGL-024; M06-RGL-038; M06-RGL-041</t>
        </is>
      </c>
      <c r="V12" s="1" t="inlineStr">
        <is>
          <t xml:space="preserve">Walvy_M06_Documentacion_Funcional_Consolidada_v1.0.docx</t>
        </is>
      </c>
      <c r="W12" s="1" t="inlineStr">
        <is>
          <t xml:space="preserve">CT-M06-05; CT-M06-07; CT-M06-06</t>
        </is>
      </c>
    </row>
    <row r="13" spans="1:20" ht="190" customHeight="1">
      <c r="A13" s="1" t="s">
        <v>149</v>
      </c>
      <c r="B13" s="1" t="s">
        <v>131</v>
      </c>
      <c r="C13" s="1" t="s">
        <v>150</v>
      </c>
      <c r="D13" s="1" t="s">
        <v>151</v>
      </c>
      <c r="E13" s="1" t="s">
        <v>152</v>
      </c>
      <c r="F13" s="1" t="s">
        <v>135</v>
      </c>
      <c r="G13" s="1" t="s">
        <v>80</v>
      </c>
      <c r="H13" s="1" t="s">
        <v>153</v>
      </c>
      <c r="I13" s="1" t="s">
        <v>67</v>
      </c>
      <c r="J13" s="1" t="s">
        <v>117</v>
      </c>
      <c r="K13" s="1" t="s">
        <v>118</v>
      </c>
      <c r="L13" s="1" t="s">
        <v>154</v>
      </c>
      <c r="M13" s="1" t="s">
        <v>71</v>
      </c>
      <c r="N13" s="1" t="s">
        <v>29</v>
      </c>
      <c r="O13" s="1" t="s">
        <v>140</v>
      </c>
      <c r="P13" s="1" t="s">
        <v>73</v>
      </c>
      <c r="Q13" s="1" t="s">
        <v>74</v>
      </c>
      <c r="R13" s="1" t="inlineStr">
        <is>
          <t xml:space="preserve">Aprobado</t>
        </is>
      </c>
      <c r="S13" s="8" t="inlineStr">
        <is>
          <t xml:space="preserve">Aprobado. Se confirma la corrección antes de consolidar: el valor elegido rige la vista operativa y conserva origen/valor detectado. Validar mínimos, recalcular y volver a la cola actualizada; cancelar no confirma.</t>
        </is>
      </c>
      <c r="T13" s="8"/>
      <c r="U13" s="1" t="inlineStr">
        <is>
          <t xml:space="preserve">M06-RGL-002; M06-RGL-003; M06-RGL-004; M06-RGL-005; M06-RGL-007; M06-RGL-008; M06-RGL-009; M06-RGL-010; M06-RGL-011; M06-RGL-020; M06-RGL-021; M06-RGL-022; M06-RGL-023; M06-RGL-024; M06-RGL-044</t>
        </is>
      </c>
      <c r="V13" s="1" t="inlineStr">
        <is>
          <t xml:space="preserve">Walvy_M06_Documentacion_Funcional_Consolidada_v1.0.docx</t>
        </is>
      </c>
      <c r="W13" s="1" t="inlineStr">
        <is>
          <t xml:space="preserve">CT-M06-05; CT-M06-03</t>
        </is>
      </c>
    </row>
    <row r="14" spans="1:20" ht="190" customHeight="1">
      <c r="A14" s="1" t="s">
        <v>155</v>
      </c>
      <c r="B14" s="1" t="s">
        <v>131</v>
      </c>
      <c r="C14" s="1" t="s">
        <v>156</v>
      </c>
      <c r="D14" s="1" t="s">
        <v>157</v>
      </c>
      <c r="E14" s="1" t="s">
        <v>158</v>
      </c>
      <c r="F14" s="1" t="s">
        <v>135</v>
      </c>
      <c r="G14" s="1" t="s">
        <v>159</v>
      </c>
      <c r="H14" s="1" t="s">
        <v>160</v>
      </c>
      <c r="I14" s="1" t="s">
        <v>67</v>
      </c>
      <c r="J14" s="1" t="s">
        <v>117</v>
      </c>
      <c r="K14" s="1" t="s">
        <v>118</v>
      </c>
      <c r="L14" s="1" t="s">
        <v>161</v>
      </c>
      <c r="M14" s="1" t="s">
        <v>71</v>
      </c>
      <c r="N14" s="1" t="s">
        <v>29</v>
      </c>
      <c r="O14" s="1" t="s">
        <v>140</v>
      </c>
      <c r="P14" s="1" t="s">
        <v>73</v>
      </c>
      <c r="Q14" s="1" t="s">
        <v>74</v>
      </c>
      <c r="R14" s="1" t="inlineStr">
        <is>
          <t xml:space="preserve">Aprobado</t>
        </is>
      </c>
      <c r="S14" s="8" t="inlineStr">
        <is>
          <t xml:space="preserve">Aprobado. Se confirma descartar el candidato sin borrar un movimiento real. Un reintento de los mismos datos no lo regenera. Recuperarlo exige acción explícita, dato aun retenido y nueva revisión del mismo objeto.</t>
        </is>
      </c>
      <c r="T14" s="8"/>
      <c r="U14" s="1" t="inlineStr">
        <is>
          <t xml:space="preserve">M06-RGL-007; M06-RGL-008; M06-RGL-009; M06-RGL-010; M06-RGL-011; M06-RGL-020; M06-RGL-021; M06-RGL-022; M06-RGL-023; M06-RGL-024</t>
        </is>
      </c>
      <c r="V14" s="1" t="inlineStr">
        <is>
          <t xml:space="preserve">Walvy_M06_Documentacion_Funcional_Consolidada_v1.0.docx</t>
        </is>
      </c>
      <c r="W14" s="1" t="inlineStr">
        <is>
          <t xml:space="preserve">CT-M06-05</t>
        </is>
      </c>
    </row>
    <row r="15" spans="1:20" ht="190" customHeight="1">
      <c r="A15" s="1" t="s">
        <v>162</v>
      </c>
      <c r="B15" s="1" t="s">
        <v>131</v>
      </c>
      <c r="C15" s="1" t="s">
        <v>163</v>
      </c>
      <c r="D15" s="1" t="s">
        <v>164</v>
      </c>
      <c r="E15" s="1" t="s">
        <v>165</v>
      </c>
      <c r="F15" s="1" t="s">
        <v>166</v>
      </c>
      <c r="G15" s="1" t="s">
        <v>80</v>
      </c>
      <c r="H15" s="1" t="s">
        <v>167</v>
      </c>
      <c r="I15" s="1" t="s">
        <v>67</v>
      </c>
      <c r="J15" s="1" t="s">
        <v>146</v>
      </c>
      <c r="K15" s="1" t="s">
        <v>147</v>
      </c>
      <c r="L15" s="1" t="s">
        <v>168</v>
      </c>
      <c r="M15" s="1" t="s">
        <v>71</v>
      </c>
      <c r="N15" s="1" t="s">
        <v>29</v>
      </c>
      <c r="O15" s="1" t="s">
        <v>169</v>
      </c>
      <c r="P15" s="1" t="s">
        <v>73</v>
      </c>
      <c r="Q15" s="1" t="s">
        <v>74</v>
      </c>
      <c r="R15" s="1" t="inlineStr">
        <is>
          <t xml:space="preserve">Aprobado</t>
        </is>
      </c>
      <c r="S15" s="8" t="inlineStr">
        <is>
          <t xml:space="preserve">Aprobado. Se confirma mantener revisión por baja confianza o ambiguedad. No consolidar ni emitir criticidad concluyente sin identidad, fecha y base suficientes; el CTA conduce al dato que falta o se contradice.</t>
        </is>
      </c>
      <c r="T15" s="8"/>
      <c r="U15" s="1" t="inlineStr">
        <is>
          <t xml:space="preserve">M06-RGL-007; M06-RGL-008; M06-RGL-009; M06-RGL-010; M06-RGL-011; M06-RGL-014; M06-RGL-015; M06-RGL-016; M06-RGL-020; M06-RGL-021; M06-RGL-022; M06-RGL-023; M06-RGL-024; M06-RGL-029; M06-RGL-031; M06-RGL-032; M06-RGL-039</t>
        </is>
      </c>
      <c r="V15" s="1" t="inlineStr">
        <is>
          <t xml:space="preserve">Walvy_M06_Documentacion_Funcional_Consolidada_v1.0.docx</t>
        </is>
      </c>
      <c r="W15" s="1" t="inlineStr">
        <is>
          <t xml:space="preserve">CT-M06-05; CT-M06-10</t>
        </is>
      </c>
    </row>
    <row r="16" spans="1:20" ht="190" customHeight="1">
      <c r="A16" s="1" t="s">
        <v>170</v>
      </c>
      <c r="B16" s="1" t="s">
        <v>171</v>
      </c>
      <c r="C16" s="1" t="s">
        <v>172</v>
      </c>
      <c r="D16" s="1" t="s">
        <v>173</v>
      </c>
      <c r="E16" s="1" t="s">
        <v>174</v>
      </c>
      <c r="F16" s="1" t="s">
        <v>175</v>
      </c>
      <c r="G16" s="1" t="s">
        <v>65</v>
      </c>
      <c r="H16" s="1" t="s">
        <v>176</v>
      </c>
      <c r="I16" s="1" t="s">
        <v>177</v>
      </c>
      <c r="J16" s="1" t="s">
        <v>178</v>
      </c>
      <c r="K16" s="1" t="s">
        <v>179</v>
      </c>
      <c r="L16" s="1" t="s">
        <v>180</v>
      </c>
      <c r="M16" s="1" t="s">
        <v>71</v>
      </c>
      <c r="N16" s="1" t="s">
        <v>29</v>
      </c>
      <c r="O16" s="1" t="s">
        <v>181</v>
      </c>
      <c r="P16" s="1" t="s">
        <v>73</v>
      </c>
      <c r="Q16" s="1" t="s">
        <v>74</v>
      </c>
      <c r="R16" s="1" t="inlineStr">
        <is>
          <t xml:space="preserve">Aprobado</t>
        </is>
      </c>
      <c r="S16" s="8" t="inlineStr">
        <is>
          <t xml:space="preserve">Aprobado. Se confirma Próximo con severidad base Atención para 0 &lt;= delta &lt;= N, con N=7 días calendario configurable/versionado. delta=0 no es Vencido; delta=8 es Pendiente. Se utiliza business_date del calendario comun.</t>
        </is>
      </c>
      <c r="T16" s="8" t="s">
        <v>182</v>
      </c>
      <c r="U16" s="1" t="inlineStr">
        <is>
          <t xml:space="preserve">M06-RGL-012; M06-RGL-013; M06-RGL-014; M06-RGL-015; M06-RGL-016; M06-RGL-029; M06-RGL-031; M06-RGL-032; M06-RGL-038; M06-RGL-039</t>
        </is>
      </c>
      <c r="V16" s="1" t="inlineStr">
        <is>
          <t xml:space="preserve">Walvy_M06_Documentacion_Funcional_Consolidada_v1.0.docx</t>
        </is>
      </c>
      <c r="W16" s="1" t="inlineStr">
        <is>
          <t xml:space="preserve">CT-M06-07; CT-M06-10</t>
        </is>
      </c>
    </row>
    <row r="17" spans="1:20" ht="190" customHeight="1">
      <c r="A17" s="1" t="s">
        <v>183</v>
      </c>
      <c r="B17" s="1" t="s">
        <v>171</v>
      </c>
      <c r="C17" s="1" t="s">
        <v>184</v>
      </c>
      <c r="D17" s="1" t="s">
        <v>185</v>
      </c>
      <c r="E17" s="1" t="s">
        <v>186</v>
      </c>
      <c r="F17" s="1" t="s">
        <v>175</v>
      </c>
      <c r="G17" s="1" t="s">
        <v>94</v>
      </c>
      <c r="H17" s="1" t="s">
        <v>187</v>
      </c>
      <c r="I17" s="1" t="s">
        <v>67</v>
      </c>
      <c r="J17" s="1" t="s">
        <v>188</v>
      </c>
      <c r="K17" s="1" t="s">
        <v>189</v>
      </c>
      <c r="L17" s="1" t="s">
        <v>190</v>
      </c>
      <c r="M17" s="1" t="s">
        <v>71</v>
      </c>
      <c r="N17" s="1" t="s">
        <v>29</v>
      </c>
      <c r="O17" s="1" t="s">
        <v>181</v>
      </c>
      <c r="P17" s="1" t="s">
        <v>73</v>
      </c>
      <c r="Q17" s="1" t="s">
        <v>74</v>
      </c>
      <c r="R17" s="1" t="inlineStr">
        <is>
          <t xml:space="preserve">Ajustar</t>
        </is>
      </c>
      <c r="S17" s="8" t="inlineStr">
        <is>
          <t xml:space="preserve">Ajustar. La asociacion a una deuda no basta para elevar a Urgente. Próximo puede escalar con ratio mensual canónico confiable &gt;=90% o deterioro pertinente confirmado por M04. No se fija un monto CLP paralelo ni se transforma esa señal en pago.</t>
        </is>
      </c>
      <c r="T17" s="8" t="s">
        <v>191</v>
      </c>
      <c r="U17" s="1" t="inlineStr">
        <is>
          <t xml:space="preserve">M06-RGL-014; M06-RGL-015; M06-RGL-016; M06-RGL-029; M06-RGL-031; M06-RGL-032; M06-RGL-039</t>
        </is>
      </c>
      <c r="V17" s="1" t="inlineStr">
        <is>
          <t xml:space="preserve">Walvy_M06_Documentacion_Funcional_Consolidada_v1.0.docx</t>
        </is>
      </c>
      <c r="W17" s="1" t="inlineStr">
        <is>
          <t xml:space="preserve">CT-M06-10</t>
        </is>
      </c>
    </row>
    <row r="18" spans="1:20" ht="190" customHeight="1">
      <c r="A18" s="1" t="s">
        <v>192</v>
      </c>
      <c r="B18" s="1" t="s">
        <v>171</v>
      </c>
      <c r="C18" s="1" t="s">
        <v>193</v>
      </c>
      <c r="D18" s="1" t="s">
        <v>194</v>
      </c>
      <c r="E18" s="1" t="s">
        <v>195</v>
      </c>
      <c r="F18" s="1" t="s">
        <v>196</v>
      </c>
      <c r="G18" s="1" t="s">
        <v>94</v>
      </c>
      <c r="H18" s="1" t="s">
        <v>197</v>
      </c>
      <c r="I18" s="1" t="s">
        <v>67</v>
      </c>
      <c r="J18" s="1" t="s">
        <v>188</v>
      </c>
      <c r="K18" s="1" t="s">
        <v>189</v>
      </c>
      <c r="L18" s="1" t="s">
        <v>198</v>
      </c>
      <c r="M18" s="1" t="s">
        <v>71</v>
      </c>
      <c r="N18" s="1" t="s">
        <v>29</v>
      </c>
      <c r="O18" s="1" t="s">
        <v>169</v>
      </c>
      <c r="P18" s="1" t="s">
        <v>73</v>
      </c>
      <c r="Q18" s="1" t="s">
        <v>74</v>
      </c>
      <c r="R18" s="1" t="inlineStr">
        <is>
          <t xml:space="preserve">Aprobado</t>
        </is>
      </c>
      <c r="S18" s="8" t="inlineStr">
        <is>
          <t xml:space="preserve">Aprobado. Se confirma no clasificar firmemente Próximo ni elevar urgencia temporal cuando fecha/identidad no son confiables. Mantener revisión y solicitar completar/corregir; no inventar fecha exacta desde un período.</t>
        </is>
      </c>
      <c r="T18" s="8"/>
      <c r="U18" s="1" t="inlineStr">
        <is>
          <t xml:space="preserve">M06-RGL-012; M06-RGL-013; M06-RGL-014; M06-RGL-015; M06-RGL-016; M06-RGL-029; M06-RGL-031; M06-RGL-032; M06-RGL-038; M06-RGL-039</t>
        </is>
      </c>
      <c r="V18" s="1" t="inlineStr">
        <is>
          <t xml:space="preserve">Walvy_M06_Documentacion_Funcional_Consolidada_v1.0.docx</t>
        </is>
      </c>
      <c r="W18" s="1" t="inlineStr">
        <is>
          <t xml:space="preserve">CT-M06-07; CT-M06-10</t>
        </is>
      </c>
    </row>
    <row r="19" spans="1:20" ht="190" customHeight="1">
      <c r="A19" s="1" t="s">
        <v>199</v>
      </c>
      <c r="B19" s="1" t="s">
        <v>171</v>
      </c>
      <c r="C19" s="1" t="s">
        <v>200</v>
      </c>
      <c r="D19" s="1" t="s">
        <v>201</v>
      </c>
      <c r="E19" s="1" t="s">
        <v>202</v>
      </c>
      <c r="F19" s="1" t="s">
        <v>203</v>
      </c>
      <c r="G19" s="1" t="s">
        <v>80</v>
      </c>
      <c r="H19" s="1" t="s">
        <v>204</v>
      </c>
      <c r="I19" s="1" t="s">
        <v>67</v>
      </c>
      <c r="J19" s="1" t="s">
        <v>205</v>
      </c>
      <c r="K19" s="1" t="s">
        <v>206</v>
      </c>
      <c r="L19" s="1" t="s">
        <v>207</v>
      </c>
      <c r="M19" s="1" t="s">
        <v>71</v>
      </c>
      <c r="N19" s="1" t="s">
        <v>29</v>
      </c>
      <c r="O19" s="1" t="s">
        <v>181</v>
      </c>
      <c r="P19" s="1" t="s">
        <v>73</v>
      </c>
      <c r="Q19" s="1" t="s">
        <v>74</v>
      </c>
      <c r="R19" s="1" t="inlineStr">
        <is>
          <t xml:space="preserve">Aprobado</t>
        </is>
      </c>
      <c r="S19" s="8" t="inlineStr">
        <is>
          <t xml:space="preserve">Aprobado. Se confirma Vencido con severidad base Urgente cuando la fecha confiable ha pasado y la obligacion sigue pendiente. La falta de monto no borra ese vencimiento. Aviso y CTA no ejecutan fondos.</t>
        </is>
      </c>
      <c r="T19" s="8"/>
      <c r="U19" s="1" t="inlineStr">
        <is>
          <t xml:space="preserve">M06-RGL-012; M06-RGL-013; M06-RGL-014; M06-RGL-015; M06-RGL-016; M06-RGL-018; M06-RGL-019; M06-RGL-028; M06-RGL-029; M06-RGL-030; M06-RGL-031; M06-RGL-032; M06-RGL-034; M06-RGL-038; M06-RGL-039</t>
        </is>
      </c>
      <c r="V19" s="1" t="inlineStr">
        <is>
          <t xml:space="preserve">Walvy_M06_Documentacion_Funcional_Consolidada_v1.0.docx</t>
        </is>
      </c>
      <c r="W19" s="1" t="inlineStr">
        <is>
          <t xml:space="preserve">CT-M06-07; CT-M06-10; CT-M06-14</t>
        </is>
      </c>
    </row>
    <row r="20" spans="1:20" ht="190" customHeight="1">
      <c r="A20" s="1" t="s">
        <v>208</v>
      </c>
      <c r="B20" s="1" t="s">
        <v>171</v>
      </c>
      <c r="C20" s="1" t="s">
        <v>209</v>
      </c>
      <c r="D20" s="1" t="s">
        <v>210</v>
      </c>
      <c r="E20" s="1" t="s">
        <v>211</v>
      </c>
      <c r="F20" s="1" t="s">
        <v>212</v>
      </c>
      <c r="G20" s="1" t="s">
        <v>94</v>
      </c>
      <c r="H20" s="1" t="s">
        <v>213</v>
      </c>
      <c r="I20" s="1" t="s">
        <v>67</v>
      </c>
      <c r="J20" s="1" t="s">
        <v>205</v>
      </c>
      <c r="K20" s="1" t="s">
        <v>206</v>
      </c>
      <c r="L20" s="1" t="s">
        <v>214</v>
      </c>
      <c r="M20" s="1" t="s">
        <v>71</v>
      </c>
      <c r="N20" s="1" t="s">
        <v>29</v>
      </c>
      <c r="O20" s="1" t="s">
        <v>181</v>
      </c>
      <c r="P20" s="1" t="s">
        <v>73</v>
      </c>
      <c r="Q20" s="1" t="s">
        <v>74</v>
      </c>
      <c r="R20" s="1" t="inlineStr">
        <is>
          <t xml:space="preserve">Ajustar</t>
        </is>
      </c>
      <c r="S20" s="8" t="inlineStr">
        <is>
          <t xml:space="preserve">Ajustar. Precisar la escalada: Vencido puede ser Crítica con ratio canónico confiable &gt;=110% o señal vigente de deterioro pertinente del owner M04. Una deuda asociada o un abono parcial aislado antes del cierre no bastan. La presentacion evita alarmismo.</t>
        </is>
      </c>
      <c r="T20" s="8" t="s">
        <v>191</v>
      </c>
      <c r="U20" s="1" t="inlineStr">
        <is>
          <t xml:space="preserve">M06-RGL-014; M06-RGL-015; M06-RGL-016; M06-RGL-017; M06-RGL-019; M06-RGL-021; M06-RGL-029; M06-RGL-031; M06-RGL-032; M06-RGL-033; M06-RGL-039</t>
        </is>
      </c>
      <c r="V20" s="1" t="inlineStr">
        <is>
          <t xml:space="preserve">Walvy_M06_Documentacion_Funcional_Consolidada_v1.0.docx</t>
        </is>
      </c>
      <c r="W20" s="1" t="inlineStr">
        <is>
          <t xml:space="preserve">CT-M06-10; CT-M06-12</t>
        </is>
      </c>
    </row>
    <row r="21" spans="1:20" ht="190" customHeight="1">
      <c r="A21" s="1" t="s">
        <v>215</v>
      </c>
      <c r="B21" s="1" t="s">
        <v>171</v>
      </c>
      <c r="C21" s="1" t="s">
        <v>216</v>
      </c>
      <c r="D21" s="1" t="s">
        <v>217</v>
      </c>
      <c r="E21" s="1" t="s">
        <v>218</v>
      </c>
      <c r="F21" s="1" t="s">
        <v>219</v>
      </c>
      <c r="G21" s="1" t="s">
        <v>80</v>
      </c>
      <c r="H21" s="1" t="s">
        <v>220</v>
      </c>
      <c r="I21" s="1" t="s">
        <v>67</v>
      </c>
      <c r="J21" s="1" t="s">
        <v>188</v>
      </c>
      <c r="K21" s="1" t="s">
        <v>189</v>
      </c>
      <c r="L21" s="1" t="s">
        <v>221</v>
      </c>
      <c r="M21" s="1" t="s">
        <v>71</v>
      </c>
      <c r="N21" s="1" t="s">
        <v>29</v>
      </c>
      <c r="O21" s="1" t="s">
        <v>169</v>
      </c>
      <c r="P21" s="1" t="s">
        <v>73</v>
      </c>
      <c r="Q21" s="1" t="s">
        <v>74</v>
      </c>
      <c r="R21" s="1" t="inlineStr">
        <is>
          <t xml:space="preserve">Ajustar</t>
        </is>
      </c>
      <c r="S21" s="8" t="inlineStr">
        <is>
          <t xml:space="preserve">Ajustar. No degradar todo vencimiento a revisión solo porque falte monto. Si fecha e identidad son confiables, se conserva Vencido y su base Urgente; se bloquea solo la escalada económica dependiente. Fecha/identidad contradictorias si exigen revisión.</t>
        </is>
      </c>
      <c r="T21" s="8"/>
      <c r="U21" s="1" t="inlineStr">
        <is>
          <t xml:space="preserve">M06-RGL-012; M06-RGL-013; M06-RGL-014; M06-RGL-015; M06-RGL-016; M06-RGL-029; M06-RGL-031; M06-RGL-032; M06-RGL-038; M06-RGL-039</t>
        </is>
      </c>
      <c r="V21" s="1" t="inlineStr">
        <is>
          <t xml:space="preserve">Walvy_M06_Documentacion_Funcional_Consolidada_v1.0.docx</t>
        </is>
      </c>
      <c r="W21" s="1" t="inlineStr">
        <is>
          <t xml:space="preserve">CT-M06-07; CT-M06-10</t>
        </is>
      </c>
    </row>
    <row r="22" spans="1:20" ht="190" customHeight="1">
      <c r="A22" s="1" t="s">
        <v>222</v>
      </c>
      <c r="B22" s="1" t="s">
        <v>223</v>
      </c>
      <c r="C22" s="1" t="s">
        <v>224</v>
      </c>
      <c r="D22" s="1" t="s">
        <v>225</v>
      </c>
      <c r="E22" s="1" t="s">
        <v>226</v>
      </c>
      <c r="F22" s="1" t="s">
        <v>227</v>
      </c>
      <c r="G22" s="1" t="s">
        <v>80</v>
      </c>
      <c r="H22" s="1" t="s">
        <v>228</v>
      </c>
      <c r="I22" s="1" t="s">
        <v>67</v>
      </c>
      <c r="J22" s="1" t="s">
        <v>229</v>
      </c>
      <c r="K22" s="1" t="s">
        <v>230</v>
      </c>
      <c r="L22" s="1" t="s">
        <v>231</v>
      </c>
      <c r="M22" s="1" t="s">
        <v>71</v>
      </c>
      <c r="N22" s="1" t="s">
        <v>29</v>
      </c>
      <c r="O22" s="1" t="s">
        <v>232</v>
      </c>
      <c r="P22" s="1" t="s">
        <v>73</v>
      </c>
      <c r="Q22" s="1" t="s">
        <v>74</v>
      </c>
      <c r="R22" s="1" t="inlineStr">
        <is>
          <t xml:space="preserve">Ajustar</t>
        </is>
      </c>
      <c r="S22" s="8" t="inlineStr">
        <is>
          <t xml:space="preserve">Ajustar. Separar pago completo de abono parcial. Total 100 y abono 30 dejan saldo 70 y no Pagado; varios abonos se acumulan una sola vez. Solo liquidacion suficiente cierra el pendiente. Manual/detectado/importado comparten el mismo lifecycle tras aceptacion.</t>
        </is>
      </c>
      <c r="T22" s="8"/>
      <c r="U22" s="1" t="inlineStr">
        <is>
          <t xml:space="preserve">M06-RGL-009; M06-RGL-010; M06-RGL-011; M06-RGL-017; M06-RGL-018; M06-RGL-019; M06-RGL-020; M06-RGL-021; M06-RGL-022; M06-RGL-024; M06-RGL-028; M06-RGL-029; M06-RGL-030; M06-RGL-031; M06-RGL-032; M06-RGL-033; M06-RGL-034; M06-RGL-041</t>
        </is>
      </c>
      <c r="V22" s="1" t="inlineStr">
        <is>
          <t xml:space="preserve">Walvy_M06_Documentacion_Funcional_Consolidada_v1.0.docx</t>
        </is>
      </c>
      <c r="W22" s="1" t="inlineStr">
        <is>
          <t xml:space="preserve">CT-M06-06; CT-M06-12; CT-M06-13; CT-M06-14</t>
        </is>
      </c>
    </row>
    <row r="23" spans="1:20" ht="190" customHeight="1">
      <c r="A23" s="1" t="s">
        <v>233</v>
      </c>
      <c r="B23" s="1" t="s">
        <v>223</v>
      </c>
      <c r="C23" s="1" t="s">
        <v>234</v>
      </c>
      <c r="D23" s="1" t="s">
        <v>235</v>
      </c>
      <c r="E23" s="1" t="s">
        <v>236</v>
      </c>
      <c r="F23" s="1" t="s">
        <v>237</v>
      </c>
      <c r="G23" s="1" t="s">
        <v>80</v>
      </c>
      <c r="H23" s="1" t="s">
        <v>238</v>
      </c>
      <c r="I23" s="1" t="s">
        <v>67</v>
      </c>
      <c r="J23" s="1" t="s">
        <v>117</v>
      </c>
      <c r="K23" s="1" t="s">
        <v>118</v>
      </c>
      <c r="L23" s="1" t="s">
        <v>239</v>
      </c>
      <c r="M23" s="1" t="s">
        <v>71</v>
      </c>
      <c r="N23" s="1" t="s">
        <v>29</v>
      </c>
      <c r="O23" s="1" t="s">
        <v>240</v>
      </c>
      <c r="P23" s="1" t="s">
        <v>73</v>
      </c>
      <c r="Q23" s="1" t="s">
        <v>74</v>
      </c>
      <c r="R23" s="1" t="inlineStr">
        <is>
          <t xml:space="preserve">Aprobado</t>
        </is>
      </c>
      <c r="S23" s="8" t="inlineStr">
        <is>
          <t xml:space="preserve">Aprobado. Se confirma pago probable en revisión hasta contar con validación o vinculo suficiente y autorizado. Confianza de extraccion no prueba pago. Al aceptar, completo/parcial, saldo y conciliación siguen el mismo dominio que el registro manual.</t>
        </is>
      </c>
      <c r="T23" s="8"/>
      <c r="U23" s="1" t="inlineStr">
        <is>
          <t xml:space="preserve">M06-RGL-007; M06-RGL-008; M06-RGL-009; M06-RGL-010; M06-RGL-011; M06-RGL-017; M06-RGL-018; M06-RGL-019; M06-RGL-020; M06-RGL-021; M06-RGL-022; M06-RGL-023; M06-RGL-024; M06-RGL-032; M06-RGL-033; M06-RGL-041</t>
        </is>
      </c>
      <c r="V23" s="1" t="inlineStr">
        <is>
          <t xml:space="preserve">Walvy_M06_Documentacion_Funcional_Consolidada_v1.0.docx</t>
        </is>
      </c>
      <c r="W23" s="1" t="inlineStr">
        <is>
          <t xml:space="preserve">CT-M06-05; CT-M06-06; CT-M06-12</t>
        </is>
      </c>
    </row>
    <row r="24" spans="1:20" ht="190" customHeight="1">
      <c r="A24" s="1" t="s">
        <v>241</v>
      </c>
      <c r="B24" s="1" t="s">
        <v>223</v>
      </c>
      <c r="C24" s="1" t="s">
        <v>242</v>
      </c>
      <c r="D24" s="1" t="s">
        <v>243</v>
      </c>
      <c r="E24" s="1" t="s">
        <v>244</v>
      </c>
      <c r="F24" s="1" t="s">
        <v>245</v>
      </c>
      <c r="G24" s="1" t="s">
        <v>80</v>
      </c>
      <c r="H24" s="1" t="s">
        <v>246</v>
      </c>
      <c r="I24" s="1" t="s">
        <v>67</v>
      </c>
      <c r="J24" s="1" t="s">
        <v>146</v>
      </c>
      <c r="K24" s="1" t="s">
        <v>147</v>
      </c>
      <c r="L24" s="1" t="s">
        <v>247</v>
      </c>
      <c r="M24" s="1" t="s">
        <v>71</v>
      </c>
      <c r="N24" s="1" t="s">
        <v>29</v>
      </c>
      <c r="O24" s="1" t="s">
        <v>248</v>
      </c>
      <c r="P24" s="1" t="s">
        <v>73</v>
      </c>
      <c r="Q24" s="1" t="s">
        <v>74</v>
      </c>
      <c r="R24" s="1" t="inlineStr">
        <is>
          <t xml:space="preserve">Aprobado</t>
        </is>
      </c>
      <c r="S24" s="8" t="inlineStr">
        <is>
          <t xml:space="preserve">Aprobado. Se confirma corregir el registro propio con version, motivo y origen conservados. Recalcular saldo, estado y señales; corregir un registro no borra el movimiento bancario real ni otros pagos. Historial mínimo segun lifecycle PD.</t>
        </is>
      </c>
      <c r="T24" s="8"/>
      <c r="U24" s="1" t="inlineStr">
        <is>
          <t xml:space="preserve">M06-RGL-004; M06-RGL-005; M06-RGL-007; M06-RGL-009; M06-RGL-010; M06-RGL-011; M06-RGL-017; M06-RGL-018; M06-RGL-019; M06-RGL-020; M06-RGL-021; M06-RGL-022; M06-RGL-024; M06-RGL-031; M06-RGL-041; M06-RGL-044</t>
        </is>
      </c>
      <c r="V24" s="1" t="inlineStr">
        <is>
          <t xml:space="preserve">Walvy_M06_Documentacion_Funcional_Consolidada_v1.0.docx</t>
        </is>
      </c>
      <c r="W24" s="1" t="inlineStr">
        <is>
          <t xml:space="preserve">CT-M06-06; CT-M06-13; CT-M06-16</t>
        </is>
      </c>
    </row>
    <row r="25" spans="1:20" ht="190" customHeight="1">
      <c r="A25" s="1" t="s">
        <v>249</v>
      </c>
      <c r="B25" s="1" t="s">
        <v>223</v>
      </c>
      <c r="C25" s="1" t="s">
        <v>250</v>
      </c>
      <c r="D25" s="1" t="s">
        <v>251</v>
      </c>
      <c r="E25" s="1" t="s">
        <v>252</v>
      </c>
      <c r="F25" s="1" t="s">
        <v>245</v>
      </c>
      <c r="G25" s="1" t="s">
        <v>80</v>
      </c>
      <c r="H25" s="1" t="s">
        <v>253</v>
      </c>
      <c r="I25" s="1" t="s">
        <v>67</v>
      </c>
      <c r="J25" s="1" t="s">
        <v>117</v>
      </c>
      <c r="K25" s="1" t="s">
        <v>118</v>
      </c>
      <c r="L25" s="1" t="s">
        <v>254</v>
      </c>
      <c r="M25" s="1" t="s">
        <v>71</v>
      </c>
      <c r="N25" s="1" t="s">
        <v>29</v>
      </c>
      <c r="O25" s="1" t="s">
        <v>248</v>
      </c>
      <c r="P25" s="1" t="s">
        <v>73</v>
      </c>
      <c r="Q25" s="1" t="s">
        <v>74</v>
      </c>
      <c r="R25" s="1" t="inlineStr">
        <is>
          <t xml:space="preserve">Ajustar</t>
        </is>
      </c>
      <c r="S25" s="8" t="inlineStr">
        <is>
          <t xml:space="preserve">Ajustar. Retirar Corregido como estado del compromiso: es acción/calidad, no otro enum canónico. Deshacer revierte solo el efecto propio y recalcula Pendiente/Próximo/Vencido o revisión con la fecha actual, sin restaurar un color guardado.</t>
        </is>
      </c>
      <c r="T25" s="8"/>
      <c r="U25" s="1" t="inlineStr">
        <is>
          <t xml:space="preserve">M06-RGL-002; M06-RGL-006; M06-RGL-008; M06-RGL-009; M06-RGL-012; M06-RGL-013; M06-RGL-014; M06-RGL-017; M06-RGL-018; M06-RGL-019; M06-RGL-020; M06-RGL-021; M06-RGL-022; M06-RGL-023; M06-RGL-024; M06-RGL-025; M06-RGL-038; M06-RGL-041</t>
        </is>
      </c>
      <c r="V25" s="1" t="inlineStr">
        <is>
          <t xml:space="preserve">Walvy_M06_Documentacion_Funcional_Consolidada_v1.0.docx</t>
        </is>
      </c>
      <c r="W25" s="1" t="inlineStr">
        <is>
          <t xml:space="preserve">CT-M06-02; CT-M06-06; CT-M06-07</t>
        </is>
      </c>
    </row>
    <row r="26" spans="1:20" ht="190" customHeight="1">
      <c r="A26" s="1" t="s">
        <v>255</v>
      </c>
      <c r="B26" s="1" t="s">
        <v>256</v>
      </c>
      <c r="C26" s="1" t="s">
        <v>257</v>
      </c>
      <c r="D26" s="1" t="s">
        <v>258</v>
      </c>
      <c r="E26" s="1" t="s">
        <v>259</v>
      </c>
      <c r="F26" s="1" t="s">
        <v>260</v>
      </c>
      <c r="G26" s="1" t="s">
        <v>125</v>
      </c>
      <c r="H26" s="1" t="s">
        <v>95</v>
      </c>
      <c r="I26" s="1" t="s">
        <v>67</v>
      </c>
      <c r="J26" s="1" t="s">
        <v>146</v>
      </c>
      <c r="K26" s="1" t="s">
        <v>147</v>
      </c>
      <c r="L26" s="1" t="s">
        <v>261</v>
      </c>
      <c r="M26" s="1" t="s">
        <v>71</v>
      </c>
      <c r="N26" s="1" t="s">
        <v>29</v>
      </c>
      <c r="O26" s="1" t="s">
        <v>262</v>
      </c>
      <c r="P26" s="1" t="s">
        <v>73</v>
      </c>
      <c r="Q26" s="1" t="s">
        <v>74</v>
      </c>
      <c r="R26" s="1" t="inlineStr">
        <is>
          <t xml:space="preserve">Aprobado</t>
        </is>
      </c>
      <c r="S26" s="8" t="inlineStr">
        <is>
          <t xml:space="preserve">Aprobado. Se confirma mostrar origen y referencia mínima explicativa. No convertirlos en comprobante bancario ni repositorio de originales. No solicitar ni persistir Número de cliente por medio de una referencia alternativa.</t>
        </is>
      </c>
      <c r="T26" s="8"/>
      <c r="U26" s="1" t="inlineStr">
        <is>
          <t xml:space="preserve">M06-RGL-004; M06-RGL-005; M06-RGL-007; M06-RGL-008; M06-RGL-009; M06-RGL-010; M06-RGL-011; M06-RGL-019; M06-RGL-020; M06-RGL-021; M06-RGL-022; M06-RGL-023; M06-RGL-024; M06-RGL-041; M06-RGL-044</t>
        </is>
      </c>
      <c r="V26" s="1" t="inlineStr">
        <is>
          <t xml:space="preserve">Walvy_M06_Documentacion_Funcional_Consolidada_v1.0.docx</t>
        </is>
      </c>
      <c r="W26" s="1" t="inlineStr">
        <is>
          <t xml:space="preserve">CT-M06-05; CT-M06-16</t>
        </is>
      </c>
    </row>
    <row r="27" spans="1:20" ht="190" customHeight="1">
      <c r="A27" s="1" t="s">
        <v>263</v>
      </c>
      <c r="B27" s="1" t="s">
        <v>256</v>
      </c>
      <c r="C27" s="1" t="s">
        <v>264</v>
      </c>
      <c r="D27" s="1" t="s">
        <v>265</v>
      </c>
      <c r="E27" s="1" t="s">
        <v>266</v>
      </c>
      <c r="F27" s="1" t="s">
        <v>260</v>
      </c>
      <c r="G27" s="1" t="s">
        <v>80</v>
      </c>
      <c r="H27" s="1" t="s">
        <v>267</v>
      </c>
      <c r="I27" s="1" t="s">
        <v>67</v>
      </c>
      <c r="J27" s="1" t="s">
        <v>117</v>
      </c>
      <c r="K27" s="1" t="s">
        <v>118</v>
      </c>
      <c r="L27" s="1" t="s">
        <v>268</v>
      </c>
      <c r="M27" s="1" t="s">
        <v>71</v>
      </c>
      <c r="N27" s="1" t="s">
        <v>29</v>
      </c>
      <c r="O27" s="1" t="s">
        <v>262</v>
      </c>
      <c r="P27" s="1" t="s">
        <v>73</v>
      </c>
      <c r="Q27" s="1" t="s">
        <v>74</v>
      </c>
      <c r="R27" s="1" t="inlineStr">
        <is>
          <t xml:space="preserve">Aprobado</t>
        </is>
      </c>
      <c r="S27" s="8" t="inlineStr">
        <is>
          <t xml:space="preserve">Aprobado. Se confirma proponer revisión/vinculo con los datos disponibles. Una coincidencia aislada o dato faltante no acredita identidad económica; mostrar diferencias y candidatos competidores. Solo decision explícita o referencia canónica validada vincula.</t>
        </is>
      </c>
      <c r="T27" s="8"/>
      <c r="U27" s="1" t="inlineStr">
        <is>
          <t xml:space="preserve">M06-RGL-007; M06-RGL-008; M06-RGL-009; M06-RGL-010; M06-RGL-011; M06-RGL-020; M06-RGL-021; M06-RGL-022; M06-RGL-023; M06-RGL-024</t>
        </is>
      </c>
      <c r="V27" s="1" t="inlineStr">
        <is>
          <t xml:space="preserve">Walvy_M06_Documentacion_Funcional_Consolidada_v1.0.docx</t>
        </is>
      </c>
      <c r="W27" s="1" t="inlineStr">
        <is>
          <t xml:space="preserve">CT-M06-05</t>
        </is>
      </c>
    </row>
    <row r="28" spans="1:20" ht="190" customHeight="1">
      <c r="A28" s="1" t="s">
        <v>269</v>
      </c>
      <c r="B28" s="1" t="s">
        <v>256</v>
      </c>
      <c r="C28" s="1" t="s">
        <v>270</v>
      </c>
      <c r="D28" s="1" t="s">
        <v>271</v>
      </c>
      <c r="E28" s="1" t="s">
        <v>272</v>
      </c>
      <c r="F28" s="1" t="s">
        <v>273</v>
      </c>
      <c r="G28" s="1" t="s">
        <v>80</v>
      </c>
      <c r="H28" s="1" t="s">
        <v>274</v>
      </c>
      <c r="I28" s="1" t="s">
        <v>67</v>
      </c>
      <c r="J28" s="1" t="s">
        <v>275</v>
      </c>
      <c r="K28" s="1" t="s">
        <v>276</v>
      </c>
      <c r="L28" s="1" t="s">
        <v>277</v>
      </c>
      <c r="M28" s="1" t="s">
        <v>71</v>
      </c>
      <c r="N28" s="1" t="s">
        <v>29</v>
      </c>
      <c r="O28" s="1" t="s">
        <v>278</v>
      </c>
      <c r="P28" s="1" t="s">
        <v>73</v>
      </c>
      <c r="Q28" s="1" t="s">
        <v>74</v>
      </c>
      <c r="R28" s="1" t="inlineStr">
        <is>
          <t xml:space="preserve">Aprobado</t>
        </is>
      </c>
      <c r="S28" s="8" t="inlineStr">
        <is>
          <t xml:space="preserve">Aprobado. Se confirma el error recuperable o revisión por fuente ilegible. Ofrecer reintento, reemplazo, retiro o ingreso manual, conservando insumos utilizables. Clave de apertura transitoria, nunca en payload, logs o persistencia M06.</t>
        </is>
      </c>
      <c r="T28" s="8"/>
      <c r="U28" s="1" t="inlineStr">
        <is>
          <t xml:space="preserve">M06-RGL-004; M06-RGL-005; M06-RGL-006; M06-RGL-007; M06-RGL-008; M06-RGL-019; M06-RGL-020; M06-RGL-040; M06-RGL-041; M06-RGL-044</t>
        </is>
      </c>
      <c r="V28" s="1" t="inlineStr">
        <is>
          <t xml:space="preserve">Walvy_M06_Documentacion_Funcional_Consolidada_v1.0.docx</t>
        </is>
      </c>
      <c r="W28" s="1" t="inlineStr">
        <is>
          <t xml:space="preserve">CT-M06-04; CT-M06-16</t>
        </is>
      </c>
    </row>
    <row r="29" spans="1:20" ht="190" customHeight="1">
      <c r="A29" s="1" t="s">
        <v>279</v>
      </c>
      <c r="B29" s="1" t="s">
        <v>256</v>
      </c>
      <c r="C29" s="1" t="s">
        <v>280</v>
      </c>
      <c r="D29" s="1" t="s">
        <v>281</v>
      </c>
      <c r="E29" s="1" t="s">
        <v>282</v>
      </c>
      <c r="F29" s="1" t="s">
        <v>283</v>
      </c>
      <c r="G29" s="1" t="s">
        <v>80</v>
      </c>
      <c r="H29" s="1" t="s">
        <v>284</v>
      </c>
      <c r="I29" s="1" t="s">
        <v>67</v>
      </c>
      <c r="J29" s="1" t="s">
        <v>188</v>
      </c>
      <c r="K29" s="1" t="s">
        <v>189</v>
      </c>
      <c r="L29" s="1" t="s">
        <v>285</v>
      </c>
      <c r="M29" s="1" t="s">
        <v>71</v>
      </c>
      <c r="N29" s="1" t="s">
        <v>29</v>
      </c>
      <c r="O29" s="1" t="s">
        <v>262</v>
      </c>
      <c r="P29" s="1" t="s">
        <v>73</v>
      </c>
      <c r="Q29" s="1" t="s">
        <v>74</v>
      </c>
      <c r="R29" s="1" t="inlineStr">
        <is>
          <t xml:space="preserve">Aprobado</t>
        </is>
      </c>
      <c r="S29" s="8" t="inlineStr">
        <is>
          <t xml:space="preserve">Aprobado. Se confirma revisar la contradicción antes de consolidar su efecto. Conservar linaje y último hecho confirmado; no sobrescribirlo con una deteccion ambigua. Resolver por corrección, descarte o vinculo autorizado.</t>
        </is>
      </c>
      <c r="T29" s="8"/>
      <c r="U29" s="1" t="inlineStr">
        <is>
          <t xml:space="preserve">M06-RGL-007; M06-RGL-008; M06-RGL-009; M06-RGL-010; M06-RGL-011; M06-RGL-017; M06-RGL-019; M06-RGL-020; M06-RGL-021; M06-RGL-022; M06-RGL-023; M06-RGL-024; M06-RGL-031</t>
        </is>
      </c>
      <c r="V29" s="1" t="inlineStr">
        <is>
          <t xml:space="preserve">Walvy_M06_Documentacion_Funcional_Consolidada_v1.0.docx</t>
        </is>
      </c>
      <c r="W29" s="1" t="inlineStr">
        <is>
          <t xml:space="preserve">CT-M06-05; CT-M06-13</t>
        </is>
      </c>
    </row>
    <row r="30" spans="1:20" ht="190" customHeight="1">
      <c r="A30" s="1" t="s">
        <v>286</v>
      </c>
      <c r="B30" s="1" t="s">
        <v>256</v>
      </c>
      <c r="C30" s="1" t="s">
        <v>287</v>
      </c>
      <c r="D30" s="1" t="s">
        <v>288</v>
      </c>
      <c r="E30" s="1" t="s">
        <v>289</v>
      </c>
      <c r="F30" s="1" t="s">
        <v>283</v>
      </c>
      <c r="G30" s="1" t="s">
        <v>80</v>
      </c>
      <c r="H30" s="1" t="s">
        <v>290</v>
      </c>
      <c r="I30" s="1" t="s">
        <v>67</v>
      </c>
      <c r="J30" s="1" t="s">
        <v>188</v>
      </c>
      <c r="K30" s="1" t="s">
        <v>189</v>
      </c>
      <c r="L30" s="1" t="s">
        <v>291</v>
      </c>
      <c r="M30" s="1" t="s">
        <v>71</v>
      </c>
      <c r="N30" s="1" t="s">
        <v>29</v>
      </c>
      <c r="O30" s="1" t="s">
        <v>292</v>
      </c>
      <c r="P30" s="1" t="s">
        <v>73</v>
      </c>
      <c r="Q30" s="1" t="s">
        <v>74</v>
      </c>
      <c r="R30" s="1" t="inlineStr">
        <is>
          <t xml:space="preserve">Aprobado</t>
        </is>
      </c>
      <c r="S30" s="8" t="inlineStr">
        <is>
          <t xml:space="preserve">Aprobado. Se confirma no marcar Pagado por defecto a partir de deteccion insuficiente. Una declaracion manual explícita de pago completo tiene tratamiento propio: puede registrar Pagado sin inventar monto ni gasto M05 cuantificado.</t>
        </is>
      </c>
      <c r="T30" s="8"/>
      <c r="U30" s="1" t="inlineStr">
        <is>
          <t xml:space="preserve">M06-RGL-007; M06-RGL-008; M06-RGL-009; M06-RGL-010; M06-RGL-011; M06-RGL-017; M06-RGL-018; M06-RGL-019; M06-RGL-020; M06-RGL-021; M06-RGL-022; M06-RGL-023; M06-RGL-024; M06-RGL-041</t>
        </is>
      </c>
      <c r="V30" s="1" t="inlineStr">
        <is>
          <t xml:space="preserve">Walvy_M06_Documentacion_Funcional_Consolidada_v1.0.docx</t>
        </is>
      </c>
      <c r="W30" s="1" t="inlineStr">
        <is>
          <t xml:space="preserve">CT-M06-05; CT-M06-06</t>
        </is>
      </c>
    </row>
    <row r="31" spans="1:20" ht="190" customHeight="1">
      <c r="A31" s="1" t="s">
        <v>293</v>
      </c>
      <c r="B31" s="1" t="s">
        <v>294</v>
      </c>
      <c r="C31" s="1" t="s">
        <v>295</v>
      </c>
      <c r="D31" s="1" t="s">
        <v>296</v>
      </c>
      <c r="E31" s="1" t="s">
        <v>297</v>
      </c>
      <c r="F31" s="1" t="s">
        <v>298</v>
      </c>
      <c r="G31" s="1" t="s">
        <v>125</v>
      </c>
      <c r="H31" s="1" t="s">
        <v>299</v>
      </c>
      <c r="I31" s="1" t="s">
        <v>67</v>
      </c>
      <c r="J31" s="1" t="s">
        <v>146</v>
      </c>
      <c r="K31" s="1" t="s">
        <v>147</v>
      </c>
      <c r="L31" s="1" t="s">
        <v>300</v>
      </c>
      <c r="M31" s="1" t="s">
        <v>71</v>
      </c>
      <c r="N31" s="1" t="s">
        <v>29</v>
      </c>
      <c r="O31" s="1" t="s">
        <v>301</v>
      </c>
      <c r="P31" s="1" t="s">
        <v>73</v>
      </c>
      <c r="Q31" s="1" t="s">
        <v>74</v>
      </c>
      <c r="R31" s="1" t="inlineStr">
        <is>
          <t xml:space="preserve">Aprobado</t>
        </is>
      </c>
      <c r="S31" s="8" t="inlineStr">
        <is>
          <t xml:space="preserve">Aprobado. Se confirma Duplicado probable sin fusion automática. La identidad técnica de un evento evita reintentos, pero no decide identidad económica. Ofrecer mismo pago, pagos distintos o descartar candidato.</t>
        </is>
      </c>
      <c r="T31" s="8"/>
      <c r="U31" s="1" t="inlineStr">
        <is>
          <t xml:space="preserve">M06-RGL-007; M06-RGL-008; M06-RGL-009; M06-RGL-010; M06-RGL-011; M06-RGL-020; M06-RGL-021; M06-RGL-022; M06-RGL-023; M06-RGL-024</t>
        </is>
      </c>
      <c r="V31" s="1" t="inlineStr">
        <is>
          <t xml:space="preserve">Walvy_M06_Documentacion_Funcional_Consolidada_v1.0.docx</t>
        </is>
      </c>
      <c r="W31" s="1" t="inlineStr">
        <is>
          <t xml:space="preserve">CT-M06-05</t>
        </is>
      </c>
    </row>
    <row r="32" spans="1:20" ht="190" customHeight="1">
      <c r="A32" s="1" t="s">
        <v>302</v>
      </c>
      <c r="B32" s="1" t="s">
        <v>294</v>
      </c>
      <c r="C32" s="1" t="s">
        <v>303</v>
      </c>
      <c r="D32" s="1" t="s">
        <v>304</v>
      </c>
      <c r="E32" s="1" t="s">
        <v>305</v>
      </c>
      <c r="F32" s="1" t="s">
        <v>298</v>
      </c>
      <c r="G32" s="1" t="s">
        <v>159</v>
      </c>
      <c r="H32" s="1" t="s">
        <v>306</v>
      </c>
      <c r="I32" s="1" t="s">
        <v>67</v>
      </c>
      <c r="J32" s="1" t="s">
        <v>117</v>
      </c>
      <c r="K32" s="1" t="s">
        <v>118</v>
      </c>
      <c r="L32" s="1" t="s">
        <v>307</v>
      </c>
      <c r="M32" s="1" t="s">
        <v>71</v>
      </c>
      <c r="N32" s="1" t="s">
        <v>29</v>
      </c>
      <c r="O32" s="1" t="s">
        <v>301</v>
      </c>
      <c r="P32" s="1" t="s">
        <v>73</v>
      </c>
      <c r="Q32" s="1" t="s">
        <v>74</v>
      </c>
      <c r="R32" s="1" t="inlineStr">
        <is>
          <t xml:space="preserve">Ajustar</t>
        </is>
      </c>
      <c r="S32" s="8" t="inlineStr">
        <is>
          <t xml:space="preserve">Ajustar. Conservar separados no fuerza Pendiente/Detectado. Cada objeto mantiene su naturaleza y, al consolidarse, se clasifica por datos y fecha vigente. No perder trazabilidad ni reinterpretar la decision como pago.</t>
        </is>
      </c>
      <c r="T32" s="8"/>
      <c r="U32" s="1" t="inlineStr">
        <is>
          <t xml:space="preserve">M06-RGL-007; M06-RGL-008; M06-RGL-009; M06-RGL-010; M06-RGL-011; M06-RGL-012; M06-RGL-013; M06-RGL-014; M06-RGL-020; M06-RGL-021; M06-RGL-022; M06-RGL-023; M06-RGL-024; M06-RGL-038</t>
        </is>
      </c>
      <c r="V32" s="1" t="inlineStr">
        <is>
          <t xml:space="preserve">Walvy_M06_Documentacion_Funcional_Consolidada_v1.0.docx</t>
        </is>
      </c>
      <c r="W32" s="1" t="inlineStr">
        <is>
          <t xml:space="preserve">CT-M06-05; CT-M06-07</t>
        </is>
      </c>
    </row>
    <row r="33" spans="1:20" ht="190" customHeight="1">
      <c r="A33" s="1" t="s">
        <v>308</v>
      </c>
      <c r="B33" s="1" t="s">
        <v>294</v>
      </c>
      <c r="C33" s="1" t="s">
        <v>309</v>
      </c>
      <c r="D33" s="1" t="s">
        <v>310</v>
      </c>
      <c r="E33" s="1" t="s">
        <v>311</v>
      </c>
      <c r="F33" s="1" t="s">
        <v>298</v>
      </c>
      <c r="G33" s="1" t="s">
        <v>159</v>
      </c>
      <c r="H33" s="1" t="s">
        <v>312</v>
      </c>
      <c r="I33" s="1" t="s">
        <v>67</v>
      </c>
      <c r="J33" s="1" t="s">
        <v>117</v>
      </c>
      <c r="K33" s="1" t="s">
        <v>118</v>
      </c>
      <c r="L33" s="1" t="s">
        <v>313</v>
      </c>
      <c r="M33" s="1" t="s">
        <v>71</v>
      </c>
      <c r="N33" s="1" t="s">
        <v>29</v>
      </c>
      <c r="O33" s="1" t="s">
        <v>301</v>
      </c>
      <c r="P33" s="1" t="s">
        <v>73</v>
      </c>
      <c r="Q33" s="1" t="s">
        <v>74</v>
      </c>
      <c r="R33" s="1" t="inlineStr">
        <is>
          <t xml:space="preserve">Aprobado</t>
        </is>
      </c>
      <c r="S33" s="8" t="inlineStr">
        <is>
          <t xml:space="preserve">Aprobado. Se confirma vincular al mismo hecho o descartar la propuesta elegida, con referencias de ambas fuentes. No borrar el pago real ni fusionar opacamente. Un reintento devuelve la misma resolucion sin doble efecto.</t>
        </is>
      </c>
      <c r="T33" s="8"/>
      <c r="U33" s="1" t="inlineStr">
        <is>
          <t xml:space="preserve">M06-RGL-007; M06-RGL-008; M06-RGL-009; M06-RGL-010; M06-RGL-011; M06-RGL-017; M06-RGL-019; M06-RGL-020; M06-RGL-021; M06-RGL-022; M06-RGL-023; M06-RGL-024; M06-RGL-031</t>
        </is>
      </c>
      <c r="V33" s="1" t="inlineStr">
        <is>
          <t xml:space="preserve">Walvy_M06_Documentacion_Funcional_Consolidada_v1.0.docx</t>
        </is>
      </c>
      <c r="W33" s="1" t="inlineStr">
        <is>
          <t xml:space="preserve">CT-M06-05; CT-M06-13</t>
        </is>
      </c>
    </row>
    <row r="34" spans="1:20" ht="190" customHeight="1">
      <c r="A34" s="1" t="s">
        <v>314</v>
      </c>
      <c r="B34" s="1" t="s">
        <v>315</v>
      </c>
      <c r="C34" s="1" t="s">
        <v>316</v>
      </c>
      <c r="D34" s="1" t="s">
        <v>317</v>
      </c>
      <c r="E34" s="1" t="s">
        <v>318</v>
      </c>
      <c r="F34" s="1" t="s">
        <v>319</v>
      </c>
      <c r="G34" s="1" t="s">
        <v>125</v>
      </c>
      <c r="H34" s="1" t="s">
        <v>320</v>
      </c>
      <c r="I34" s="1" t="s">
        <v>67</v>
      </c>
      <c r="J34" s="1" t="s">
        <v>146</v>
      </c>
      <c r="K34" s="1" t="s">
        <v>147</v>
      </c>
      <c r="L34" s="1" t="s">
        <v>321</v>
      </c>
      <c r="M34" s="1" t="s">
        <v>71</v>
      </c>
      <c r="N34" s="1" t="s">
        <v>29</v>
      </c>
      <c r="O34" s="1" t="s">
        <v>322</v>
      </c>
      <c r="P34" s="1" t="s">
        <v>73</v>
      </c>
      <c r="Q34" s="1" t="s">
        <v>74</v>
      </c>
      <c r="R34" s="1" t="inlineStr">
        <is>
          <t xml:space="preserve">Aprobado</t>
        </is>
      </c>
      <c r="S34" s="8" t="inlineStr">
        <is>
          <t xml:space="preserve">Aprobado. Se confirma recurrencia probable con evidencia de ocurrencias economicas distintas; no se promueve automaticamente a patrón confirmado. Conservar frecuencia, calidad y origen, y ofrecer confirmar o rechazar.</t>
        </is>
      </c>
      <c r="T34" s="8"/>
      <c r="U34" s="1" t="inlineStr">
        <is>
          <t xml:space="preserve">M06-RGL-025; M06-RGL-026; M06-RGL-027</t>
        </is>
      </c>
      <c r="V34" s="1" t="inlineStr">
        <is>
          <t xml:space="preserve">Walvy_M06_Documentacion_Funcional_Consolidada_v1.0.docx</t>
        </is>
      </c>
      <c r="W34" s="1" t="inlineStr">
        <is>
          <t xml:space="preserve">CT-M06-08</t>
        </is>
      </c>
    </row>
    <row r="35" spans="1:20" ht="190" customHeight="1">
      <c r="A35" s="1" t="s">
        <v>323</v>
      </c>
      <c r="B35" s="1" t="s">
        <v>315</v>
      </c>
      <c r="C35" s="1" t="s">
        <v>324</v>
      </c>
      <c r="D35" s="1" t="s">
        <v>325</v>
      </c>
      <c r="E35" s="1" t="s">
        <v>326</v>
      </c>
      <c r="F35" s="1" t="s">
        <v>319</v>
      </c>
      <c r="G35" s="1" t="s">
        <v>80</v>
      </c>
      <c r="H35" s="1" t="s">
        <v>327</v>
      </c>
      <c r="I35" s="1" t="s">
        <v>177</v>
      </c>
      <c r="J35" s="1" t="s">
        <v>117</v>
      </c>
      <c r="K35" s="1" t="s">
        <v>118</v>
      </c>
      <c r="L35" s="1" t="s">
        <v>328</v>
      </c>
      <c r="M35" s="1" t="s">
        <v>71</v>
      </c>
      <c r="N35" s="1" t="s">
        <v>29</v>
      </c>
      <c r="O35" s="1" t="s">
        <v>322</v>
      </c>
      <c r="P35" s="1" t="s">
        <v>73</v>
      </c>
      <c r="Q35" s="1" t="s">
        <v>74</v>
      </c>
      <c r="R35" s="1" t="inlineStr">
        <is>
          <t xml:space="preserve">Aprobado</t>
        </is>
      </c>
      <c r="S35" s="8" t="inlineStr">
        <is>
          <t xml:space="preserve">Aprobado. Se confirma el patrón, no un pago. Ancla conocida con día inexistente usa último día valido y conserva ancla original; ancla insuficiente exige Confirmar/Completar fecha. Generar solo período solicitado o proxima instancia necesaria, sin heredar Pagado.</t>
        </is>
      </c>
      <c r="T35" s="8" t="s">
        <v>329</v>
      </c>
      <c r="U35" s="1" t="inlineStr">
        <is>
          <t xml:space="preserve">M06-RGL-025; M06-RGL-026; M06-RGL-027</t>
        </is>
      </c>
      <c r="V35" s="1" t="inlineStr">
        <is>
          <t xml:space="preserve">Walvy_M06_Documentacion_Funcional_Consolidada_v1.0.docx</t>
        </is>
      </c>
      <c r="W35" s="1" t="inlineStr">
        <is>
          <t xml:space="preserve">CT-M06-08</t>
        </is>
      </c>
    </row>
    <row r="36" spans="1:20" ht="190" customHeight="1">
      <c r="A36" s="1" t="s">
        <v>330</v>
      </c>
      <c r="B36" s="1" t="s">
        <v>315</v>
      </c>
      <c r="C36" s="1" t="s">
        <v>331</v>
      </c>
      <c r="D36" s="1" t="s">
        <v>332</v>
      </c>
      <c r="E36" s="1" t="s">
        <v>333</v>
      </c>
      <c r="F36" s="1" t="s">
        <v>319</v>
      </c>
      <c r="G36" s="1" t="s">
        <v>115</v>
      </c>
      <c r="H36" s="1" t="s">
        <v>334</v>
      </c>
      <c r="I36" s="1" t="s">
        <v>67</v>
      </c>
      <c r="J36" s="1" t="s">
        <v>117</v>
      </c>
      <c r="K36" s="1" t="s">
        <v>118</v>
      </c>
      <c r="L36" s="1" t="s">
        <v>335</v>
      </c>
      <c r="M36" s="1" t="s">
        <v>71</v>
      </c>
      <c r="N36" s="1" t="s">
        <v>29</v>
      </c>
      <c r="O36" s="1" t="s">
        <v>322</v>
      </c>
      <c r="P36" s="1" t="s">
        <v>73</v>
      </c>
      <c r="Q36" s="1" t="s">
        <v>74</v>
      </c>
      <c r="R36" s="1" t="inlineStr">
        <is>
          <t xml:space="preserve">Aprobado</t>
        </is>
      </c>
      <c r="S36" s="8" t="inlineStr">
        <is>
          <t xml:space="preserve">Aprobado. Se confirma No es recurrente/Pago unico como rechazo del patrón, conservando la instancia puntual. No eliminar el compromiso ni repetir la sugerencia por reintento de la misma evidencia.</t>
        </is>
      </c>
      <c r="T36" s="8"/>
      <c r="U36" s="1" t="inlineStr">
        <is>
          <t xml:space="preserve">M06-RGL-007; M06-RGL-008; M06-RGL-009; M06-RGL-010; M06-RGL-011; M06-RGL-020; M06-RGL-021; M06-RGL-022; M06-RGL-023; M06-RGL-024; M06-RGL-025; M06-RGL-026; M06-RGL-027</t>
        </is>
      </c>
      <c r="V36" s="1" t="inlineStr">
        <is>
          <t xml:space="preserve">Walvy_M06_Documentacion_Funcional_Consolidada_v1.0.docx</t>
        </is>
      </c>
      <c r="W36" s="1" t="inlineStr">
        <is>
          <t xml:space="preserve">CT-M06-08; CT-M06-05</t>
        </is>
      </c>
    </row>
    <row r="37" spans="1:20" ht="190" customHeight="1">
      <c r="A37" s="1" t="s">
        <v>336</v>
      </c>
      <c r="B37" s="1" t="s">
        <v>315</v>
      </c>
      <c r="C37" s="1" t="s">
        <v>337</v>
      </c>
      <c r="D37" s="1" t="s">
        <v>338</v>
      </c>
      <c r="E37" s="1" t="s">
        <v>339</v>
      </c>
      <c r="F37" s="1" t="s">
        <v>340</v>
      </c>
      <c r="G37" s="1" t="s">
        <v>80</v>
      </c>
      <c r="H37" s="1" t="s">
        <v>341</v>
      </c>
      <c r="I37" s="1" t="s">
        <v>67</v>
      </c>
      <c r="J37" s="1" t="s">
        <v>188</v>
      </c>
      <c r="K37" s="1" t="s">
        <v>189</v>
      </c>
      <c r="L37" s="1" t="s">
        <v>342</v>
      </c>
      <c r="M37" s="1" t="s">
        <v>71</v>
      </c>
      <c r="N37" s="1" t="s">
        <v>29</v>
      </c>
      <c r="O37" s="1" t="s">
        <v>343</v>
      </c>
      <c r="P37" s="1" t="s">
        <v>73</v>
      </c>
      <c r="Q37" s="1" t="s">
        <v>74</v>
      </c>
      <c r="R37" s="1" t="inlineStr">
        <is>
          <t xml:space="preserve">Aprobado</t>
        </is>
      </c>
      <c r="S37" s="8" t="inlineStr">
        <is>
          <t xml:space="preserve">Aprobado. Se confirma revisión del patrón de baja confianza sin futuros definitivos. Sin ancla exacta suficiente no inventar fin de mes, proximidad ni aging. Distinguir fecha desconocida de ajuste calendario sobre ancla conocida.</t>
        </is>
      </c>
      <c r="T37" s="8"/>
      <c r="U37" s="1" t="inlineStr">
        <is>
          <t xml:space="preserve">M06-RGL-012; M06-RGL-013; M06-RGL-014; M06-RGL-025; M06-RGL-026; M06-RGL-027; M06-RGL-038</t>
        </is>
      </c>
      <c r="V37" s="1" t="inlineStr">
        <is>
          <t xml:space="preserve">Walvy_M06_Documentacion_Funcional_Consolidada_v1.0.docx</t>
        </is>
      </c>
      <c r="W37" s="1" t="inlineStr">
        <is>
          <t xml:space="preserve">CT-M06-08; CT-M06-07</t>
        </is>
      </c>
    </row>
    <row r="38" spans="1:20" ht="190" customHeight="1">
      <c r="A38" s="1" t="s">
        <v>344</v>
      </c>
      <c r="B38" s="1" t="s">
        <v>345</v>
      </c>
      <c r="C38" s="1" t="s">
        <v>346</v>
      </c>
      <c r="D38" s="1" t="s">
        <v>347</v>
      </c>
      <c r="E38" s="1" t="s">
        <v>348</v>
      </c>
      <c r="F38" s="1" t="s">
        <v>349</v>
      </c>
      <c r="G38" s="1" t="s">
        <v>80</v>
      </c>
      <c r="H38" s="1" t="s">
        <v>350</v>
      </c>
      <c r="I38" s="1" t="s">
        <v>67</v>
      </c>
      <c r="J38" s="1" t="s">
        <v>188</v>
      </c>
      <c r="K38" s="1" t="s">
        <v>189</v>
      </c>
      <c r="L38" s="1" t="s">
        <v>351</v>
      </c>
      <c r="M38" s="1" t="s">
        <v>71</v>
      </c>
      <c r="N38" s="1" t="s">
        <v>29</v>
      </c>
      <c r="O38" s="1" t="s">
        <v>85</v>
      </c>
      <c r="P38" s="1" t="s">
        <v>73</v>
      </c>
      <c r="Q38" s="1" t="s">
        <v>74</v>
      </c>
      <c r="R38" s="1" t="inlineStr">
        <is>
          <t xml:space="preserve">Aprobado</t>
        </is>
      </c>
      <c r="S38" s="8" t="inlineStr">
        <is>
          <t xml:space="preserve">Aprobado. Se confirma el aviso automático de Próximo bajo AVI-M06-005. M06 produce la situación; M03 arbitra y M02 aplica permiso, canal y cadencia. No hay interruptor local Activar alerta ni recordatorio individual adicional en MVP.</t>
        </is>
      </c>
      <c r="T38" s="8" t="s">
        <v>352</v>
      </c>
      <c r="U38" s="1" t="inlineStr">
        <is>
          <t xml:space="preserve">M06-RGL-012; M06-RGL-013; M06-RGL-014; M06-RGL-018; M06-RGL-019; M06-RGL-028; M06-RGL-029; M06-RGL-030; M06-RGL-034; M06-RGL-038</t>
        </is>
      </c>
      <c r="V38" s="1" t="inlineStr">
        <is>
          <t xml:space="preserve">Walvy_M06_Documentacion_Funcional_Consolidada_v1.0.docx</t>
        </is>
      </c>
      <c r="W38" s="1" t="inlineStr">
        <is>
          <t xml:space="preserve">CT-M06-14; CT-M06-07</t>
        </is>
      </c>
    </row>
    <row r="39" spans="1:20" ht="190" customHeight="1">
      <c r="A39" s="1" t="s">
        <v>353</v>
      </c>
      <c r="B39" s="1" t="s">
        <v>345</v>
      </c>
      <c r="C39" s="1" t="s">
        <v>354</v>
      </c>
      <c r="D39" s="1" t="s">
        <v>355</v>
      </c>
      <c r="E39" s="1" t="s">
        <v>356</v>
      </c>
      <c r="F39" s="1" t="s">
        <v>349</v>
      </c>
      <c r="G39" s="1" t="s">
        <v>80</v>
      </c>
      <c r="H39" s="1" t="s">
        <v>357</v>
      </c>
      <c r="I39" s="1" t="s">
        <v>67</v>
      </c>
      <c r="J39" s="1" t="s">
        <v>188</v>
      </c>
      <c r="K39" s="1" t="s">
        <v>189</v>
      </c>
      <c r="L39" s="1" t="s">
        <v>358</v>
      </c>
      <c r="M39" s="1" t="s">
        <v>71</v>
      </c>
      <c r="N39" s="1" t="s">
        <v>29</v>
      </c>
      <c r="O39" s="1" t="s">
        <v>85</v>
      </c>
      <c r="P39" s="1" t="s">
        <v>73</v>
      </c>
      <c r="Q39" s="1" t="s">
        <v>74</v>
      </c>
      <c r="R39" s="1" t="inlineStr">
        <is>
          <t xml:space="preserve">Aprobado</t>
        </is>
      </c>
      <c r="S39" s="8" t="inlineStr">
        <is>
          <t xml:space="preserve">Aprobado. Se confirma aviso de Vencido con acción segura y condición vigente antes de entrega. Un abono parcial no lo resuelve si persiste el saldo/condición. 007 sustituye 006 solo con criticidad confiable; no duplicar comunicaciones.</t>
        </is>
      </c>
      <c r="T39" s="8"/>
      <c r="U39" s="1" t="inlineStr">
        <is>
          <t xml:space="preserve">M06-RGL-017; M06-RGL-018; M06-RGL-019; M06-RGL-020; M06-RGL-021; M06-RGL-022; M06-RGL-024; M06-RGL-028; M06-RGL-029; M06-RGL-030; M06-RGL-034; M06-RGL-041</t>
        </is>
      </c>
      <c r="V39" s="1" t="inlineStr">
        <is>
          <t xml:space="preserve">Walvy_M06_Documentacion_Funcional_Consolidada_v1.0.docx</t>
        </is>
      </c>
      <c r="W39" s="1" t="inlineStr">
        <is>
          <t xml:space="preserve">CT-M06-14; CT-M06-06</t>
        </is>
      </c>
    </row>
    <row r="40" spans="1:20" ht="190" customHeight="1">
      <c r="A40" s="1" t="s">
        <v>359</v>
      </c>
      <c r="B40" s="1" t="s">
        <v>345</v>
      </c>
      <c r="C40" s="1" t="s">
        <v>360</v>
      </c>
      <c r="D40" s="1" t="s">
        <v>361</v>
      </c>
      <c r="E40" s="1" t="s">
        <v>362</v>
      </c>
      <c r="F40" s="1" t="s">
        <v>363</v>
      </c>
      <c r="G40" s="1" t="s">
        <v>115</v>
      </c>
      <c r="H40" s="1" t="s">
        <v>364</v>
      </c>
      <c r="I40" s="1" t="s">
        <v>67</v>
      </c>
      <c r="J40" s="1" t="s">
        <v>188</v>
      </c>
      <c r="K40" s="1" t="s">
        <v>189</v>
      </c>
      <c r="L40" s="1" t="s">
        <v>365</v>
      </c>
      <c r="M40" s="1" t="s">
        <v>71</v>
      </c>
      <c r="N40" s="1" t="s">
        <v>29</v>
      </c>
      <c r="O40" s="1" t="s">
        <v>169</v>
      </c>
      <c r="P40" s="1" t="s">
        <v>73</v>
      </c>
      <c r="Q40" s="1" t="s">
        <v>74</v>
      </c>
      <c r="R40" s="1" t="inlineStr">
        <is>
          <t xml:space="preserve">Aprobado</t>
        </is>
      </c>
      <c r="S40" s="8" t="inlineStr">
        <is>
          <t xml:space="preserve">Aprobado. Se confirma aviso de revisión por faltantes, sin urgencia artificial. Orientar al dato necesario y permitir borrador/descartar segun objeto. No crear otro aviso si la misma necesidad/acción ya esta resuelta por un bloque visible equivalente.</t>
        </is>
      </c>
      <c r="T40" s="8"/>
      <c r="U40" s="1" t="inlineStr">
        <is>
          <t xml:space="preserve">M06-RGL-002; M06-RGL-003; M06-RGL-004; M06-RGL-005; M06-RGL-018; M06-RGL-019; M06-RGL-028; M06-RGL-029; M06-RGL-030; M06-RGL-034; M06-RGL-044</t>
        </is>
      </c>
      <c r="V40" s="1" t="inlineStr">
        <is>
          <t xml:space="preserve">Walvy_M06_Documentacion_Funcional_Consolidada_v1.0.docx</t>
        </is>
      </c>
      <c r="W40" s="1" t="inlineStr">
        <is>
          <t xml:space="preserve">CT-M06-14; CT-M06-03</t>
        </is>
      </c>
    </row>
    <row r="41" spans="1:20" ht="190" customHeight="1">
      <c r="A41" s="1" t="s">
        <v>366</v>
      </c>
      <c r="B41" s="1" t="s">
        <v>345</v>
      </c>
      <c r="C41" s="1" t="s">
        <v>367</v>
      </c>
      <c r="D41" s="1" t="s">
        <v>368</v>
      </c>
      <c r="E41" s="1" t="s">
        <v>369</v>
      </c>
      <c r="F41" s="1" t="s">
        <v>370</v>
      </c>
      <c r="G41" s="1" t="s">
        <v>80</v>
      </c>
      <c r="H41" s="1" t="s">
        <v>371</v>
      </c>
      <c r="I41" s="1" t="s">
        <v>67</v>
      </c>
      <c r="J41" s="1" t="s">
        <v>188</v>
      </c>
      <c r="K41" s="1" t="s">
        <v>189</v>
      </c>
      <c r="L41" s="1" t="s">
        <v>372</v>
      </c>
      <c r="M41" s="1" t="s">
        <v>71</v>
      </c>
      <c r="N41" s="1" t="s">
        <v>29</v>
      </c>
      <c r="O41" s="1" t="s">
        <v>322</v>
      </c>
      <c r="P41" s="1" t="s">
        <v>73</v>
      </c>
      <c r="Q41" s="1" t="s">
        <v>74</v>
      </c>
      <c r="R41" s="1" t="inlineStr">
        <is>
          <t xml:space="preserve">Aprobado</t>
        </is>
      </c>
      <c r="S41" s="8" t="inlineStr">
        <is>
          <t xml:space="preserve">Aprobado. Se confirma solicitud de confirmación o rechazo. AVI-M06-014 es contexto de 009, no aviso independiente; confirmar recurrencia no confirma pago ni resuelve por si solo una fecha todavia insuficiente.</t>
        </is>
      </c>
      <c r="T41" s="8"/>
      <c r="U41" s="1" t="inlineStr">
        <is>
          <t xml:space="preserve">M06-RGL-018; M06-RGL-019; M06-RGL-025; M06-RGL-026; M06-RGL-027; M06-RGL-028; M06-RGL-029; M06-RGL-030; M06-RGL-034</t>
        </is>
      </c>
      <c r="V41" s="1" t="inlineStr">
        <is>
          <t xml:space="preserve">Walvy_M06_Documentacion_Funcional_Consolidada_v1.0.docx</t>
        </is>
      </c>
      <c r="W41" s="1" t="inlineStr">
        <is>
          <t xml:space="preserve">CT-M06-08; CT-M06-14</t>
        </is>
      </c>
    </row>
    <row r="42" spans="1:20" ht="190" customHeight="1">
      <c r="A42" s="1" t="s">
        <v>373</v>
      </c>
      <c r="B42" s="1" t="s">
        <v>374</v>
      </c>
      <c r="C42" s="1" t="s">
        <v>375</v>
      </c>
      <c r="D42" s="1" t="s">
        <v>376</v>
      </c>
      <c r="E42" s="1" t="s">
        <v>377</v>
      </c>
      <c r="F42" s="1" t="s">
        <v>378</v>
      </c>
      <c r="G42" s="1" t="s">
        <v>80</v>
      </c>
      <c r="H42" s="1" t="s">
        <v>379</v>
      </c>
      <c r="I42" s="1" t="s">
        <v>67</v>
      </c>
      <c r="J42" s="1" t="s">
        <v>205</v>
      </c>
      <c r="K42" s="1" t="s">
        <v>206</v>
      </c>
      <c r="L42" s="1" t="s">
        <v>380</v>
      </c>
      <c r="M42" s="1" t="s">
        <v>71</v>
      </c>
      <c r="N42" s="1" t="s">
        <v>29</v>
      </c>
      <c r="O42" s="1"/>
      <c r="P42" s="1"/>
      <c r="Q42" s="1" t="s">
        <v>381</v>
      </c>
      <c r="R42" s="1" t="inlineStr">
        <is>
          <t xml:space="preserve">Aprobado</t>
        </is>
      </c>
      <c r="S42" s="8" t="inlineStr">
        <is>
          <t xml:space="preserve">Aprobado. Se confirma recomendacion informativa gobernada por hechos, calidad y acción segura. No ejecutar pagos, activar Ruta, prometer resultados ni asesorar productos financieros; el modulo owner conserva su decision.</t>
        </is>
      </c>
      <c r="T42" s="8"/>
      <c r="U42" s="1" t="inlineStr">
        <is>
          <t xml:space="preserve">M06-RGL-001; M06-RGL-014; M06-RGL-015; M06-RGL-016; M06-RGL-018; M06-RGL-019; M06-RGL-028; M06-RGL-029; M06-RGL-030; M06-RGL-031; M06-RGL-032; M06-RGL-033; M06-RGL-034; M06-RGL-039</t>
        </is>
      </c>
      <c r="V42" s="1" t="inlineStr">
        <is>
          <t xml:space="preserve">Walvy_M06_Documentacion_Funcional_Consolidada_v1.0.docx</t>
        </is>
      </c>
      <c r="W42" s="1" t="inlineStr">
        <is>
          <t xml:space="preserve">CT-M06-01; CT-M06-10; CT-M06-14</t>
        </is>
      </c>
    </row>
    <row r="43" spans="1:20" ht="190" customHeight="1">
      <c r="A43" s="1" t="s">
        <v>382</v>
      </c>
      <c r="B43" s="1" t="s">
        <v>383</v>
      </c>
      <c r="C43" s="1" t="s">
        <v>384</v>
      </c>
      <c r="D43" s="1" t="s">
        <v>385</v>
      </c>
      <c r="E43" s="1" t="s">
        <v>386</v>
      </c>
      <c r="F43" s="1" t="s">
        <v>387</v>
      </c>
      <c r="G43" s="1" t="s">
        <v>80</v>
      </c>
      <c r="H43" s="1" t="s">
        <v>388</v>
      </c>
      <c r="I43" s="1" t="s">
        <v>67</v>
      </c>
      <c r="J43" s="1" t="s">
        <v>205</v>
      </c>
      <c r="K43" s="1" t="s">
        <v>206</v>
      </c>
      <c r="L43" s="1" t="s">
        <v>389</v>
      </c>
      <c r="M43" s="1" t="s">
        <v>71</v>
      </c>
      <c r="N43" s="1" t="s">
        <v>29</v>
      </c>
      <c r="O43" s="1" t="s">
        <v>85</v>
      </c>
      <c r="P43" s="1" t="s">
        <v>73</v>
      </c>
      <c r="Q43" s="1" t="s">
        <v>74</v>
      </c>
      <c r="R43" s="1" t="inlineStr">
        <is>
          <t xml:space="preserve">Aprobado</t>
        </is>
      </c>
      <c r="S43" s="8" t="inlineStr">
        <is>
          <t xml:space="preserve">Aprobado. Se confirma señal candidata hacia Home de un vencido pertinente, con motivo, severidad local, vigencia y CTA. M03 decide prioridad y superficie global; no convertir Home en panel M06 ni afirmar cierre visual pendiente.</t>
        </is>
      </c>
      <c r="T43" s="8" t="s">
        <v>390</v>
      </c>
      <c r="U43" s="1" t="inlineStr">
        <is>
          <t xml:space="preserve">M06-RGL-014; M06-RGL-015; M06-RGL-016; M06-RGL-018; M06-RGL-019; M06-RGL-028; M06-RGL-029; M06-RGL-030; M06-RGL-031; M06-RGL-032; M06-RGL-033; M06-RGL-034; M06-RGL-039; M06-RGL-042; M06-RGL-043</t>
        </is>
      </c>
      <c r="V43" s="1" t="inlineStr">
        <is>
          <t xml:space="preserve">Walvy_M06_Documentacion_Funcional_Consolidada_v1.0.docx</t>
        </is>
      </c>
      <c r="W43" s="1" t="inlineStr">
        <is>
          <t xml:space="preserve">CT-M06-10; CT-M06-14; CT-M06-15</t>
        </is>
      </c>
    </row>
    <row r="44" spans="1:20" ht="190" customHeight="1">
      <c r="A44" s="1" t="s">
        <v>391</v>
      </c>
      <c r="B44" s="1" t="s">
        <v>383</v>
      </c>
      <c r="C44" s="1" t="s">
        <v>392</v>
      </c>
      <c r="D44" s="1" t="s">
        <v>393</v>
      </c>
      <c r="E44" s="1" t="s">
        <v>394</v>
      </c>
      <c r="F44" s="1" t="s">
        <v>387</v>
      </c>
      <c r="G44" s="1" t="s">
        <v>80</v>
      </c>
      <c r="H44" s="1" t="s">
        <v>395</v>
      </c>
      <c r="I44" s="1" t="s">
        <v>67</v>
      </c>
      <c r="J44" s="1" t="s">
        <v>205</v>
      </c>
      <c r="K44" s="1" t="s">
        <v>206</v>
      </c>
      <c r="L44" s="1" t="s">
        <v>396</v>
      </c>
      <c r="M44" s="1" t="s">
        <v>71</v>
      </c>
      <c r="N44" s="1" t="s">
        <v>29</v>
      </c>
      <c r="O44" s="1"/>
      <c r="P44" s="1"/>
      <c r="Q44" s="1" t="s">
        <v>381</v>
      </c>
      <c r="R44" s="1" t="inlineStr">
        <is>
          <t xml:space="preserve">Ajustar</t>
        </is>
      </c>
      <c r="S44" s="8" t="inlineStr">
        <is>
          <t xml:space="preserve">Ajustar. La señal de Próximo se apoya en Atención o Urgente conforme al contrato; no crear Próximo Crítica por analogia. Ratio &gt;=90% o deterioro pertinente permiten Urgente con calidad suficiente; Home recibe candidata, no ganador impuesto.</t>
        </is>
      </c>
      <c r="T44" s="8" t="s">
        <v>390</v>
      </c>
      <c r="U44" s="1" t="inlineStr">
        <is>
          <t xml:space="preserve">M06-RGL-014; M06-RGL-015; M06-RGL-016; M06-RGL-029; M06-RGL-030; M06-RGL-031; M06-RGL-032; M06-RGL-033; M06-RGL-034; M06-RGL-039; M06-RGL-042; M06-RGL-043</t>
        </is>
      </c>
      <c r="V44" s="1" t="inlineStr">
        <is>
          <t xml:space="preserve">Walvy_M06_Documentacion_Funcional_Consolidada_v1.0.docx</t>
        </is>
      </c>
      <c r="W44" s="1" t="inlineStr">
        <is>
          <t xml:space="preserve">CT-M06-10; CT-M06-15</t>
        </is>
      </c>
    </row>
    <row r="45" spans="1:20" ht="190" customHeight="1">
      <c r="A45" s="1" t="s">
        <v>397</v>
      </c>
      <c r="B45" s="1" t="s">
        <v>383</v>
      </c>
      <c r="C45" s="1" t="s">
        <v>398</v>
      </c>
      <c r="D45" s="1" t="s">
        <v>399</v>
      </c>
      <c r="E45" s="1" t="s">
        <v>400</v>
      </c>
      <c r="F45" s="1" t="s">
        <v>401</v>
      </c>
      <c r="G45" s="1" t="s">
        <v>80</v>
      </c>
      <c r="H45" s="1" t="s">
        <v>402</v>
      </c>
      <c r="I45" s="1" t="s">
        <v>67</v>
      </c>
      <c r="J45" s="1" t="s">
        <v>178</v>
      </c>
      <c r="K45" s="1" t="s">
        <v>179</v>
      </c>
      <c r="L45" s="1" t="s">
        <v>403</v>
      </c>
      <c r="M45" s="1" t="s">
        <v>71</v>
      </c>
      <c r="N45" s="1" t="s">
        <v>29</v>
      </c>
      <c r="O45" s="1"/>
      <c r="P45" s="1"/>
      <c r="Q45" s="1" t="s">
        <v>381</v>
      </c>
      <c r="R45" s="1" t="inlineStr">
        <is>
          <t xml:space="preserve">Aprobado</t>
        </is>
      </c>
      <c r="S45" s="8" t="inlineStr">
        <is>
          <t xml:space="preserve">Aprobado. Se confirma señal de revisión por baja confianza material, sin aparentar certeza ni urgencia financiera. M03 decide exposicion; el usuario vuelve al dato M06 pendiente. 003/004 no habilitan canal externo hasta resolver su dependencia M03/M02.</t>
        </is>
      </c>
      <c r="T45" s="8" t="s">
        <v>390</v>
      </c>
      <c r="U45" s="1" t="inlineStr">
        <is>
          <t xml:space="preserve">M06-RGL-018; M06-RGL-019; M06-RGL-028; M06-RGL-029; M06-RGL-030; M06-RGL-031; M06-RGL-032; M06-RGL-033; M06-RGL-034; M06-RGL-042; M06-RGL-043</t>
        </is>
      </c>
      <c r="V45" s="1" t="inlineStr">
        <is>
          <t xml:space="preserve">Walvy_M06_Documentacion_Funcional_Consolidada_v1.0.docx</t>
        </is>
      </c>
      <c r="W45" s="1" t="inlineStr">
        <is>
          <t xml:space="preserve">CT-M06-15; CT-M06-14</t>
        </is>
      </c>
    </row>
    <row r="46" spans="1:20" ht="190" customHeight="1">
      <c r="A46" s="1" t="s">
        <v>404</v>
      </c>
      <c r="B46" s="1" t="s">
        <v>405</v>
      </c>
      <c r="C46" s="1" t="s">
        <v>406</v>
      </c>
      <c r="D46" s="1" t="s">
        <v>407</v>
      </c>
      <c r="E46" s="1" t="s">
        <v>408</v>
      </c>
      <c r="F46" s="1" t="s">
        <v>387</v>
      </c>
      <c r="G46" s="1" t="s">
        <v>80</v>
      </c>
      <c r="H46" s="1" t="s">
        <v>409</v>
      </c>
      <c r="I46" s="1" t="s">
        <v>67</v>
      </c>
      <c r="J46" s="1" t="s">
        <v>205</v>
      </c>
      <c r="K46" s="1" t="s">
        <v>206</v>
      </c>
      <c r="L46" s="1" t="s">
        <v>410</v>
      </c>
      <c r="M46" s="1" t="s">
        <v>71</v>
      </c>
      <c r="N46" s="1" t="s">
        <v>29</v>
      </c>
      <c r="O46" s="1" t="s">
        <v>85</v>
      </c>
      <c r="P46" s="1" t="s">
        <v>73</v>
      </c>
      <c r="Q46" s="1" t="s">
        <v>74</v>
      </c>
      <c r="R46" s="1" t="inlineStr">
        <is>
          <t xml:space="preserve">Aprobado</t>
        </is>
      </c>
      <c r="S46" s="8" t="inlineStr">
        <is>
          <t xml:space="preserve">Aprobado. Se confirma señal de expectativa/impacto a M05, con período, calidad y vinculo. M05 aplica sus reglas; M06 no reasigna presupuesto. La misma obligacion no contribuye simultaneamente como pendiente y gasto ejecutado.</t>
        </is>
      </c>
      <c r="T46" s="8"/>
      <c r="U46" s="1" t="inlineStr">
        <is>
          <t xml:space="preserve">M06-RGL-009; M06-RGL-010; M06-RGL-011; M06-RGL-017; M06-RGL-019; M06-RGL-021; M06-RGL-024; M06-RGL-030; M06-RGL-031; M06-RGL-032; M06-RGL-033; M06-RGL-034; M06-RGL-042; M06-RGL-043</t>
        </is>
      </c>
      <c r="V46" s="1" t="inlineStr">
        <is>
          <t xml:space="preserve">Walvy_M06_Documentacion_Funcional_Consolidada_v1.0.docx</t>
        </is>
      </c>
      <c r="W46" s="1" t="inlineStr">
        <is>
          <t xml:space="preserve">CT-M06-13; CT-M06-15</t>
        </is>
      </c>
    </row>
    <row r="47" spans="1:20" ht="190" customHeight="1">
      <c r="A47" s="1" t="s">
        <v>411</v>
      </c>
      <c r="B47" s="1" t="s">
        <v>405</v>
      </c>
      <c r="C47" s="1" t="s">
        <v>412</v>
      </c>
      <c r="D47" s="1" t="s">
        <v>413</v>
      </c>
      <c r="E47" s="1" t="s">
        <v>414</v>
      </c>
      <c r="F47" s="1" t="s">
        <v>387</v>
      </c>
      <c r="G47" s="1" t="s">
        <v>125</v>
      </c>
      <c r="H47" s="1" t="s">
        <v>415</v>
      </c>
      <c r="I47" s="1" t="s">
        <v>67</v>
      </c>
      <c r="J47" s="1" t="s">
        <v>127</v>
      </c>
      <c r="K47" s="1" t="s">
        <v>128</v>
      </c>
      <c r="L47" s="1" t="s">
        <v>416</v>
      </c>
      <c r="M47" s="1" t="s">
        <v>71</v>
      </c>
      <c r="N47" s="1" t="s">
        <v>29</v>
      </c>
      <c r="O47" s="1"/>
      <c r="P47" s="1"/>
      <c r="Q47" s="1" t="s">
        <v>381</v>
      </c>
      <c r="R47" s="1" t="inlineStr">
        <is>
          <t xml:space="preserve">Aprobado</t>
        </is>
      </c>
      <c r="S47" s="8" t="inlineStr">
        <is>
          <t xml:space="preserve">Aprobado. Se confirma propagacion del pago a M05 mediante link/provisional/no-op/revisión segun identidad y naturaleza. Pago de cartola TC no crea otro gasto; importacion posterior sustituye provisional sin duplicar efecto.</t>
        </is>
      </c>
      <c r="T47" s="8"/>
      <c r="U47" s="1" t="inlineStr">
        <is>
          <t xml:space="preserve">M06-RGL-007; M06-RGL-009; M06-RGL-010; M06-RGL-011; M06-RGL-017; M06-RGL-019; M06-RGL-020; M06-RGL-021; M06-RGL-024; M06-RGL-031; M06-RGL-032; M06-RGL-033</t>
        </is>
      </c>
      <c r="V47" s="1" t="inlineStr">
        <is>
          <t xml:space="preserve">Walvy_M06_Documentacion_Funcional_Consolidada_v1.0.docx</t>
        </is>
      </c>
      <c r="W47" s="1" t="inlineStr">
        <is>
          <t xml:space="preserve">CT-M06-11; CT-M06-13</t>
        </is>
      </c>
    </row>
    <row r="48" spans="1:20" ht="190" customHeight="1">
      <c r="A48" s="1" t="s">
        <v>417</v>
      </c>
      <c r="B48" s="1" t="s">
        <v>405</v>
      </c>
      <c r="C48" s="1" t="s">
        <v>418</v>
      </c>
      <c r="D48" s="1" t="s">
        <v>419</v>
      </c>
      <c r="E48" s="1" t="s">
        <v>420</v>
      </c>
      <c r="F48" s="1" t="s">
        <v>421</v>
      </c>
      <c r="G48" s="1" t="s">
        <v>80</v>
      </c>
      <c r="H48" s="1" t="s">
        <v>422</v>
      </c>
      <c r="I48" s="1" t="s">
        <v>423</v>
      </c>
      <c r="J48" s="1" t="s">
        <v>127</v>
      </c>
      <c r="K48" s="1" t="s">
        <v>128</v>
      </c>
      <c r="L48" s="1" t="s">
        <v>424</v>
      </c>
      <c r="M48" s="1" t="s">
        <v>71</v>
      </c>
      <c r="N48" s="1" t="s">
        <v>29</v>
      </c>
      <c r="O48" s="1"/>
      <c r="P48" s="1"/>
      <c r="Q48" s="1" t="s">
        <v>381</v>
      </c>
      <c r="R48" s="1" t="inlineStr">
        <is>
          <t xml:space="preserve">Aprobado</t>
        </is>
      </c>
      <c r="S48" s="8" t="inlineStr">
        <is>
          <t xml:space="preserve">Aprobado. Se confirma previsibilidad por instancia concreta con patrón y fecha suficientes. No enviar serie infinita ni monto inventado. La expectativa pendiente no es gasto ejecutado y M05 conserva su tratamiento presupuestario.</t>
        </is>
      </c>
      <c r="T48" s="8" t="s">
        <v>329</v>
      </c>
      <c r="U48" s="1" t="inlineStr">
        <is>
          <t xml:space="preserve">M06-RGL-009; M06-RGL-010; M06-RGL-011; M06-RGL-017; M06-RGL-019; M06-RGL-021; M06-RGL-024; M06-RGL-025; M06-RGL-026; M06-RGL-027; M06-RGL-031</t>
        </is>
      </c>
      <c r="V48" s="1" t="inlineStr">
        <is>
          <t xml:space="preserve">Walvy_M06_Documentacion_Funcional_Consolidada_v1.0.docx</t>
        </is>
      </c>
      <c r="W48" s="1" t="inlineStr">
        <is>
          <t xml:space="preserve">CT-M06-08; CT-M06-13</t>
        </is>
      </c>
    </row>
    <row r="49" spans="1:20" ht="190" customHeight="1">
      <c r="A49" s="1" t="s">
        <v>425</v>
      </c>
      <c r="B49" s="1" t="s">
        <v>426</v>
      </c>
      <c r="C49" s="1" t="s">
        <v>427</v>
      </c>
      <c r="D49" s="1" t="s">
        <v>428</v>
      </c>
      <c r="E49" s="1" t="s">
        <v>429</v>
      </c>
      <c r="F49" s="1" t="s">
        <v>430</v>
      </c>
      <c r="G49" s="1" t="s">
        <v>80</v>
      </c>
      <c r="H49" s="1" t="s">
        <v>431</v>
      </c>
      <c r="I49" s="1" t="s">
        <v>67</v>
      </c>
      <c r="J49" s="1" t="s">
        <v>432</v>
      </c>
      <c r="K49" s="1" t="s">
        <v>433</v>
      </c>
      <c r="L49" s="1" t="s">
        <v>434</v>
      </c>
      <c r="M49" s="1" t="s">
        <v>71</v>
      </c>
      <c r="N49" s="1" t="s">
        <v>29</v>
      </c>
      <c r="O49" s="1"/>
      <c r="P49" s="1"/>
      <c r="Q49" s="1" t="s">
        <v>381</v>
      </c>
      <c r="R49" s="1" t="inlineStr">
        <is>
          <t xml:space="preserve">Aprobado</t>
        </is>
      </c>
      <c r="S49" s="8" t="inlineStr">
        <is>
          <t xml:space="preserve">Aprobado. Se confirma que la mera deuda asociada no activa M04 ni Ruta Despeje. M06 mantiene seguimiento y solo consume estado/elegibilidad confiables del owner; un badge Vinculado requiere Ruta activa y relacion vigente.</t>
        </is>
      </c>
      <c r="T49" s="8"/>
      <c r="U49" s="1" t="inlineStr">
        <is>
          <t xml:space="preserve">M06-RGL-014; M06-RGL-015; M06-RGL-016; M06-RGL-017; M06-RGL-019; M06-RGL-021; M06-RGL-029; M06-RGL-031; M06-RGL-032; M06-RGL-033; M06-RGL-039</t>
        </is>
      </c>
      <c r="V49" s="1" t="inlineStr">
        <is>
          <t xml:space="preserve">Walvy_M06_Documentacion_Funcional_Consolidada_v1.0.docx</t>
        </is>
      </c>
      <c r="W49" s="1" t="inlineStr">
        <is>
          <t xml:space="preserve">CT-M06-10; CT-M06-12</t>
        </is>
      </c>
    </row>
    <row r="50" spans="1:20" ht="190" customHeight="1">
      <c r="A50" s="1" t="s">
        <v>435</v>
      </c>
      <c r="B50" s="1" t="s">
        <v>426</v>
      </c>
      <c r="C50" s="1" t="s">
        <v>436</v>
      </c>
      <c r="D50" s="1" t="s">
        <v>437</v>
      </c>
      <c r="E50" s="1" t="s">
        <v>438</v>
      </c>
      <c r="F50" s="1" t="s">
        <v>430</v>
      </c>
      <c r="G50" s="1" t="s">
        <v>80</v>
      </c>
      <c r="H50" s="1" t="s">
        <v>439</v>
      </c>
      <c r="I50" s="1" t="s">
        <v>67</v>
      </c>
      <c r="J50" s="1" t="s">
        <v>205</v>
      </c>
      <c r="K50" s="1" t="s">
        <v>206</v>
      </c>
      <c r="L50" s="1" t="s">
        <v>440</v>
      </c>
      <c r="M50" s="1" t="s">
        <v>71</v>
      </c>
      <c r="N50" s="1" t="s">
        <v>29</v>
      </c>
      <c r="O50" s="1"/>
      <c r="P50" s="1"/>
      <c r="Q50" s="1" t="s">
        <v>381</v>
      </c>
      <c r="R50" s="1" t="inlineStr">
        <is>
          <t xml:space="preserve">Ajustar</t>
        </is>
      </c>
      <c r="S50" s="8" t="inlineStr">
        <is>
          <t xml:space="preserve">Ajustar. La derivacion requiere hechos suficientes y pertinentes de la obligacion/ciclo; M04 interpreta el deterioro. Un parcial aislado pre-cierre no es conclusion final. M06 no calcula D1/D2, elige deuda prioritaria ni activa Ruta.</t>
        </is>
      </c>
      <c r="T50" s="8"/>
      <c r="U50" s="1" t="inlineStr">
        <is>
          <t xml:space="preserve">M06-RGL-014; M06-RGL-015; M06-RGL-016; M06-RGL-017; M06-RGL-019; M06-RGL-021; M06-RGL-029; M06-RGL-031; M06-RGL-032; M06-RGL-033; M06-RGL-039</t>
        </is>
      </c>
      <c r="V50" s="1" t="inlineStr">
        <is>
          <t xml:space="preserve">Walvy_M06_Documentacion_Funcional_Consolidada_v1.0.docx</t>
        </is>
      </c>
      <c r="W50" s="1" t="inlineStr">
        <is>
          <t xml:space="preserve">CT-M06-10; CT-M06-12</t>
        </is>
      </c>
    </row>
    <row r="51" spans="1:20" ht="190" customHeight="1">
      <c r="A51" s="1" t="s">
        <v>441</v>
      </c>
      <c r="B51" s="1" t="s">
        <v>426</v>
      </c>
      <c r="C51" s="1" t="s">
        <v>442</v>
      </c>
      <c r="D51" s="1" t="s">
        <v>443</v>
      </c>
      <c r="E51" s="1" t="s">
        <v>444</v>
      </c>
      <c r="F51" s="1" t="s">
        <v>445</v>
      </c>
      <c r="G51" s="1" t="s">
        <v>80</v>
      </c>
      <c r="H51" s="1" t="s">
        <v>446</v>
      </c>
      <c r="I51" s="1" t="s">
        <v>67</v>
      </c>
      <c r="J51" s="1" t="s">
        <v>205</v>
      </c>
      <c r="K51" s="1" t="s">
        <v>206</v>
      </c>
      <c r="L51" s="1" t="s">
        <v>447</v>
      </c>
      <c r="M51" s="1" t="s">
        <v>71</v>
      </c>
      <c r="N51" s="1" t="s">
        <v>29</v>
      </c>
      <c r="O51" s="1"/>
      <c r="P51" s="1"/>
      <c r="Q51" s="1" t="s">
        <v>381</v>
      </c>
      <c r="R51" s="1" t="inlineStr">
        <is>
          <t xml:space="preserve">Ajustar</t>
        </is>
      </c>
      <c r="S51" s="8" t="inlineStr">
        <is>
          <t xml:space="preserve">Ajustar. Separar hecho parcial de deterioro final. Antes del cierre reconciliado no es concluyente; despues M04 interpreta mínimo/parcial/saldo arrastrado, aislado o recurrente. Regularizacion posterior invalida la fotografia previa. No recomendar pago mínimo.</t>
        </is>
      </c>
      <c r="T51" s="8"/>
      <c r="U51" s="1" t="inlineStr">
        <is>
          <t xml:space="preserve">M06-RGL-014; M06-RGL-015; M06-RGL-016; M06-RGL-017; M06-RGL-019; M06-RGL-021; M06-RGL-029; M06-RGL-031; M06-RGL-032; M06-RGL-033; M06-RGL-039</t>
        </is>
      </c>
      <c r="V51" s="1" t="inlineStr">
        <is>
          <t xml:space="preserve">Walvy_M06_Documentacion_Funcional_Consolidada_v1.0.docx</t>
        </is>
      </c>
      <c r="W51" s="1" t="inlineStr">
        <is>
          <t xml:space="preserve">CT-M06-12; CT-M06-10</t>
        </is>
      </c>
    </row>
    <row r="52" spans="1:20" ht="190" customHeight="1">
      <c r="A52" s="1" t="s">
        <v>448</v>
      </c>
      <c r="B52" s="1" t="s">
        <v>449</v>
      </c>
      <c r="C52" s="1" t="s">
        <v>450</v>
      </c>
      <c r="D52" s="1" t="s">
        <v>451</v>
      </c>
      <c r="E52" s="1" t="s">
        <v>452</v>
      </c>
      <c r="F52" s="1" t="s">
        <v>453</v>
      </c>
      <c r="G52" s="1" t="s">
        <v>65</v>
      </c>
      <c r="H52" s="1" t="s">
        <v>454</v>
      </c>
      <c r="I52" s="1" t="s">
        <v>67</v>
      </c>
      <c r="J52" s="1" t="s">
        <v>127</v>
      </c>
      <c r="K52" s="1" t="s">
        <v>128</v>
      </c>
      <c r="L52" s="1" t="s">
        <v>455</v>
      </c>
      <c r="M52" s="1" t="s">
        <v>71</v>
      </c>
      <c r="N52" s="1" t="s">
        <v>29</v>
      </c>
      <c r="O52" s="1"/>
      <c r="P52" s="1"/>
      <c r="Q52" s="1" t="s">
        <v>381</v>
      </c>
      <c r="R52" s="1" t="inlineStr">
        <is>
          <t xml:space="preserve">Aprobado</t>
        </is>
      </c>
      <c r="S52" s="8" t="inlineStr">
        <is>
          <t xml:space="preserve">Aprobado. Se confirma lectura operativa 50-&lt;80% con ratio canónico y calidad suficientes. Esa banda no crea por si sola un aviso financiero: la necesidad debe provenir de un compromiso concreto. AVI-M06-015 inicia desde80%, sin score paralelo.</t>
        </is>
      </c>
      <c r="T52" s="8"/>
      <c r="U52" s="1" t="inlineStr">
        <is>
          <t xml:space="preserve">M06-RGL-014; M06-RGL-015; M06-RGL-016; M06-RGL-018; M06-RGL-019; M06-RGL-028; M06-RGL-029; M06-RGL-030; M06-RGL-031; M06-RGL-032; M06-RGL-034; M06-RGL-039</t>
        </is>
      </c>
      <c r="V52" s="1" t="inlineStr">
        <is>
          <t xml:space="preserve">Walvy_M06_Documentacion_Funcional_Consolidada_v1.0.docx</t>
        </is>
      </c>
      <c r="W52" s="1" t="inlineStr">
        <is>
          <t xml:space="preserve">CT-M06-10; CT-M06-14</t>
        </is>
      </c>
    </row>
    <row r="53" spans="1:20" ht="190" customHeight="1">
      <c r="A53" s="1" t="s">
        <v>456</v>
      </c>
      <c r="B53" s="1" t="s">
        <v>449</v>
      </c>
      <c r="C53" s="1" t="s">
        <v>457</v>
      </c>
      <c r="D53" s="1" t="s">
        <v>458</v>
      </c>
      <c r="E53" s="1" t="s">
        <v>459</v>
      </c>
      <c r="F53" s="1" t="s">
        <v>453</v>
      </c>
      <c r="G53" s="1" t="s">
        <v>125</v>
      </c>
      <c r="H53" s="1" t="s">
        <v>460</v>
      </c>
      <c r="I53" s="1" t="s">
        <v>67</v>
      </c>
      <c r="J53" s="1" t="s">
        <v>127</v>
      </c>
      <c r="K53" s="1" t="s">
        <v>128</v>
      </c>
      <c r="L53" s="1" t="s">
        <v>461</v>
      </c>
      <c r="M53" s="1" t="s">
        <v>71</v>
      </c>
      <c r="N53" s="1" t="s">
        <v>29</v>
      </c>
      <c r="O53" s="1"/>
      <c r="P53" s="1"/>
      <c r="Q53" s="1" t="s">
        <v>381</v>
      </c>
      <c r="R53" s="1" t="inlineStr">
        <is>
          <t xml:space="preserve">Aprobado</t>
        </is>
      </c>
      <c r="S53" s="8" t="inlineStr">
        <is>
          <t xml:space="preserve">Aprobado. Se confirma advertencia preventiva desde80% con ratio canónico suficiente, sin activacion automática de M04. Las bandas no sustituyen el Estado Financiero unico M01 ni C/K/D de M04.</t>
        </is>
      </c>
      <c r="T53" s="8"/>
      <c r="U53" s="1" t="inlineStr">
        <is>
          <t xml:space="preserve">M06-RGL-014; M06-RGL-015; M06-RGL-016; M06-RGL-018; M06-RGL-019; M06-RGL-028; M06-RGL-029; M06-RGL-030; M06-RGL-031; M06-RGL-032; M06-RGL-034; M06-RGL-039</t>
        </is>
      </c>
      <c r="V53" s="1" t="inlineStr">
        <is>
          <t xml:space="preserve">Walvy_M06_Documentacion_Funcional_Consolidada_v1.0.docx</t>
        </is>
      </c>
      <c r="W53" s="1" t="inlineStr">
        <is>
          <t xml:space="preserve">CT-M06-10; CT-M06-14</t>
        </is>
      </c>
    </row>
    <row r="54" spans="1:20" ht="190" customHeight="1">
      <c r="A54" s="1" t="s">
        <v>462</v>
      </c>
      <c r="B54" s="1" t="s">
        <v>449</v>
      </c>
      <c r="C54" s="1" t="s">
        <v>463</v>
      </c>
      <c r="D54" s="1" t="s">
        <v>464</v>
      </c>
      <c r="E54" s="1" t="s">
        <v>465</v>
      </c>
      <c r="F54" s="1" t="s">
        <v>445</v>
      </c>
      <c r="G54" s="1" t="s">
        <v>80</v>
      </c>
      <c r="H54" s="1" t="s">
        <v>466</v>
      </c>
      <c r="I54" s="1" t="s">
        <v>67</v>
      </c>
      <c r="J54" s="1" t="s">
        <v>127</v>
      </c>
      <c r="K54" s="1" t="s">
        <v>128</v>
      </c>
      <c r="L54" s="1" t="s">
        <v>467</v>
      </c>
      <c r="M54" s="1" t="s">
        <v>71</v>
      </c>
      <c r="N54" s="1" t="s">
        <v>29</v>
      </c>
      <c r="O54" s="1"/>
      <c r="P54" s="1"/>
      <c r="Q54" s="1" t="s">
        <v>381</v>
      </c>
      <c r="R54" s="1" t="inlineStr">
        <is>
          <t xml:space="preserve">Aprobado</t>
        </is>
      </c>
      <c r="S54" s="8" t="inlineStr">
        <is>
          <t xml:space="preserve">Aprobado. Se confirma evaluacion M04 solo si ademas del ratio existe causa pertinente de deuda con hechos confiables. &gt;=90% aislado no activa Ruta ni basta para diagnosticar deterioro de deuda; M04 conserva evaluacion y estrategia.</t>
        </is>
      </c>
      <c r="T54" s="8"/>
      <c r="U54" s="1" t="inlineStr">
        <is>
          <t xml:space="preserve">M06-RGL-014; M06-RGL-015; M06-RGL-016; M06-RGL-017; M06-RGL-019; M06-RGL-021; M06-RGL-029; M06-RGL-031; M06-RGL-032; M06-RGL-033; M06-RGL-039</t>
        </is>
      </c>
      <c r="V54" s="1" t="inlineStr">
        <is>
          <t xml:space="preserve">Walvy_M06_Documentacion_Funcional_Consolidada_v1.0.docx</t>
        </is>
      </c>
      <c r="W54" s="1" t="inlineStr">
        <is>
          <t xml:space="preserve">CT-M06-10; CT-M06-12</t>
        </is>
      </c>
    </row>
    <row r="55" spans="1:20" ht="190" customHeight="1">
      <c r="A55" s="1" t="s">
        <v>468</v>
      </c>
      <c r="B55" s="1" t="s">
        <v>449</v>
      </c>
      <c r="C55" s="1" t="s">
        <v>469</v>
      </c>
      <c r="D55" s="1" t="s">
        <v>470</v>
      </c>
      <c r="E55" s="1" t="s">
        <v>471</v>
      </c>
      <c r="F55" s="1" t="s">
        <v>453</v>
      </c>
      <c r="G55" s="1" t="s">
        <v>80</v>
      </c>
      <c r="H55" s="1" t="s">
        <v>472</v>
      </c>
      <c r="I55" s="1" t="s">
        <v>67</v>
      </c>
      <c r="J55" s="1" t="s">
        <v>127</v>
      </c>
      <c r="K55" s="1" t="s">
        <v>128</v>
      </c>
      <c r="L55" s="1" t="s">
        <v>473</v>
      </c>
      <c r="M55" s="1" t="s">
        <v>71</v>
      </c>
      <c r="N55" s="1" t="s">
        <v>29</v>
      </c>
      <c r="O55" s="1"/>
      <c r="P55" s="1"/>
      <c r="Q55" s="1" t="s">
        <v>381</v>
      </c>
      <c r="R55" s="1" t="inlineStr">
        <is>
          <t xml:space="preserve">Ajustar</t>
        </is>
      </c>
      <c r="S55" s="8" t="inlineStr">
        <is>
          <t xml:space="preserve">Ajustar. Precisar el límite: exactamente100% es margen cero, no déficit aritmetico; solo &gt;100% implica déficit proyectado. Se conserva la bifurcacion por causa M05/Home/M06 y no se activa M04 sin condición propia de deuda.</t>
        </is>
      </c>
      <c r="T55" s="8"/>
      <c r="U55" s="1" t="inlineStr">
        <is>
          <t xml:space="preserve">M06-RGL-009; M06-RGL-010; M06-RGL-011; M06-RGL-014; M06-RGL-015; M06-RGL-016; M06-RGL-017; M06-RGL-019; M06-RGL-021; M06-RGL-024; M06-RGL-029; M06-RGL-031; M06-RGL-032; M06-RGL-039</t>
        </is>
      </c>
      <c r="V55" s="1" t="inlineStr">
        <is>
          <t xml:space="preserve">Walvy_M06_Documentacion_Funcional_Consolidada_v1.0.docx</t>
        </is>
      </c>
      <c r="W55" s="1" t="inlineStr">
        <is>
          <t xml:space="preserve">CT-M06-10; CT-M06-13</t>
        </is>
      </c>
    </row>
    <row r="56" spans="1:20" ht="190" customHeight="1">
      <c r="A56" s="1" t="s">
        <v>474</v>
      </c>
      <c r="B56" s="1" t="s">
        <v>449</v>
      </c>
      <c r="C56" s="1" t="s">
        <v>475</v>
      </c>
      <c r="D56" s="1" t="s">
        <v>476</v>
      </c>
      <c r="E56" s="1" t="s">
        <v>477</v>
      </c>
      <c r="F56" s="1" t="s">
        <v>478</v>
      </c>
      <c r="G56" s="1" t="s">
        <v>80</v>
      </c>
      <c r="H56" s="1" t="s">
        <v>479</v>
      </c>
      <c r="I56" s="1" t="s">
        <v>67</v>
      </c>
      <c r="J56" s="1" t="s">
        <v>127</v>
      </c>
      <c r="K56" s="1" t="s">
        <v>128</v>
      </c>
      <c r="L56" s="1" t="s">
        <v>480</v>
      </c>
      <c r="M56" s="1" t="s">
        <v>71</v>
      </c>
      <c r="N56" s="1" t="s">
        <v>29</v>
      </c>
      <c r="O56" s="1"/>
      <c r="P56" s="1"/>
      <c r="Q56" s="1" t="s">
        <v>381</v>
      </c>
      <c r="R56" s="1" t="inlineStr">
        <is>
          <t xml:space="preserve">Ajustar</t>
        </is>
      </c>
      <c r="S56" s="8" t="inlineStr">
        <is>
          <t xml:space="preserve">Ajustar. Precisar calidad y período: &gt;=110% no crea criticidad sin base suficiente; persistencia requiere dos ciclos evaluables distintos, no dos registros del mismo ciclo. M04 evalua solo deuda pertinente y conserva estrategia/Ruta.</t>
        </is>
      </c>
      <c r="T56" s="8"/>
      <c r="U56" s="1" t="inlineStr">
        <is>
          <t xml:space="preserve">M06-RGL-014; M06-RGL-015; M06-RGL-016; M06-RGL-017; M06-RGL-019; M06-RGL-021; M06-RGL-029; M06-RGL-031; M06-RGL-032; M06-RGL-033; M06-RGL-039</t>
        </is>
      </c>
      <c r="V56" s="1" t="inlineStr">
        <is>
          <t xml:space="preserve">Walvy_M06_Documentacion_Funcional_Consolidada_v1.0.docx</t>
        </is>
      </c>
      <c r="W56" s="1" t="inlineStr">
        <is>
          <t xml:space="preserve">CT-M06-10; CT-M06-12</t>
        </is>
      </c>
    </row>
    <row r="57" spans="1:20" ht="190" customHeight="1">
      <c r="A57" s="1" t="s">
        <v>481</v>
      </c>
      <c r="B57" s="1" t="s">
        <v>482</v>
      </c>
      <c r="C57" s="1" t="s">
        <v>483</v>
      </c>
      <c r="D57" s="1" t="s">
        <v>484</v>
      </c>
      <c r="E57" s="1" t="s">
        <v>485</v>
      </c>
      <c r="F57" s="1" t="s">
        <v>486</v>
      </c>
      <c r="G57" s="1" t="s">
        <v>80</v>
      </c>
      <c r="H57" s="1" t="s">
        <v>487</v>
      </c>
      <c r="I57" s="1" t="s">
        <v>67</v>
      </c>
      <c r="J57" s="1" t="s">
        <v>117</v>
      </c>
      <c r="K57" s="1" t="s">
        <v>118</v>
      </c>
      <c r="L57" s="1" t="s">
        <v>488</v>
      </c>
      <c r="M57" s="1" t="s">
        <v>71</v>
      </c>
      <c r="N57" s="1" t="s">
        <v>29</v>
      </c>
      <c r="O57" s="1" t="s">
        <v>489</v>
      </c>
      <c r="P57" s="1" t="s">
        <v>73</v>
      </c>
      <c r="Q57" s="1" t="s">
        <v>74</v>
      </c>
      <c r="R57" s="1" t="inlineStr">
        <is>
          <t xml:space="preserve">Aprobado</t>
        </is>
      </c>
      <c r="S57" s="8" t="inlineStr">
        <is>
          <t xml:space="preserve">Aprobado. Se confirma historial funcional de estados/pagos, con filtros y retornos; no es cartola ni auditoria contable. Conservar correcciones mínimas bajo lifecycle PD. Guardar filtros no cambia compromisos ni justifica memoria durable no definida.</t>
        </is>
      </c>
      <c r="T57" s="8"/>
      <c r="U57" s="1" t="inlineStr">
        <is>
          <t xml:space="preserve">M06-RGL-001; M06-RGL-004; M06-RGL-005; M06-RGL-007; M06-RGL-009; M06-RGL-017; M06-RGL-018; M06-RGL-019; M06-RGL-020; M06-RGL-021; M06-RGL-022; M06-RGL-024; M06-RGL-026; M06-RGL-027; M06-RGL-040; M06-RGL-041; M06-RGL-042; M06-RGL-043; M06-RGL-044</t>
        </is>
      </c>
      <c r="V57" s="1" t="inlineStr">
        <is>
          <t xml:space="preserve">Walvy_M06_Documentacion_Funcional_Consolidada_v1.0.docx</t>
        </is>
      </c>
      <c r="W57" s="1" t="inlineStr">
        <is>
          <t xml:space="preserve">CT-M06-06; CT-M06-16; CT-M06-17</t>
        </is>
      </c>
    </row>
    <row r="58" spans="1:20" ht="190" customHeight="1">
      <c r="A58" s="1" t="s">
        <v>490</v>
      </c>
      <c r="B58" s="1" t="s">
        <v>491</v>
      </c>
      <c r="C58" s="1" t="s">
        <v>492</v>
      </c>
      <c r="D58" s="1" t="s">
        <v>493</v>
      </c>
      <c r="E58" s="1" t="s">
        <v>494</v>
      </c>
      <c r="F58" s="1" t="s">
        <v>495</v>
      </c>
      <c r="G58" s="1" t="s">
        <v>80</v>
      </c>
      <c r="H58" s="1" t="s">
        <v>496</v>
      </c>
      <c r="I58" s="1" t="s">
        <v>67</v>
      </c>
      <c r="J58" s="1" t="s">
        <v>127</v>
      </c>
      <c r="K58" s="1" t="s">
        <v>128</v>
      </c>
      <c r="L58" s="1" t="s">
        <v>497</v>
      </c>
      <c r="M58" s="1" t="s">
        <v>71</v>
      </c>
      <c r="N58" s="1" t="s">
        <v>29</v>
      </c>
      <c r="O58" s="1"/>
      <c r="P58" s="1"/>
      <c r="Q58" s="1" t="s">
        <v>381</v>
      </c>
      <c r="R58" s="1" t="inlineStr">
        <is>
          <t xml:space="preserve">Aprobado</t>
        </is>
      </c>
      <c r="S58" s="8" t="inlineStr">
        <is>
          <t xml:space="preserve">Aprobado. Se confirma señal de calidad/completitud hacia Perfil por falta recurrente que afecta lectura. Enviar reason y referencia mínima, no documentos ni historial financiero completo. Perfil no opera pagos.</t>
        </is>
      </c>
      <c r="T58" s="8"/>
      <c r="U58" s="1" t="inlineStr">
        <is>
          <t xml:space="preserve">M06-RGL-030; M06-RGL-031; M06-RGL-032; M06-RGL-033; M06-RGL-034; M06-RGL-042; M06-RGL-043</t>
        </is>
      </c>
      <c r="V58" s="1" t="inlineStr">
        <is>
          <t xml:space="preserve">Walvy_M06_Documentacion_Funcional_Consolidada_v1.0.docx</t>
        </is>
      </c>
      <c r="W58" s="1" t="inlineStr">
        <is>
          <t xml:space="preserve">CT-M06-15</t>
        </is>
      </c>
    </row>
    <row r="59" spans="1:20" ht="190" customHeight="1">
      <c r="A59" s="1" t="s">
        <v>498</v>
      </c>
      <c r="B59" s="1" t="s">
        <v>491</v>
      </c>
      <c r="C59" s="1" t="s">
        <v>499</v>
      </c>
      <c r="D59" s="1" t="s">
        <v>500</v>
      </c>
      <c r="E59" s="1" t="s">
        <v>501</v>
      </c>
      <c r="F59" s="1" t="s">
        <v>495</v>
      </c>
      <c r="G59" s="1" t="s">
        <v>80</v>
      </c>
      <c r="H59" s="1" t="s">
        <v>502</v>
      </c>
      <c r="I59" s="1" t="s">
        <v>67</v>
      </c>
      <c r="J59" s="1" t="s">
        <v>178</v>
      </c>
      <c r="K59" s="1" t="s">
        <v>179</v>
      </c>
      <c r="L59" s="1" t="s">
        <v>503</v>
      </c>
      <c r="M59" s="1" t="s">
        <v>71</v>
      </c>
      <c r="N59" s="1" t="s">
        <v>29</v>
      </c>
      <c r="O59" s="1"/>
      <c r="P59" s="1"/>
      <c r="Q59" s="1" t="s">
        <v>381</v>
      </c>
      <c r="R59" s="1" t="inlineStr">
        <is>
          <t xml:space="preserve">Aprobado</t>
        </is>
      </c>
      <c r="S59" s="8" t="inlineStr">
        <is>
          <t xml:space="preserve">Aprobado. Se confirma baja confiabilidad como calidad, no certeza de obligacion/pago. El consumidor no cambia automaticamente el dato; completar/corregir produce recálculo y retorno al objeto autorizado.</t>
        </is>
      </c>
      <c r="T59" s="8"/>
      <c r="U59" s="1" t="inlineStr">
        <is>
          <t xml:space="preserve">M06-RGL-007; M06-RGL-008; M06-RGL-009; M06-RGL-010; M06-RGL-011; M06-RGL-020; M06-RGL-021; M06-RGL-022; M06-RGL-023; M06-RGL-024; M06-RGL-030; M06-RGL-031; M06-RGL-032; M06-RGL-033; M06-RGL-034; M06-RGL-042; M06-RGL-043</t>
        </is>
      </c>
      <c r="V59" s="1" t="inlineStr">
        <is>
          <t xml:space="preserve">Walvy_M06_Documentacion_Funcional_Consolidada_v1.0.docx</t>
        </is>
      </c>
      <c r="W59" s="1" t="inlineStr">
        <is>
          <t xml:space="preserve">CT-M06-15; CT-M06-05</t>
        </is>
      </c>
    </row>
    <row r="60" spans="1:20" ht="190" customHeight="1">
      <c r="A60" s="1" t="s">
        <v>504</v>
      </c>
      <c r="B60" s="1" t="s">
        <v>505</v>
      </c>
      <c r="C60" s="1" t="s">
        <v>506</v>
      </c>
      <c r="D60" s="1" t="s">
        <v>507</v>
      </c>
      <c r="E60" s="1" t="s">
        <v>508</v>
      </c>
      <c r="F60" s="1" t="s">
        <v>509</v>
      </c>
      <c r="G60" s="1" t="s">
        <v>65</v>
      </c>
      <c r="H60" s="1" t="s">
        <v>510</v>
      </c>
      <c r="I60" s="1" t="s">
        <v>511</v>
      </c>
      <c r="J60" s="1" t="s">
        <v>512</v>
      </c>
      <c r="K60" s="1" t="s">
        <v>513</v>
      </c>
      <c r="L60" s="1" t="s">
        <v>514</v>
      </c>
      <c r="M60" s="1" t="s">
        <v>71</v>
      </c>
      <c r="N60" s="1" t="s">
        <v>29</v>
      </c>
      <c r="O60" s="1" t="s">
        <v>515</v>
      </c>
      <c r="P60" s="1" t="s">
        <v>73</v>
      </c>
      <c r="Q60" s="1" t="s">
        <v>74</v>
      </c>
      <c r="R60" s="1" t="inlineStr">
        <is>
          <t xml:space="preserve">Aprobado</t>
        </is>
      </c>
      <c r="S60" s="8" t="inlineStr">
        <is>
          <t xml:space="preserve">Aprobado. Se confirma la prohibicion de lenguaje que sugiera mover fondos. Registrar pago realizado informa un hecho externo; ningun CTA, API o aviso M06 ejecuta pago, transferencia, wallet o debito.</t>
        </is>
      </c>
      <c r="T60" s="8"/>
      <c r="U60" s="1" t="inlineStr">
        <is>
          <t xml:space="preserve">M06-RGL-001; M06-RGL-017; M06-RGL-018; M06-RGL-019; M06-RGL-020; M06-RGL-021; M06-RGL-022; M06-RGL-024; M06-RGL-033; M06-RGL-041</t>
        </is>
      </c>
      <c r="V60" s="1" t="inlineStr">
        <is>
          <t xml:space="preserve">Walvy_M06_Documentacion_Funcional_Consolidada_v1.0.docx</t>
        </is>
      </c>
      <c r="W60" s="1" t="inlineStr">
        <is>
          <t xml:space="preserve">CT-M06-01; CT-M06-06</t>
        </is>
      </c>
    </row>
    <row r="61" spans="1:20" ht="190" customHeight="1">
      <c r="A61" s="1" t="s">
        <v>516</v>
      </c>
      <c r="B61" s="1" t="s">
        <v>505</v>
      </c>
      <c r="C61" s="1" t="s">
        <v>517</v>
      </c>
      <c r="D61" s="1" t="s">
        <v>518</v>
      </c>
      <c r="E61" s="1" t="s">
        <v>519</v>
      </c>
      <c r="F61" s="1" t="s">
        <v>520</v>
      </c>
      <c r="G61" s="1" t="s">
        <v>159</v>
      </c>
      <c r="H61" s="1" t="s">
        <v>521</v>
      </c>
      <c r="I61" s="1" t="s">
        <v>511</v>
      </c>
      <c r="J61" s="1" t="s">
        <v>205</v>
      </c>
      <c r="K61" s="1" t="s">
        <v>206</v>
      </c>
      <c r="L61" s="1" t="s">
        <v>522</v>
      </c>
      <c r="M61" s="1" t="s">
        <v>71</v>
      </c>
      <c r="N61" s="1" t="s">
        <v>29</v>
      </c>
      <c r="O61" s="1" t="s">
        <v>181</v>
      </c>
      <c r="P61" s="1" t="s">
        <v>73</v>
      </c>
      <c r="Q61" s="1" t="s">
        <v>74</v>
      </c>
      <c r="R61" s="1" t="inlineStr">
        <is>
          <t xml:space="preserve">Aprobado</t>
        </is>
      </c>
      <c r="S61" s="8" t="inlineStr">
        <is>
          <t xml:space="preserve">Aprobado. Se confirma revisión prioritaria sin alarmismo ni uso automático de Crítica como etiqueta visible. Conservar acción y severidad explicables con base suficiente; color o texto no reemplazan el criterio funcional.</t>
        </is>
      </c>
      <c r="T61" s="8"/>
      <c r="U61" s="1" t="inlineStr">
        <is>
          <t xml:space="preserve">M06-RGL-014; M06-RGL-015; M06-RGL-016; M06-RGL-018; M06-RGL-019; M06-RGL-028; M06-RGL-029; M06-RGL-030; M06-RGL-031; M06-RGL-032; M06-RGL-034; M06-RGL-039</t>
        </is>
      </c>
      <c r="V61" s="1" t="inlineStr">
        <is>
          <t xml:space="preserve">Walvy_M06_Documentacion_Funcional_Consolidada_v1.0.docx</t>
        </is>
      </c>
      <c r="W61" s="1" t="inlineStr">
        <is>
          <t xml:space="preserve">CT-M06-10; CT-M06-14</t>
        </is>
      </c>
    </row>
    <row r="62" spans="1:20" ht="190" customHeight="1">
      <c r="A62" s="1" t="s">
        <v>523</v>
      </c>
      <c r="B62" s="1" t="s">
        <v>505</v>
      </c>
      <c r="C62" s="1" t="s">
        <v>524</v>
      </c>
      <c r="D62" s="1" t="s">
        <v>525</v>
      </c>
      <c r="E62" s="1" t="s">
        <v>526</v>
      </c>
      <c r="F62" s="1" t="s">
        <v>527</v>
      </c>
      <c r="G62" s="1" t="s">
        <v>80</v>
      </c>
      <c r="H62" s="1" t="s">
        <v>528</v>
      </c>
      <c r="I62" s="1" t="s">
        <v>511</v>
      </c>
      <c r="J62" s="1" t="s">
        <v>432</v>
      </c>
      <c r="K62" s="1" t="s">
        <v>433</v>
      </c>
      <c r="L62" s="1" t="s">
        <v>529</v>
      </c>
      <c r="M62" s="1" t="s">
        <v>71</v>
      </c>
      <c r="N62" s="1" t="s">
        <v>29</v>
      </c>
      <c r="O62" s="1"/>
      <c r="P62" s="1"/>
      <c r="Q62" s="1" t="s">
        <v>381</v>
      </c>
      <c r="R62" s="1" t="inlineStr">
        <is>
          <t xml:space="preserve">Aprobado</t>
        </is>
      </c>
      <c r="S62" s="8" t="inlineStr">
        <is>
          <t xml:space="preserve">Aprobado. Se confirma que no existe comprobante obligatorio. La declaracion y su origen son trazables sin presentarse como certificacion bancaria. No pedir documentos, Número de cliente ni secretos adicionales para aparentar certeza.</t>
        </is>
      </c>
      <c r="T62" s="8"/>
      <c r="U62" s="1" t="inlineStr">
        <is>
          <t xml:space="preserve">M06-RGL-004; M06-RGL-005; M06-RGL-007; M06-RGL-017; M06-RGL-018; M06-RGL-019; M06-RGL-020; M06-RGL-021; M06-RGL-022; M06-RGL-024; M06-RGL-041; M06-RGL-044</t>
        </is>
      </c>
      <c r="V62" s="1" t="inlineStr">
        <is>
          <t xml:space="preserve">Walvy_M06_Documentacion_Funcional_Consolidada_v1.0.docx</t>
        </is>
      </c>
      <c r="W62" s="1" t="inlineStr">
        <is>
          <t xml:space="preserve">CT-M06-06; CT-M06-16</t>
        </is>
      </c>
    </row>
    <row r="63" spans="1:20" ht="190" customHeight="1">
      <c r="A63" s="1" t="s">
        <v>530</v>
      </c>
      <c r="B63" s="1" t="s">
        <v>531</v>
      </c>
      <c r="C63" s="1" t="s">
        <v>532</v>
      </c>
      <c r="D63" s="1" t="s">
        <v>533</v>
      </c>
      <c r="E63" s="1" t="s">
        <v>534</v>
      </c>
      <c r="F63" s="1" t="s">
        <v>79</v>
      </c>
      <c r="G63" s="1" t="s">
        <v>80</v>
      </c>
      <c r="H63" s="1" t="s">
        <v>535</v>
      </c>
      <c r="I63" s="1" t="s">
        <v>536</v>
      </c>
      <c r="J63" s="1" t="s">
        <v>537</v>
      </c>
      <c r="K63" s="1" t="s">
        <v>538</v>
      </c>
      <c r="L63" s="1" t="s">
        <v>539</v>
      </c>
      <c r="M63" s="1" t="s">
        <v>71</v>
      </c>
      <c r="N63" s="1" t="s">
        <v>29</v>
      </c>
      <c r="O63" s="1" t="s">
        <v>515</v>
      </c>
      <c r="P63" s="1" t="s">
        <v>73</v>
      </c>
      <c r="Q63" s="1" t="s">
        <v>540</v>
      </c>
      <c r="R63" s="1" t="inlineStr">
        <is>
          <t xml:space="preserve">Aprobado</t>
        </is>
      </c>
      <c r="S63" s="8" t="inlineStr">
        <is>
          <t xml:space="preserve">Aprobado. Se confirma el hub propio M06 como solucion contractual y las obligaciones de navegacion/retorno. El recorrido ya existe, pero el Figma final no esta certificado: PD-M6-02/08 siguen pendientes de los 15 ajustes y su evidencia.</t>
        </is>
      </c>
      <c r="T63" s="8" t="s">
        <v>87</v>
      </c>
      <c r="U63" s="1" t="inlineStr">
        <is>
          <t xml:space="preserve">M06-RGL-001; M06-RGL-005; M06-RGL-009; M06-RGL-017; M06-RGL-019; M06-RGL-024; M06-RGL-026; M06-RGL-027; M06-RGL-035; M06-RGL-036; M06-RGL-037; M06-RGL-040; M06-RGL-041; M06-RGL-042; M06-RGL-043</t>
        </is>
      </c>
      <c r="V63" s="1" t="inlineStr">
        <is>
          <t xml:space="preserve">Walvy_M06_Documentacion_Funcional_Consolidada_v1.0.docx</t>
        </is>
      </c>
      <c r="W63" s="1" t="inlineStr">
        <is>
          <t xml:space="preserve">CT-M06-17; CT-M06-09</t>
        </is>
      </c>
    </row>
    <row r="64" spans="1:20" ht="121" customHeight="1">
      <c r="A64" s="1"/>
      <c r="B64" s="1"/>
      <c r="C64" s="1"/>
      <c r="D64" s="1"/>
      <c r="E64" s="1"/>
      <c r="F64" s="1"/>
      <c r="G64" s="1"/>
      <c r="H64" s="1"/>
      <c r="I64" s="1"/>
      <c r="J64" s="1"/>
      <c r="K64" s="1"/>
      <c r="L64" s="1"/>
      <c r="M64" s="1"/>
      <c r="N64" s="1"/>
      <c r="O64" s="1"/>
      <c r="P64" s="1"/>
      <c r="Q64" s="1"/>
      <c r="R64" s="1"/>
      <c r="S64" s="8"/>
      <c r="T64" s="8"/>
    </row>
    <row r="65" spans="1:20" ht="121" customHeight="1">
      <c r="A65" s="1"/>
      <c r="B65" s="1"/>
      <c r="C65" s="1"/>
      <c r="D65" s="1"/>
      <c r="E65" s="1"/>
      <c r="F65" s="1"/>
      <c r="G65" s="1"/>
      <c r="H65" s="1"/>
      <c r="I65" s="1"/>
      <c r="J65" s="1"/>
      <c r="K65" s="1"/>
      <c r="L65" s="1"/>
      <c r="M65" s="1"/>
      <c r="N65" s="1"/>
      <c r="O65" s="1"/>
      <c r="P65" s="1"/>
      <c r="Q65" s="1"/>
      <c r="R65" s="1"/>
      <c r="S65" s="8"/>
      <c r="T65" s="8"/>
    </row>
    <row r="66" spans="1:20" ht="121" customHeight="1">
      <c r="A66" s="1"/>
      <c r="B66" s="1"/>
      <c r="C66" s="1"/>
      <c r="D66" s="1"/>
      <c r="E66" s="1"/>
      <c r="F66" s="1"/>
      <c r="G66" s="1"/>
      <c r="H66" s="1"/>
      <c r="I66" s="1"/>
      <c r="J66" s="1"/>
      <c r="K66" s="1"/>
      <c r="L66" s="1"/>
      <c r="M66" s="1"/>
      <c r="N66" s="1"/>
      <c r="O66" s="1"/>
      <c r="P66" s="1"/>
      <c r="Q66" s="1"/>
      <c r="R66" s="1"/>
      <c r="S66" s="8"/>
      <c r="T66" s="8"/>
    </row>
    <row r="67" spans="1:20" ht="121" customHeight="1">
      <c r="A67" s="1"/>
      <c r="B67" s="1"/>
      <c r="C67" s="1"/>
      <c r="D67" s="1"/>
      <c r="E67" s="1"/>
      <c r="F67" s="1"/>
      <c r="G67" s="1"/>
      <c r="H67" s="1"/>
      <c r="I67" s="1"/>
      <c r="J67" s="1"/>
      <c r="K67" s="1"/>
      <c r="L67" s="1"/>
      <c r="M67" s="1"/>
      <c r="N67" s="1"/>
      <c r="O67" s="1"/>
      <c r="P67" s="1"/>
      <c r="Q67" s="1"/>
      <c r="R67" s="1"/>
      <c r="S67" s="8"/>
      <c r="T67" s="8"/>
    </row>
    <row r="68" spans="1:20" ht="121" customHeight="1">
      <c r="A68" s="1"/>
      <c r="B68" s="1"/>
      <c r="C68" s="1"/>
      <c r="D68" s="1"/>
      <c r="E68" s="1"/>
      <c r="F68" s="1"/>
      <c r="G68" s="1"/>
      <c r="H68" s="1"/>
      <c r="I68" s="1"/>
      <c r="J68" s="1"/>
      <c r="K68" s="1"/>
      <c r="L68" s="1"/>
      <c r="M68" s="1"/>
      <c r="N68" s="1"/>
      <c r="O68" s="1"/>
      <c r="P68" s="1"/>
      <c r="Q68" s="1"/>
      <c r="R68" s="1"/>
      <c r="S68" s="8"/>
      <c r="T68" s="8"/>
    </row>
    <row r="69" spans="1:20" ht="121" customHeight="1">
      <c r="A69" s="1"/>
      <c r="B69" s="1"/>
      <c r="C69" s="1"/>
      <c r="D69" s="1"/>
      <c r="E69" s="1"/>
      <c r="F69" s="1"/>
      <c r="G69" s="1"/>
      <c r="H69" s="1"/>
      <c r="I69" s="1"/>
      <c r="J69" s="1"/>
      <c r="K69" s="1"/>
      <c r="L69" s="1"/>
      <c r="M69" s="1"/>
      <c r="N69" s="1"/>
      <c r="O69" s="1"/>
      <c r="P69" s="1"/>
      <c r="Q69" s="1"/>
      <c r="R69" s="1"/>
      <c r="S69" s="8"/>
      <c r="T69" s="8"/>
    </row>
    <row r="70" spans="1:20" ht="121" customHeight="1">
      <c r="A70" s="1"/>
      <c r="B70" s="1"/>
      <c r="C70" s="1"/>
      <c r="D70" s="1"/>
      <c r="E70" s="1"/>
      <c r="F70" s="1"/>
      <c r="G70" s="1"/>
      <c r="H70" s="1"/>
      <c r="I70" s="1"/>
      <c r="J70" s="1"/>
      <c r="K70" s="1"/>
      <c r="L70" s="1"/>
      <c r="M70" s="1"/>
      <c r="N70" s="1"/>
      <c r="O70" s="1"/>
      <c r="P70" s="1"/>
      <c r="Q70" s="1"/>
      <c r="R70" s="1"/>
      <c r="S70" s="8"/>
      <c r="T70" s="8"/>
    </row>
    <row r="71" spans="1:20" ht="121" customHeight="1">
      <c r="A71" s="1"/>
      <c r="B71" s="1"/>
      <c r="C71" s="1"/>
      <c r="D71" s="1"/>
      <c r="E71" s="1"/>
      <c r="F71" s="1"/>
      <c r="G71" s="1"/>
      <c r="H71" s="1"/>
      <c r="I71" s="1"/>
      <c r="J71" s="1"/>
      <c r="K71" s="1"/>
      <c r="L71" s="1"/>
      <c r="M71" s="1"/>
      <c r="N71" s="1"/>
      <c r="O71" s="1"/>
      <c r="P71" s="1"/>
      <c r="Q71" s="1"/>
      <c r="R71" s="1"/>
      <c r="S71" s="8"/>
      <c r="T71" s="8"/>
    </row>
    <row r="72" spans="1:20" ht="121" customHeight="1">
      <c r="A72" s="1"/>
      <c r="B72" s="1"/>
      <c r="C72" s="1"/>
      <c r="D72" s="1"/>
      <c r="E72" s="1"/>
      <c r="F72" s="1"/>
      <c r="G72" s="1"/>
      <c r="H72" s="1"/>
      <c r="I72" s="1"/>
      <c r="J72" s="1"/>
      <c r="K72" s="1"/>
      <c r="L72" s="1"/>
      <c r="M72" s="1"/>
      <c r="N72" s="1"/>
      <c r="O72" s="1"/>
      <c r="P72" s="1"/>
      <c r="Q72" s="1"/>
      <c r="R72" s="1"/>
      <c r="S72" s="8"/>
      <c r="T72" s="8"/>
    </row>
    <row r="73" spans="1:20" ht="121" customHeight="1">
      <c r="A73" s="1"/>
      <c r="B73" s="1"/>
      <c r="C73" s="1"/>
      <c r="D73" s="1"/>
      <c r="E73" s="1"/>
      <c r="F73" s="1"/>
      <c r="G73" s="1"/>
      <c r="H73" s="1"/>
      <c r="I73" s="1"/>
      <c r="J73" s="1"/>
      <c r="K73" s="1"/>
      <c r="L73" s="1"/>
      <c r="M73" s="1"/>
      <c r="N73" s="1"/>
      <c r="O73" s="1"/>
      <c r="P73" s="1"/>
      <c r="Q73" s="1"/>
      <c r="R73" s="1"/>
      <c r="S73" s="8"/>
      <c r="T73" s="8"/>
    </row>
    <row r="74" spans="1:20" ht="121" customHeight="1">
      <c r="A74" s="1"/>
      <c r="B74" s="1"/>
      <c r="C74" s="1"/>
      <c r="D74" s="1"/>
      <c r="E74" s="1"/>
      <c r="F74" s="1"/>
      <c r="G74" s="1"/>
      <c r="H74" s="1"/>
      <c r="I74" s="1"/>
      <c r="J74" s="1"/>
      <c r="K74" s="1"/>
      <c r="L74" s="1"/>
      <c r="M74" s="1"/>
      <c r="N74" s="1"/>
      <c r="O74" s="1"/>
      <c r="P74" s="1"/>
      <c r="Q74" s="1"/>
      <c r="R74" s="1"/>
      <c r="S74" s="8"/>
      <c r="T74" s="8"/>
    </row>
    <row r="75" spans="1:20" ht="121" customHeight="1">
      <c r="A75" s="1"/>
      <c r="B75" s="1"/>
      <c r="C75" s="1"/>
      <c r="D75" s="1"/>
      <c r="E75" s="1"/>
      <c r="F75" s="1"/>
      <c r="G75" s="1"/>
      <c r="H75" s="1"/>
      <c r="I75" s="1"/>
      <c r="J75" s="1"/>
      <c r="K75" s="1"/>
      <c r="L75" s="1"/>
      <c r="M75" s="1"/>
      <c r="N75" s="1"/>
      <c r="O75" s="1"/>
      <c r="P75" s="1"/>
      <c r="Q75" s="1"/>
      <c r="R75" s="1"/>
      <c r="S75" s="8"/>
      <c r="T75" s="8"/>
    </row>
    <row r="76" spans="1:20" ht="121" customHeight="1">
      <c r="A76" s="1"/>
      <c r="B76" s="1"/>
      <c r="C76" s="1"/>
      <c r="D76" s="1"/>
      <c r="E76" s="1"/>
      <c r="F76" s="1"/>
      <c r="G76" s="1"/>
      <c r="H76" s="1"/>
      <c r="I76" s="1"/>
      <c r="J76" s="1"/>
      <c r="K76" s="1"/>
      <c r="L76" s="1"/>
      <c r="M76" s="1"/>
      <c r="N76" s="1"/>
      <c r="O76" s="1"/>
      <c r="P76" s="1"/>
      <c r="Q76" s="1"/>
      <c r="R76" s="1"/>
      <c r="S76" s="8"/>
      <c r="T76" s="8"/>
    </row>
    <row r="77" spans="1:20" ht="121" customHeight="1">
      <c r="A77" s="1"/>
      <c r="B77" s="1"/>
      <c r="C77" s="1"/>
      <c r="D77" s="1"/>
      <c r="E77" s="1"/>
      <c r="F77" s="1"/>
      <c r="G77" s="1"/>
      <c r="H77" s="1"/>
      <c r="I77" s="1"/>
      <c r="J77" s="1"/>
      <c r="K77" s="1"/>
      <c r="L77" s="1"/>
      <c r="M77" s="1"/>
      <c r="N77" s="1"/>
      <c r="O77" s="1"/>
      <c r="P77" s="1"/>
      <c r="Q77" s="1"/>
      <c r="R77" s="1"/>
      <c r="S77" s="8"/>
      <c r="T77" s="8"/>
    </row>
    <row r="78" spans="1:20" ht="121" customHeight="1">
      <c r="A78" s="1"/>
      <c r="B78" s="1"/>
      <c r="C78" s="1"/>
      <c r="D78" s="1"/>
      <c r="E78" s="1"/>
      <c r="F78" s="1"/>
      <c r="G78" s="1"/>
      <c r="H78" s="1"/>
      <c r="I78" s="1"/>
      <c r="J78" s="1"/>
      <c r="K78" s="1"/>
      <c r="L78" s="1"/>
      <c r="M78" s="1"/>
      <c r="N78" s="1"/>
      <c r="O78" s="1"/>
      <c r="P78" s="1"/>
      <c r="Q78" s="1"/>
      <c r="R78" s="1"/>
      <c r="S78" s="8"/>
      <c r="T78" s="8"/>
    </row>
    <row r="79" spans="1:20" ht="121" customHeight="1">
      <c r="A79" s="1"/>
      <c r="B79" s="1"/>
      <c r="C79" s="1"/>
      <c r="D79" s="1"/>
      <c r="E79" s="1"/>
      <c r="F79" s="1"/>
      <c r="G79" s="1"/>
      <c r="H79" s="1"/>
      <c r="I79" s="1"/>
      <c r="J79" s="1"/>
      <c r="K79" s="1"/>
      <c r="L79" s="1"/>
      <c r="M79" s="1"/>
      <c r="N79" s="1"/>
      <c r="O79" s="1"/>
      <c r="P79" s="1"/>
      <c r="Q79" s="1"/>
      <c r="R79" s="1"/>
      <c r="S79" s="8"/>
      <c r="T79" s="8"/>
    </row>
    <row r="80" spans="1:20" ht="121" customHeight="1">
      <c r="A80" s="1"/>
      <c r="B80" s="1"/>
      <c r="C80" s="1"/>
      <c r="D80" s="1"/>
      <c r="E80" s="1"/>
      <c r="F80" s="1"/>
      <c r="G80" s="1"/>
      <c r="H80" s="1"/>
      <c r="I80" s="1"/>
      <c r="J80" s="1"/>
      <c r="K80" s="1"/>
      <c r="L80" s="1"/>
      <c r="M80" s="1"/>
      <c r="N80" s="1"/>
      <c r="O80" s="1"/>
      <c r="P80" s="1"/>
      <c r="Q80" s="1"/>
      <c r="R80" s="1"/>
      <c r="S80" s="8"/>
      <c r="T80" s="8"/>
    </row>
    <row r="81" spans="1:20" ht="121" customHeight="1">
      <c r="A81" s="1"/>
      <c r="B81" s="1"/>
      <c r="C81" s="1"/>
      <c r="D81" s="1"/>
      <c r="E81" s="1"/>
      <c r="F81" s="1"/>
      <c r="G81" s="1"/>
      <c r="H81" s="1"/>
      <c r="I81" s="1"/>
      <c r="J81" s="1"/>
      <c r="K81" s="1"/>
      <c r="L81" s="1"/>
      <c r="M81" s="1"/>
      <c r="N81" s="1"/>
      <c r="O81" s="1"/>
      <c r="P81" s="1"/>
      <c r="Q81" s="1"/>
      <c r="R81" s="1"/>
      <c r="S81" s="8"/>
      <c r="T81" s="8"/>
    </row>
    <row r="82" spans="1:20" ht="121" customHeight="1">
      <c r="A82" s="1"/>
      <c r="B82" s="1"/>
      <c r="C82" s="1"/>
      <c r="D82" s="1"/>
      <c r="E82" s="1"/>
      <c r="F82" s="1"/>
      <c r="G82" s="1"/>
      <c r="H82" s="1"/>
      <c r="I82" s="1"/>
      <c r="J82" s="1"/>
      <c r="K82" s="1"/>
      <c r="L82" s="1"/>
      <c r="M82" s="1"/>
      <c r="N82" s="1"/>
      <c r="O82" s="1"/>
      <c r="P82" s="1"/>
      <c r="Q82" s="1"/>
      <c r="R82" s="1"/>
      <c r="S82" s="8"/>
      <c r="T82" s="8"/>
    </row>
    <row r="83" spans="1:20" ht="121" customHeight="1">
      <c r="A83" s="1"/>
      <c r="B83" s="1"/>
      <c r="C83" s="1"/>
      <c r="D83" s="1"/>
      <c r="E83" s="1"/>
      <c r="F83" s="1"/>
      <c r="G83" s="1"/>
      <c r="H83" s="1"/>
      <c r="I83" s="1"/>
      <c r="J83" s="1"/>
      <c r="K83" s="1"/>
      <c r="L83" s="1"/>
      <c r="M83" s="1"/>
      <c r="N83" s="1"/>
      <c r="O83" s="1"/>
      <c r="P83" s="1"/>
      <c r="Q83" s="1"/>
      <c r="R83" s="1"/>
      <c r="S83" s="8"/>
      <c r="T83" s="8"/>
    </row>
    <row r="84" spans="1:20" ht="121" customHeight="1">
      <c r="A84" s="1"/>
      <c r="B84" s="1"/>
      <c r="C84" s="1"/>
      <c r="D84" s="1"/>
      <c r="E84" s="1"/>
      <c r="F84" s="1"/>
      <c r="G84" s="1"/>
      <c r="H84" s="1"/>
      <c r="I84" s="1"/>
      <c r="J84" s="1"/>
      <c r="K84" s="1"/>
      <c r="L84" s="1"/>
      <c r="M84" s="1"/>
      <c r="N84" s="1"/>
      <c r="O84" s="1"/>
      <c r="P84" s="1"/>
      <c r="Q84" s="1"/>
      <c r="R84" s="1"/>
      <c r="S84" s="8"/>
      <c r="T84" s="8"/>
    </row>
    <row r="85" spans="1:20" ht="121" customHeight="1">
      <c r="A85" s="1"/>
      <c r="B85" s="1"/>
      <c r="C85" s="1"/>
      <c r="D85" s="1"/>
      <c r="E85" s="1"/>
      <c r="F85" s="1"/>
      <c r="G85" s="1"/>
      <c r="H85" s="1"/>
      <c r="I85" s="1"/>
      <c r="J85" s="1"/>
      <c r="K85" s="1"/>
      <c r="L85" s="1"/>
      <c r="M85" s="1"/>
      <c r="N85" s="1"/>
      <c r="O85" s="1"/>
      <c r="P85" s="1"/>
      <c r="Q85" s="1"/>
      <c r="R85" s="1"/>
      <c r="S85" s="8"/>
      <c r="T85" s="8"/>
    </row>
    <row r="86" spans="1:20" ht="121" customHeight="1">
      <c r="A86" s="1"/>
      <c r="B86" s="1"/>
      <c r="C86" s="1"/>
      <c r="D86" s="1"/>
      <c r="E86" s="1"/>
      <c r="F86" s="1"/>
      <c r="G86" s="1"/>
      <c r="H86" s="1"/>
      <c r="I86" s="1"/>
      <c r="J86" s="1"/>
      <c r="K86" s="1"/>
      <c r="L86" s="1"/>
      <c r="M86" s="1"/>
      <c r="N86" s="1"/>
      <c r="O86" s="1"/>
      <c r="P86" s="1"/>
      <c r="Q86" s="1"/>
      <c r="R86" s="1"/>
      <c r="S86" s="8"/>
      <c r="T86" s="8"/>
    </row>
    <row r="87" spans="1:20" ht="121" customHeight="1">
      <c r="A87" s="1"/>
      <c r="B87" s="1"/>
      <c r="C87" s="1"/>
      <c r="D87" s="1"/>
      <c r="E87" s="1"/>
      <c r="F87" s="1"/>
      <c r="G87" s="1"/>
      <c r="H87" s="1"/>
      <c r="I87" s="1"/>
      <c r="J87" s="1"/>
      <c r="K87" s="1"/>
      <c r="L87" s="1"/>
      <c r="M87" s="1"/>
      <c r="N87" s="1"/>
      <c r="O87" s="1"/>
      <c r="P87" s="1"/>
      <c r="Q87" s="1"/>
      <c r="R87" s="1"/>
      <c r="S87" s="8"/>
      <c r="T87" s="8"/>
    </row>
  </sheetData>
  <autoFilter ref="A4:T4" xr:uid="{00000000-0001-0000-0000-000000000000}"/>
  <mergeCells count="2">
    <mergeCell ref="A1:T1"/>
    <mergeCell ref="A2:T2"/>
  </mergeCells>
  <conditionalFormatting sqref="M5:M87">
    <cfRule type="expression" dxfId="15" priority="5">
      <formula>M5="Passed"</formula>
    </cfRule>
    <cfRule type="expression" dxfId="14" priority="6">
      <formula>M5="Failed"</formula>
    </cfRule>
  </conditionalFormatting>
  <conditionalFormatting sqref="Q5:Q87">
    <cfRule type="expression" dxfId="13" priority="1">
      <formula>Q5="Aprobado"</formula>
    </cfRule>
    <cfRule type="expression" dxfId="12" priority="2">
      <formula>Q5="Ajustar"</formula>
    </cfRule>
    <cfRule type="expression" dxfId="11" priority="3">
      <formula>Q5="Fuera de alcance"</formula>
    </cfRule>
    <cfRule type="expression" dxfId="10" priority="4">
      <formula>Q5="Requiere análisis"</formula>
    </cfRule>
  </conditionalFormatting>
  <conditionalFormatting sqref="R5:R87">
    <cfRule type="expression" dxfId="9" priority="7">
      <formula>R5="Aprobado"</formula>
    </cfRule>
    <cfRule type="expression" dxfId="8" priority="8">
      <formula>R5="Pendiente"</formula>
    </cfRule>
    <cfRule type="expression" dxfId="7" priority="9">
      <formula>R5="Ajustar"</formula>
    </cfRule>
    <cfRule type="expression" dxfId="6" priority="10">
      <formula>R5="Fuera de alcance"</formula>
    </cfRule>
    <cfRule type="expression" dxfId="5" priority="11">
      <formula>R5="Requiere análisis"</formula>
    </cfRule>
  </conditionalFormatting>
  <conditionalFormatting sqref="T5:T87">
    <cfRule type="expression" dxfId="4" priority="12">
      <formula>T5&lt;&gt;""</formula>
    </cfRule>
  </conditionalFormatting>
  <dataValidations count="2">
    <dataValidation type="list" sqref="M5:M87" xr:uid="{00000000-0002-0000-0000-000000000000}">
      <formula1>"Pendiente,Passed,Failed,Passed parcial,No aplica"</formula1>
    </dataValidation>
    <dataValidation type="list" sqref="R5:R87" xr:uid="{00000000-0002-0000-0000-000001000000}">
      <formula1>"Pendiente,Aprobado,Ajustar,Fuera de alcance,Requiere análisis"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election activeCell="C5" sqref="C5"/>
    </sheetView>
  </sheetViews>
  <sheetFormatPr baseColWidth="10" defaultColWidth="8.83203125" defaultRowHeight="14"/>
  <cols>
    <col min="1" max="1" width="14" customWidth="1"/>
    <col min="2" max="2" width="28" customWidth="1"/>
    <col min="3" max="3" width="55" customWidth="1"/>
    <col min="4" max="4" width="65" customWidth="1"/>
  </cols>
  <sheetData>
    <row r="1" spans="1:4" ht="19">
      <c r="A1" s="26" t="s">
        <v>541</v>
      </c>
      <c r="B1" s="26"/>
      <c r="C1" s="26"/>
      <c r="D1" s="26"/>
    </row>
    <row r="3" spans="1:4" ht="16">
      <c r="A3" s="2" t="s">
        <v>542</v>
      </c>
      <c r="B3" s="2" t="s">
        <v>543</v>
      </c>
      <c r="C3" s="2" t="s">
        <v>544</v>
      </c>
      <c r="D3" s="2" t="s">
        <v>545</v>
      </c>
    </row>
    <row r="4" spans="1:4" ht="65">
      <c r="A4" s="3" t="s">
        <v>79</v>
      </c>
      <c r="B4" s="3" t="s">
        <v>546</v>
      </c>
      <c r="C4" s="3" t="s">
        <v>547</v>
      </c>
      <c r="D4" s="3" t="s">
        <v>548</v>
      </c>
    </row>
    <row r="5" spans="1:4" ht="39">
      <c r="A5" s="3" t="s">
        <v>103</v>
      </c>
      <c r="B5" s="3" t="s">
        <v>549</v>
      </c>
      <c r="C5" s="3" t="s">
        <v>550</v>
      </c>
      <c r="D5" s="3" t="s">
        <v>551</v>
      </c>
    </row>
    <row r="6" spans="1:4" ht="52">
      <c r="A6" s="3" t="s">
        <v>135</v>
      </c>
      <c r="B6" s="3" t="s">
        <v>552</v>
      </c>
      <c r="C6" s="3" t="s">
        <v>553</v>
      </c>
      <c r="D6" s="3" t="s">
        <v>554</v>
      </c>
    </row>
    <row r="7" spans="1:4" ht="52">
      <c r="A7" s="3" t="s">
        <v>166</v>
      </c>
      <c r="B7" s="3" t="s">
        <v>555</v>
      </c>
      <c r="C7" s="3" t="s">
        <v>556</v>
      </c>
      <c r="D7" s="3" t="s">
        <v>557</v>
      </c>
    </row>
    <row r="8" spans="1:4" ht="39">
      <c r="A8" s="3" t="s">
        <v>175</v>
      </c>
      <c r="B8" s="3" t="s">
        <v>558</v>
      </c>
      <c r="C8" s="3" t="s">
        <v>559</v>
      </c>
      <c r="D8" s="3" t="s">
        <v>560</v>
      </c>
    </row>
    <row r="9" spans="1:4" ht="39">
      <c r="A9" s="3" t="s">
        <v>203</v>
      </c>
      <c r="B9" s="3" t="s">
        <v>561</v>
      </c>
      <c r="C9" s="3" t="s">
        <v>562</v>
      </c>
      <c r="D9" s="3" t="s">
        <v>563</v>
      </c>
    </row>
    <row r="10" spans="1:4" ht="52">
      <c r="A10" s="3" t="s">
        <v>227</v>
      </c>
      <c r="B10" s="3" t="s">
        <v>564</v>
      </c>
      <c r="C10" s="3" t="s">
        <v>565</v>
      </c>
      <c r="D10" s="3" t="s">
        <v>566</v>
      </c>
    </row>
    <row r="11" spans="1:4" ht="52">
      <c r="A11" s="3" t="s">
        <v>245</v>
      </c>
      <c r="B11" s="3" t="s">
        <v>567</v>
      </c>
      <c r="C11" s="3" t="s">
        <v>568</v>
      </c>
      <c r="D11" s="3" t="s">
        <v>569</v>
      </c>
    </row>
    <row r="12" spans="1:4" ht="65">
      <c r="A12" s="3" t="s">
        <v>260</v>
      </c>
      <c r="B12" s="3" t="s">
        <v>570</v>
      </c>
      <c r="C12" s="3" t="s">
        <v>571</v>
      </c>
      <c r="D12" s="3" t="s">
        <v>572</v>
      </c>
    </row>
    <row r="13" spans="1:4" ht="39">
      <c r="A13" s="3" t="s">
        <v>298</v>
      </c>
      <c r="B13" s="3" t="s">
        <v>573</v>
      </c>
      <c r="C13" s="3" t="s">
        <v>574</v>
      </c>
      <c r="D13" s="3" t="s">
        <v>575</v>
      </c>
    </row>
    <row r="14" spans="1:4" ht="52">
      <c r="A14" s="3" t="s">
        <v>319</v>
      </c>
      <c r="B14" s="3" t="s">
        <v>576</v>
      </c>
      <c r="C14" s="3" t="s">
        <v>577</v>
      </c>
      <c r="D14" s="3" t="s">
        <v>578</v>
      </c>
    </row>
    <row r="15" spans="1:4" ht="39">
      <c r="A15" s="3" t="s">
        <v>486</v>
      </c>
      <c r="B15" s="3" t="s">
        <v>579</v>
      </c>
      <c r="C15" s="3" t="s">
        <v>580</v>
      </c>
      <c r="D15" s="3" t="s">
        <v>581</v>
      </c>
    </row>
    <row r="16" spans="1:4" ht="39">
      <c r="A16" s="3" t="s">
        <v>349</v>
      </c>
      <c r="B16" s="3" t="s">
        <v>582</v>
      </c>
      <c r="C16" s="3" t="s">
        <v>583</v>
      </c>
      <c r="D16" s="3" t="s">
        <v>584</v>
      </c>
    </row>
    <row r="17" spans="1:4" ht="39">
      <c r="A17" s="3" t="s">
        <v>378</v>
      </c>
      <c r="B17" s="3" t="s">
        <v>585</v>
      </c>
      <c r="C17" s="3" t="s">
        <v>586</v>
      </c>
      <c r="D17" s="3" t="s">
        <v>587</v>
      </c>
    </row>
    <row r="18" spans="1:4" ht="39">
      <c r="A18" s="3" t="s">
        <v>387</v>
      </c>
      <c r="B18" s="3" t="s">
        <v>588</v>
      </c>
      <c r="C18" s="3" t="s">
        <v>589</v>
      </c>
      <c r="D18" s="3" t="s">
        <v>590</v>
      </c>
    </row>
    <row r="19" spans="1:4" ht="52">
      <c r="A19" s="3" t="s">
        <v>430</v>
      </c>
      <c r="B19" s="3" t="s">
        <v>591</v>
      </c>
      <c r="C19" s="3" t="s">
        <v>592</v>
      </c>
      <c r="D19" s="3" t="s">
        <v>593</v>
      </c>
    </row>
    <row r="20" spans="1:4" ht="52">
      <c r="A20" s="3" t="s">
        <v>64</v>
      </c>
      <c r="B20" s="3" t="s">
        <v>594</v>
      </c>
      <c r="C20" s="3" t="s">
        <v>595</v>
      </c>
      <c r="D20" s="3" t="s">
        <v>596</v>
      </c>
    </row>
    <row r="21" spans="1:4" ht="39">
      <c r="A21" s="3" t="s">
        <v>509</v>
      </c>
      <c r="B21" s="3" t="s">
        <v>597</v>
      </c>
      <c r="C21" s="3" t="s">
        <v>598</v>
      </c>
      <c r="D21" s="3" t="s">
        <v>599</v>
      </c>
    </row>
    <row r="22" spans="1:4" ht="52">
      <c r="A22" s="3" t="s">
        <v>453</v>
      </c>
      <c r="B22" s="3" t="s">
        <v>600</v>
      </c>
      <c r="C22" s="3" t="s">
        <v>601</v>
      </c>
      <c r="D22" s="3" t="s">
        <v>602</v>
      </c>
    </row>
    <row r="23" spans="1:4" ht="160" customHeight="1">
      <c r="A23" s="3"/>
      <c r="B23" s="3"/>
      <c r="C23" s="3"/>
      <c r="D23" s="3"/>
    </row>
    <row r="24" spans="1:4" ht="160" customHeight="1">
      <c r="A24" s="3"/>
      <c r="B24" s="3"/>
      <c r="C24" s="3"/>
      <c r="D24" s="3"/>
    </row>
    <row r="25" spans="1:4" ht="160" customHeight="1">
      <c r="A25" s="3"/>
      <c r="B25" s="3"/>
      <c r="C25" s="3"/>
      <c r="D25" s="3"/>
    </row>
    <row r="26" spans="1:4" ht="160" customHeight="1">
      <c r="A26" s="3"/>
      <c r="B26" s="3"/>
      <c r="C26" s="3"/>
      <c r="D26" s="3"/>
    </row>
    <row r="27" spans="1:4" ht="160" customHeight="1">
      <c r="A27" s="3"/>
      <c r="B27" s="3"/>
      <c r="C27" s="3"/>
      <c r="D27" s="3"/>
    </row>
    <row r="28" spans="1:4" ht="160" customHeight="1">
      <c r="A28" s="3"/>
      <c r="B28" s="3"/>
      <c r="C28" s="3"/>
      <c r="D28" s="3"/>
    </row>
    <row r="29" spans="1:4" ht="160" customHeight="1">
      <c r="A29" s="3"/>
      <c r="B29" s="3"/>
      <c r="C29" s="3"/>
      <c r="D29" s="3"/>
    </row>
    <row r="30" spans="1:4" ht="160" customHeight="1">
      <c r="A30" s="3"/>
      <c r="B30" s="3"/>
      <c r="C30" s="3"/>
      <c r="D30" s="3"/>
    </row>
    <row r="31" spans="1:4" ht="160" customHeight="1">
      <c r="A31" s="3"/>
      <c r="B31" s="3"/>
      <c r="C31" s="3"/>
      <c r="D31" s="3"/>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4"/>
  <sheetViews>
    <sheetView workbookViewId="0">
      <selection sqref="A1:F1"/>
    </sheetView>
  </sheetViews>
  <sheetFormatPr baseColWidth="10" defaultColWidth="8.83203125" defaultRowHeight="14"/>
  <cols>
    <col min="1" max="1" width="22" customWidth="1"/>
    <col min="2" max="2" width="28" customWidth="1"/>
    <col min="3" max="3" width="60" customWidth="1"/>
    <col min="4" max="4" width="30" customWidth="1"/>
    <col min="5" max="5" width="28" customWidth="1"/>
    <col min="6" max="6" width="52" customWidth="1"/>
  </cols>
  <sheetData>
    <row r="1" spans="1:6" ht="19">
      <c r="A1" s="26" t="s">
        <v>603</v>
      </c>
      <c r="B1" s="26"/>
      <c r="C1" s="26"/>
      <c r="D1" s="26"/>
      <c r="E1" s="26"/>
      <c r="F1" s="27"/>
    </row>
    <row r="3" spans="1:6" ht="16">
      <c r="A3" s="7" t="s">
        <v>542</v>
      </c>
      <c r="B3" s="7" t="s">
        <v>604</v>
      </c>
      <c r="C3" s="7" t="s">
        <v>605</v>
      </c>
      <c r="D3" s="7" t="s">
        <v>606</v>
      </c>
      <c r="E3" s="7" t="s">
        <v>48</v>
      </c>
      <c r="F3" s="7" t="s">
        <v>49</v>
      </c>
    </row>
    <row r="4" spans="1:6" ht="115.75" customHeight="1">
      <c r="A4" s="3" t="s">
        <v>607</v>
      </c>
      <c r="B4" s="3" t="s">
        <v>608</v>
      </c>
      <c r="C4" s="3" t="s">
        <v>609</v>
      </c>
      <c r="D4" s="3" t="s">
        <v>610</v>
      </c>
      <c r="E4" s="3" t="s">
        <v>611</v>
      </c>
      <c r="F4" s="5" t="s">
        <v>612</v>
      </c>
    </row>
    <row r="5" spans="1:6" ht="115.75" customHeight="1">
      <c r="A5" s="3" t="s">
        <v>613</v>
      </c>
      <c r="B5" s="3" t="s">
        <v>608</v>
      </c>
      <c r="C5" s="3" t="s">
        <v>614</v>
      </c>
      <c r="D5" s="3" t="s">
        <v>610</v>
      </c>
      <c r="E5" s="3" t="s">
        <v>611</v>
      </c>
      <c r="F5" s="5" t="s">
        <v>615</v>
      </c>
    </row>
    <row r="6" spans="1:6" ht="115.75" customHeight="1">
      <c r="A6" s="3" t="s">
        <v>616</v>
      </c>
      <c r="B6" s="3" t="s">
        <v>608</v>
      </c>
      <c r="C6" s="3" t="s">
        <v>617</v>
      </c>
      <c r="D6" s="3" t="s">
        <v>610</v>
      </c>
      <c r="E6" s="3" t="s">
        <v>611</v>
      </c>
      <c r="F6" s="5" t="s">
        <v>618</v>
      </c>
    </row>
    <row r="7" spans="1:6" ht="115.75" customHeight="1">
      <c r="A7" s="3" t="s">
        <v>619</v>
      </c>
      <c r="B7" s="3" t="s">
        <v>608</v>
      </c>
      <c r="C7" s="3" t="s">
        <v>620</v>
      </c>
      <c r="D7" s="3" t="s">
        <v>610</v>
      </c>
      <c r="E7" s="3" t="s">
        <v>611</v>
      </c>
      <c r="F7" s="5" t="s">
        <v>621</v>
      </c>
    </row>
    <row r="8" spans="1:6" ht="115.75" customHeight="1">
      <c r="A8" s="3" t="s">
        <v>622</v>
      </c>
      <c r="B8" s="3" t="s">
        <v>608</v>
      </c>
      <c r="C8" s="3" t="s">
        <v>623</v>
      </c>
      <c r="D8" s="3" t="s">
        <v>610</v>
      </c>
      <c r="E8" s="3" t="s">
        <v>611</v>
      </c>
      <c r="F8" s="5" t="s">
        <v>624</v>
      </c>
    </row>
    <row r="9" spans="1:6" ht="115.75" customHeight="1">
      <c r="A9" s="3" t="s">
        <v>625</v>
      </c>
      <c r="B9" s="3" t="s">
        <v>131</v>
      </c>
      <c r="C9" s="3" t="s">
        <v>626</v>
      </c>
      <c r="D9" s="3" t="s">
        <v>610</v>
      </c>
      <c r="E9" s="3" t="s">
        <v>611</v>
      </c>
      <c r="F9" s="5" t="s">
        <v>627</v>
      </c>
    </row>
    <row r="10" spans="1:6" ht="115.75" customHeight="1">
      <c r="A10" s="3" t="s">
        <v>628</v>
      </c>
      <c r="B10" s="3" t="s">
        <v>131</v>
      </c>
      <c r="C10" s="3" t="s">
        <v>629</v>
      </c>
      <c r="D10" s="3" t="s">
        <v>610</v>
      </c>
      <c r="E10" s="3" t="s">
        <v>611</v>
      </c>
      <c r="F10" s="5" t="s">
        <v>630</v>
      </c>
    </row>
    <row r="11" spans="1:6" ht="115.75" customHeight="1">
      <c r="A11" s="3" t="s">
        <v>631</v>
      </c>
      <c r="B11" s="3" t="s">
        <v>131</v>
      </c>
      <c r="C11" s="3" t="s">
        <v>632</v>
      </c>
      <c r="D11" s="3" t="s">
        <v>610</v>
      </c>
      <c r="E11" s="3" t="s">
        <v>611</v>
      </c>
      <c r="F11" s="5" t="s">
        <v>633</v>
      </c>
    </row>
    <row r="12" spans="1:6" ht="115.75" customHeight="1">
      <c r="A12" s="3" t="s">
        <v>634</v>
      </c>
      <c r="B12" s="3" t="s">
        <v>131</v>
      </c>
      <c r="C12" s="3" t="s">
        <v>635</v>
      </c>
      <c r="D12" s="3" t="s">
        <v>610</v>
      </c>
      <c r="E12" s="3" t="s">
        <v>611</v>
      </c>
      <c r="F12" s="5" t="s">
        <v>636</v>
      </c>
    </row>
    <row r="13" spans="1:6" ht="115.75" customHeight="1">
      <c r="A13" s="3" t="s">
        <v>637</v>
      </c>
      <c r="B13" s="3" t="s">
        <v>131</v>
      </c>
      <c r="C13" s="3" t="s">
        <v>638</v>
      </c>
      <c r="D13" s="3" t="s">
        <v>610</v>
      </c>
      <c r="E13" s="3" t="s">
        <v>611</v>
      </c>
      <c r="F13" s="5" t="s">
        <v>639</v>
      </c>
    </row>
    <row r="14" spans="1:6" ht="115.75" customHeight="1">
      <c r="A14" s="3" t="s">
        <v>640</v>
      </c>
      <c r="B14" s="3" t="s">
        <v>131</v>
      </c>
      <c r="C14" s="3" t="s">
        <v>641</v>
      </c>
      <c r="D14" s="3" t="s">
        <v>610</v>
      </c>
      <c r="E14" s="3" t="s">
        <v>611</v>
      </c>
      <c r="F14" s="5" t="s">
        <v>642</v>
      </c>
    </row>
    <row r="15" spans="1:6" ht="115.75" customHeight="1">
      <c r="A15" s="3" t="s">
        <v>643</v>
      </c>
      <c r="B15" s="3" t="s">
        <v>644</v>
      </c>
      <c r="C15" s="3" t="s">
        <v>645</v>
      </c>
      <c r="D15" s="3" t="s">
        <v>610</v>
      </c>
      <c r="E15" s="3" t="s">
        <v>611</v>
      </c>
      <c r="F15" s="5" t="s">
        <v>646</v>
      </c>
    </row>
    <row r="16" spans="1:6" ht="115.75" customHeight="1">
      <c r="A16" s="3" t="s">
        <v>647</v>
      </c>
      <c r="B16" s="3" t="s">
        <v>644</v>
      </c>
      <c r="C16" s="3" t="s">
        <v>648</v>
      </c>
      <c r="D16" s="3" t="s">
        <v>177</v>
      </c>
      <c r="E16" s="3" t="s">
        <v>611</v>
      </c>
      <c r="F16" s="5" t="s">
        <v>649</v>
      </c>
    </row>
    <row r="17" spans="1:6" ht="115.75" customHeight="1">
      <c r="A17" s="3" t="s">
        <v>650</v>
      </c>
      <c r="B17" s="3" t="s">
        <v>644</v>
      </c>
      <c r="C17" s="3" t="s">
        <v>651</v>
      </c>
      <c r="D17" s="3" t="s">
        <v>177</v>
      </c>
      <c r="E17" s="3" t="s">
        <v>611</v>
      </c>
      <c r="F17" s="5" t="s">
        <v>646</v>
      </c>
    </row>
    <row r="18" spans="1:6" ht="115.75" customHeight="1">
      <c r="A18" s="3" t="s">
        <v>652</v>
      </c>
      <c r="B18" s="3" t="s">
        <v>644</v>
      </c>
      <c r="C18" s="3" t="s">
        <v>653</v>
      </c>
      <c r="D18" s="3" t="s">
        <v>610</v>
      </c>
      <c r="E18" s="3" t="s">
        <v>611</v>
      </c>
      <c r="F18" s="5" t="s">
        <v>654</v>
      </c>
    </row>
    <row r="19" spans="1:6" ht="115.75" customHeight="1">
      <c r="A19" s="3" t="s">
        <v>655</v>
      </c>
      <c r="B19" s="3" t="s">
        <v>644</v>
      </c>
      <c r="C19" s="3" t="s">
        <v>656</v>
      </c>
      <c r="D19" s="3" t="s">
        <v>610</v>
      </c>
      <c r="E19" s="3" t="s">
        <v>611</v>
      </c>
      <c r="F19" s="5" t="s">
        <v>657</v>
      </c>
    </row>
    <row r="20" spans="1:6" ht="115.75" customHeight="1">
      <c r="A20" s="3" t="s">
        <v>658</v>
      </c>
      <c r="B20" s="3" t="s">
        <v>200</v>
      </c>
      <c r="C20" s="3" t="s">
        <v>659</v>
      </c>
      <c r="D20" s="3" t="s">
        <v>610</v>
      </c>
      <c r="E20" s="3" t="s">
        <v>611</v>
      </c>
      <c r="F20" s="5" t="s">
        <v>660</v>
      </c>
    </row>
    <row r="21" spans="1:6" ht="115.75" customHeight="1">
      <c r="A21" s="3" t="s">
        <v>661</v>
      </c>
      <c r="B21" s="3" t="s">
        <v>200</v>
      </c>
      <c r="C21" s="3" t="s">
        <v>662</v>
      </c>
      <c r="D21" s="3" t="s">
        <v>610</v>
      </c>
      <c r="E21" s="3" t="s">
        <v>611</v>
      </c>
      <c r="F21" s="5" t="s">
        <v>663</v>
      </c>
    </row>
    <row r="22" spans="1:6" ht="115.75" customHeight="1">
      <c r="A22" s="3" t="s">
        <v>664</v>
      </c>
      <c r="B22" s="3" t="s">
        <v>200</v>
      </c>
      <c r="C22" s="3" t="s">
        <v>665</v>
      </c>
      <c r="D22" s="3" t="s">
        <v>610</v>
      </c>
      <c r="E22" s="3" t="s">
        <v>611</v>
      </c>
      <c r="F22" s="5" t="s">
        <v>657</v>
      </c>
    </row>
    <row r="23" spans="1:6" ht="115.75" customHeight="1">
      <c r="A23" s="3" t="s">
        <v>666</v>
      </c>
      <c r="B23" s="3" t="s">
        <v>200</v>
      </c>
      <c r="C23" s="3" t="s">
        <v>667</v>
      </c>
      <c r="D23" s="3" t="s">
        <v>610</v>
      </c>
      <c r="E23" s="3" t="s">
        <v>611</v>
      </c>
      <c r="F23" s="5" t="s">
        <v>660</v>
      </c>
    </row>
    <row r="24" spans="1:6" ht="115.75" customHeight="1">
      <c r="A24" s="3" t="s">
        <v>668</v>
      </c>
      <c r="B24" s="3" t="s">
        <v>200</v>
      </c>
      <c r="C24" s="3" t="s">
        <v>669</v>
      </c>
      <c r="D24" s="3" t="s">
        <v>610</v>
      </c>
      <c r="E24" s="3" t="s">
        <v>611</v>
      </c>
      <c r="F24" s="5" t="s">
        <v>660</v>
      </c>
    </row>
    <row r="25" spans="1:6" ht="115.75" customHeight="1">
      <c r="A25" s="3" t="s">
        <v>670</v>
      </c>
      <c r="B25" s="3" t="s">
        <v>200</v>
      </c>
      <c r="C25" s="3" t="s">
        <v>671</v>
      </c>
      <c r="D25" s="3" t="s">
        <v>610</v>
      </c>
      <c r="E25" s="3" t="s">
        <v>611</v>
      </c>
      <c r="F25" s="5" t="s">
        <v>663</v>
      </c>
    </row>
    <row r="26" spans="1:6" ht="115.75" customHeight="1">
      <c r="A26" s="3" t="s">
        <v>672</v>
      </c>
      <c r="B26" s="3" t="s">
        <v>223</v>
      </c>
      <c r="C26" s="3" t="s">
        <v>673</v>
      </c>
      <c r="D26" s="3" t="s">
        <v>610</v>
      </c>
      <c r="E26" s="3" t="s">
        <v>611</v>
      </c>
      <c r="F26" s="5" t="s">
        <v>674</v>
      </c>
    </row>
    <row r="27" spans="1:6" ht="115.75" customHeight="1">
      <c r="A27" s="3" t="s">
        <v>675</v>
      </c>
      <c r="B27" s="3" t="s">
        <v>223</v>
      </c>
      <c r="C27" s="3" t="s">
        <v>676</v>
      </c>
      <c r="D27" s="3" t="s">
        <v>610</v>
      </c>
      <c r="E27" s="3" t="s">
        <v>611</v>
      </c>
      <c r="F27" s="5" t="s">
        <v>677</v>
      </c>
    </row>
    <row r="28" spans="1:6" ht="115.75" customHeight="1">
      <c r="A28" s="3" t="s">
        <v>678</v>
      </c>
      <c r="B28" s="3" t="s">
        <v>223</v>
      </c>
      <c r="C28" s="3" t="s">
        <v>679</v>
      </c>
      <c r="D28" s="3" t="s">
        <v>610</v>
      </c>
      <c r="E28" s="3" t="s">
        <v>611</v>
      </c>
      <c r="F28" s="5" t="s">
        <v>680</v>
      </c>
    </row>
    <row r="29" spans="1:6" ht="115.75" customHeight="1">
      <c r="A29" s="3" t="s">
        <v>681</v>
      </c>
      <c r="B29" s="3" t="s">
        <v>223</v>
      </c>
      <c r="C29" s="3" t="s">
        <v>682</v>
      </c>
      <c r="D29" s="3" t="s">
        <v>610</v>
      </c>
      <c r="E29" s="3" t="s">
        <v>611</v>
      </c>
      <c r="F29" s="5" t="s">
        <v>683</v>
      </c>
    </row>
    <row r="30" spans="1:6" ht="115.75" customHeight="1">
      <c r="A30" s="3" t="s">
        <v>487</v>
      </c>
      <c r="B30" s="3" t="s">
        <v>223</v>
      </c>
      <c r="C30" s="3" t="s">
        <v>684</v>
      </c>
      <c r="D30" s="3" t="s">
        <v>610</v>
      </c>
      <c r="E30" s="3" t="s">
        <v>611</v>
      </c>
      <c r="F30" s="5" t="s">
        <v>685</v>
      </c>
    </row>
    <row r="31" spans="1:6" ht="115.75" customHeight="1">
      <c r="A31" s="3" t="s">
        <v>686</v>
      </c>
      <c r="B31" s="3" t="s">
        <v>223</v>
      </c>
      <c r="C31" s="3" t="s">
        <v>687</v>
      </c>
      <c r="D31" s="3" t="s">
        <v>610</v>
      </c>
      <c r="E31" s="3" t="s">
        <v>611</v>
      </c>
      <c r="F31" s="5" t="s">
        <v>688</v>
      </c>
    </row>
    <row r="32" spans="1:6" ht="115.75" customHeight="1">
      <c r="A32" s="3" t="s">
        <v>689</v>
      </c>
      <c r="B32" s="3" t="s">
        <v>690</v>
      </c>
      <c r="C32" s="3" t="s">
        <v>691</v>
      </c>
      <c r="D32" s="3" t="s">
        <v>610</v>
      </c>
      <c r="E32" s="3" t="s">
        <v>611</v>
      </c>
      <c r="F32" s="5" t="s">
        <v>692</v>
      </c>
    </row>
    <row r="33" spans="1:6" ht="115.75" customHeight="1">
      <c r="A33" s="3" t="s">
        <v>693</v>
      </c>
      <c r="B33" s="3" t="s">
        <v>690</v>
      </c>
      <c r="C33" s="3" t="s">
        <v>694</v>
      </c>
      <c r="D33" s="3" t="s">
        <v>610</v>
      </c>
      <c r="E33" s="3" t="s">
        <v>611</v>
      </c>
      <c r="F33" s="5" t="s">
        <v>695</v>
      </c>
    </row>
    <row r="34" spans="1:6" ht="115.75" customHeight="1">
      <c r="A34" s="3" t="s">
        <v>267</v>
      </c>
      <c r="B34" s="3" t="s">
        <v>690</v>
      </c>
      <c r="C34" s="3" t="s">
        <v>696</v>
      </c>
      <c r="D34" s="3" t="s">
        <v>610</v>
      </c>
      <c r="E34" s="3" t="s">
        <v>611</v>
      </c>
      <c r="F34" s="5" t="s">
        <v>697</v>
      </c>
    </row>
    <row r="35" spans="1:6" ht="115.75" customHeight="1">
      <c r="A35" s="3" t="s">
        <v>698</v>
      </c>
      <c r="B35" s="3" t="s">
        <v>690</v>
      </c>
      <c r="C35" s="3" t="s">
        <v>699</v>
      </c>
      <c r="D35" s="3" t="s">
        <v>610</v>
      </c>
      <c r="E35" s="3" t="s">
        <v>611</v>
      </c>
      <c r="F35" s="5" t="s">
        <v>700</v>
      </c>
    </row>
    <row r="36" spans="1:6" ht="115.75" customHeight="1">
      <c r="A36" s="3" t="s">
        <v>701</v>
      </c>
      <c r="B36" s="3" t="s">
        <v>690</v>
      </c>
      <c r="C36" s="3" t="s">
        <v>702</v>
      </c>
      <c r="D36" s="3" t="s">
        <v>610</v>
      </c>
      <c r="E36" s="3" t="s">
        <v>611</v>
      </c>
      <c r="F36" s="5" t="s">
        <v>703</v>
      </c>
    </row>
    <row r="37" spans="1:6" ht="115.75" customHeight="1">
      <c r="A37" s="3" t="s">
        <v>284</v>
      </c>
      <c r="B37" s="3" t="s">
        <v>690</v>
      </c>
      <c r="C37" s="3" t="s">
        <v>704</v>
      </c>
      <c r="D37" s="3" t="s">
        <v>610</v>
      </c>
      <c r="E37" s="3" t="s">
        <v>611</v>
      </c>
      <c r="F37" s="5" t="s">
        <v>705</v>
      </c>
    </row>
    <row r="38" spans="1:6" ht="115.75" customHeight="1">
      <c r="A38" s="3" t="s">
        <v>706</v>
      </c>
      <c r="B38" s="3" t="s">
        <v>690</v>
      </c>
      <c r="C38" s="3" t="s">
        <v>707</v>
      </c>
      <c r="D38" s="3" t="s">
        <v>610</v>
      </c>
      <c r="E38" s="3" t="s">
        <v>611</v>
      </c>
      <c r="F38" s="5" t="s">
        <v>708</v>
      </c>
    </row>
    <row r="39" spans="1:6" ht="115.75" customHeight="1">
      <c r="A39" s="3" t="s">
        <v>290</v>
      </c>
      <c r="B39" s="3" t="s">
        <v>690</v>
      </c>
      <c r="C39" s="3" t="s">
        <v>709</v>
      </c>
      <c r="D39" s="3" t="s">
        <v>610</v>
      </c>
      <c r="E39" s="3" t="s">
        <v>611</v>
      </c>
      <c r="F39" s="5" t="s">
        <v>710</v>
      </c>
    </row>
    <row r="40" spans="1:6" ht="115.75" customHeight="1">
      <c r="A40" s="3" t="s">
        <v>711</v>
      </c>
      <c r="B40" s="3" t="s">
        <v>294</v>
      </c>
      <c r="C40" s="3" t="s">
        <v>712</v>
      </c>
      <c r="D40" s="3" t="s">
        <v>610</v>
      </c>
      <c r="E40" s="3" t="s">
        <v>611</v>
      </c>
      <c r="F40" s="5" t="s">
        <v>713</v>
      </c>
    </row>
    <row r="41" spans="1:6" ht="115.75" customHeight="1">
      <c r="A41" s="3" t="s">
        <v>714</v>
      </c>
      <c r="B41" s="3" t="s">
        <v>294</v>
      </c>
      <c r="C41" s="3" t="s">
        <v>715</v>
      </c>
      <c r="D41" s="3" t="s">
        <v>610</v>
      </c>
      <c r="E41" s="3" t="s">
        <v>611</v>
      </c>
      <c r="F41" s="5" t="s">
        <v>716</v>
      </c>
    </row>
    <row r="42" spans="1:6" ht="115.75" customHeight="1">
      <c r="A42" s="3" t="s">
        <v>717</v>
      </c>
      <c r="B42" s="3" t="s">
        <v>294</v>
      </c>
      <c r="C42" s="3" t="s">
        <v>718</v>
      </c>
      <c r="D42" s="3" t="s">
        <v>610</v>
      </c>
      <c r="E42" s="3" t="s">
        <v>611</v>
      </c>
      <c r="F42" s="5" t="s">
        <v>719</v>
      </c>
    </row>
    <row r="43" spans="1:6" ht="115.75" customHeight="1">
      <c r="A43" s="3" t="s">
        <v>306</v>
      </c>
      <c r="B43" s="3" t="s">
        <v>294</v>
      </c>
      <c r="C43" s="3" t="s">
        <v>720</v>
      </c>
      <c r="D43" s="3" t="s">
        <v>610</v>
      </c>
      <c r="E43" s="3" t="s">
        <v>611</v>
      </c>
      <c r="F43" s="5" t="s">
        <v>721</v>
      </c>
    </row>
    <row r="44" spans="1:6" ht="115.75" customHeight="1">
      <c r="A44" s="3" t="s">
        <v>312</v>
      </c>
      <c r="B44" s="3" t="s">
        <v>294</v>
      </c>
      <c r="C44" s="3" t="s">
        <v>722</v>
      </c>
      <c r="D44" s="3" t="s">
        <v>610</v>
      </c>
      <c r="E44" s="3" t="s">
        <v>611</v>
      </c>
      <c r="F44" s="5" t="s">
        <v>723</v>
      </c>
    </row>
    <row r="45" spans="1:6" ht="115.75" customHeight="1">
      <c r="A45" s="3" t="s">
        <v>724</v>
      </c>
      <c r="B45" s="3" t="s">
        <v>725</v>
      </c>
      <c r="C45" s="3" t="s">
        <v>726</v>
      </c>
      <c r="D45" s="3" t="s">
        <v>610</v>
      </c>
      <c r="E45" s="3" t="s">
        <v>611</v>
      </c>
      <c r="F45" s="5" t="s">
        <v>727</v>
      </c>
    </row>
    <row r="46" spans="1:6" ht="115.75" customHeight="1">
      <c r="A46" s="3" t="s">
        <v>728</v>
      </c>
      <c r="B46" s="3" t="s">
        <v>725</v>
      </c>
      <c r="C46" s="3" t="s">
        <v>729</v>
      </c>
      <c r="D46" s="3" t="s">
        <v>610</v>
      </c>
      <c r="E46" s="3" t="s">
        <v>611</v>
      </c>
      <c r="F46" s="5" t="s">
        <v>730</v>
      </c>
    </row>
    <row r="47" spans="1:6" ht="115.75" customHeight="1">
      <c r="A47" s="3" t="s">
        <v>731</v>
      </c>
      <c r="B47" s="3" t="s">
        <v>725</v>
      </c>
      <c r="C47" s="3" t="s">
        <v>732</v>
      </c>
      <c r="D47" s="3" t="s">
        <v>733</v>
      </c>
      <c r="E47" s="3" t="s">
        <v>611</v>
      </c>
      <c r="F47" s="5" t="s">
        <v>734</v>
      </c>
    </row>
    <row r="48" spans="1:6" ht="115.75" customHeight="1">
      <c r="A48" s="3" t="s">
        <v>735</v>
      </c>
      <c r="B48" s="3" t="s">
        <v>725</v>
      </c>
      <c r="C48" s="3" t="s">
        <v>736</v>
      </c>
      <c r="D48" s="3" t="s">
        <v>610</v>
      </c>
      <c r="E48" s="3" t="s">
        <v>611</v>
      </c>
      <c r="F48" s="5" t="s">
        <v>737</v>
      </c>
    </row>
    <row r="49" spans="1:6" ht="115.75" customHeight="1">
      <c r="A49" s="3" t="s">
        <v>341</v>
      </c>
      <c r="B49" s="3" t="s">
        <v>725</v>
      </c>
      <c r="C49" s="3" t="s">
        <v>738</v>
      </c>
      <c r="D49" s="3" t="s">
        <v>610</v>
      </c>
      <c r="E49" s="3" t="s">
        <v>611</v>
      </c>
      <c r="F49" s="5" t="s">
        <v>739</v>
      </c>
    </row>
    <row r="50" spans="1:6" ht="115.75" customHeight="1">
      <c r="A50" s="3" t="s">
        <v>740</v>
      </c>
      <c r="B50" s="3" t="s">
        <v>741</v>
      </c>
      <c r="C50" s="3" t="s">
        <v>742</v>
      </c>
      <c r="D50" s="3" t="s">
        <v>610</v>
      </c>
      <c r="E50" s="3" t="s">
        <v>611</v>
      </c>
      <c r="F50" s="5" t="s">
        <v>743</v>
      </c>
    </row>
    <row r="51" spans="1:6" ht="115.75" customHeight="1">
      <c r="A51" s="3" t="s">
        <v>744</v>
      </c>
      <c r="B51" s="3" t="s">
        <v>741</v>
      </c>
      <c r="C51" s="3" t="s">
        <v>745</v>
      </c>
      <c r="D51" s="3" t="s">
        <v>610</v>
      </c>
      <c r="E51" s="3" t="s">
        <v>611</v>
      </c>
      <c r="F51" s="5" t="s">
        <v>746</v>
      </c>
    </row>
    <row r="52" spans="1:6" ht="115.75" customHeight="1">
      <c r="A52" s="3" t="s">
        <v>747</v>
      </c>
      <c r="B52" s="3" t="s">
        <v>741</v>
      </c>
      <c r="C52" s="3" t="s">
        <v>748</v>
      </c>
      <c r="D52" s="3" t="s">
        <v>610</v>
      </c>
      <c r="E52" s="3" t="s">
        <v>611</v>
      </c>
      <c r="F52" s="5" t="s">
        <v>749</v>
      </c>
    </row>
    <row r="53" spans="1:6" ht="115.75" customHeight="1">
      <c r="A53" s="3" t="s">
        <v>750</v>
      </c>
      <c r="B53" s="3" t="s">
        <v>741</v>
      </c>
      <c r="C53" s="3" t="s">
        <v>751</v>
      </c>
      <c r="D53" s="3" t="s">
        <v>610</v>
      </c>
      <c r="E53" s="3" t="s">
        <v>611</v>
      </c>
      <c r="F53" s="5" t="s">
        <v>752</v>
      </c>
    </row>
    <row r="54" spans="1:6" ht="115.75" customHeight="1">
      <c r="A54" s="3" t="s">
        <v>753</v>
      </c>
      <c r="B54" s="3" t="s">
        <v>741</v>
      </c>
      <c r="C54" s="3" t="s">
        <v>754</v>
      </c>
      <c r="D54" s="3" t="s">
        <v>610</v>
      </c>
      <c r="E54" s="3" t="s">
        <v>611</v>
      </c>
      <c r="F54" s="5" t="s">
        <v>755</v>
      </c>
    </row>
    <row r="55" spans="1:6" ht="115.75" customHeight="1">
      <c r="A55" s="3" t="s">
        <v>756</v>
      </c>
      <c r="B55" s="3" t="s">
        <v>345</v>
      </c>
      <c r="C55" s="3" t="s">
        <v>757</v>
      </c>
      <c r="D55" s="3" t="s">
        <v>610</v>
      </c>
      <c r="E55" s="3" t="s">
        <v>611</v>
      </c>
      <c r="F55" s="5" t="s">
        <v>758</v>
      </c>
    </row>
    <row r="56" spans="1:6" ht="115.75" customHeight="1">
      <c r="A56" s="3" t="s">
        <v>759</v>
      </c>
      <c r="B56" s="3" t="s">
        <v>345</v>
      </c>
      <c r="C56" s="3" t="s">
        <v>760</v>
      </c>
      <c r="D56" s="3" t="s">
        <v>610</v>
      </c>
      <c r="E56" s="3" t="s">
        <v>611</v>
      </c>
      <c r="F56" s="5" t="s">
        <v>761</v>
      </c>
    </row>
    <row r="57" spans="1:6" ht="115.75" customHeight="1">
      <c r="A57" s="3" t="s">
        <v>364</v>
      </c>
      <c r="B57" s="3" t="s">
        <v>345</v>
      </c>
      <c r="C57" s="3" t="s">
        <v>762</v>
      </c>
      <c r="D57" s="3" t="s">
        <v>610</v>
      </c>
      <c r="E57" s="3" t="s">
        <v>611</v>
      </c>
      <c r="F57" s="5" t="s">
        <v>763</v>
      </c>
    </row>
    <row r="58" spans="1:6" ht="115.75" customHeight="1">
      <c r="A58" s="3" t="s">
        <v>371</v>
      </c>
      <c r="B58" s="3" t="s">
        <v>345</v>
      </c>
      <c r="C58" s="3" t="s">
        <v>764</v>
      </c>
      <c r="D58" s="3" t="s">
        <v>610</v>
      </c>
      <c r="E58" s="3" t="s">
        <v>611</v>
      </c>
      <c r="F58" s="5" t="s">
        <v>727</v>
      </c>
    </row>
    <row r="59" spans="1:6" ht="115.75" customHeight="1">
      <c r="A59" s="3" t="s">
        <v>765</v>
      </c>
      <c r="B59" s="3" t="s">
        <v>345</v>
      </c>
      <c r="C59" s="3" t="s">
        <v>766</v>
      </c>
      <c r="D59" s="3" t="s">
        <v>610</v>
      </c>
      <c r="E59" s="3" t="s">
        <v>611</v>
      </c>
      <c r="F59" s="5" t="s">
        <v>767</v>
      </c>
    </row>
    <row r="60" spans="1:6" ht="115.75" customHeight="1">
      <c r="A60" s="3" t="s">
        <v>768</v>
      </c>
      <c r="B60" s="3" t="s">
        <v>769</v>
      </c>
      <c r="C60" s="3" t="s">
        <v>770</v>
      </c>
      <c r="D60" s="3" t="s">
        <v>610</v>
      </c>
      <c r="E60" s="3" t="s">
        <v>611</v>
      </c>
      <c r="F60" s="5" t="s">
        <v>771</v>
      </c>
    </row>
    <row r="61" spans="1:6" ht="115.75" customHeight="1">
      <c r="A61" s="3" t="s">
        <v>772</v>
      </c>
      <c r="B61" s="3" t="s">
        <v>769</v>
      </c>
      <c r="C61" s="3" t="s">
        <v>773</v>
      </c>
      <c r="D61" s="3" t="s">
        <v>610</v>
      </c>
      <c r="E61" s="3" t="s">
        <v>611</v>
      </c>
      <c r="F61" s="5" t="s">
        <v>774</v>
      </c>
    </row>
    <row r="62" spans="1:6" ht="115.75" customHeight="1">
      <c r="A62" s="3" t="s">
        <v>775</v>
      </c>
      <c r="B62" s="3" t="s">
        <v>769</v>
      </c>
      <c r="C62" s="3" t="s">
        <v>776</v>
      </c>
      <c r="D62" s="3" t="s">
        <v>610</v>
      </c>
      <c r="E62" s="3" t="s">
        <v>611</v>
      </c>
      <c r="F62" s="5" t="s">
        <v>777</v>
      </c>
    </row>
    <row r="63" spans="1:6" ht="115.75" customHeight="1">
      <c r="A63" s="3" t="s">
        <v>778</v>
      </c>
      <c r="B63" s="3" t="s">
        <v>769</v>
      </c>
      <c r="C63" s="3" t="s">
        <v>779</v>
      </c>
      <c r="D63" s="3" t="s">
        <v>610</v>
      </c>
      <c r="E63" s="3" t="s">
        <v>611</v>
      </c>
      <c r="F63" s="5" t="s">
        <v>780</v>
      </c>
    </row>
    <row r="64" spans="1:6" ht="115.75" customHeight="1">
      <c r="A64" s="3" t="s">
        <v>781</v>
      </c>
      <c r="B64" s="3" t="s">
        <v>769</v>
      </c>
      <c r="C64" s="3" t="s">
        <v>782</v>
      </c>
      <c r="D64" s="3" t="s">
        <v>610</v>
      </c>
      <c r="E64" s="3" t="s">
        <v>611</v>
      </c>
      <c r="F64" s="5" t="s">
        <v>783</v>
      </c>
    </row>
    <row r="65" spans="1:6" ht="115.75" customHeight="1">
      <c r="A65" s="3" t="s">
        <v>784</v>
      </c>
      <c r="B65" s="3" t="s">
        <v>785</v>
      </c>
      <c r="C65" s="3" t="s">
        <v>786</v>
      </c>
      <c r="D65" s="3" t="s">
        <v>610</v>
      </c>
      <c r="E65" s="3" t="s">
        <v>611</v>
      </c>
      <c r="F65" s="5" t="s">
        <v>787</v>
      </c>
    </row>
    <row r="66" spans="1:6" ht="115.75" customHeight="1">
      <c r="A66" s="3" t="s">
        <v>788</v>
      </c>
      <c r="B66" s="3" t="s">
        <v>785</v>
      </c>
      <c r="C66" s="3" t="s">
        <v>789</v>
      </c>
      <c r="D66" s="3" t="s">
        <v>610</v>
      </c>
      <c r="E66" s="3" t="s">
        <v>611</v>
      </c>
      <c r="F66" s="5" t="s">
        <v>790</v>
      </c>
    </row>
    <row r="67" spans="1:6" ht="115.75" customHeight="1">
      <c r="A67" s="3" t="s">
        <v>791</v>
      </c>
      <c r="B67" s="3" t="s">
        <v>785</v>
      </c>
      <c r="C67" s="3" t="s">
        <v>792</v>
      </c>
      <c r="D67" s="3" t="s">
        <v>610</v>
      </c>
      <c r="E67" s="3" t="s">
        <v>611</v>
      </c>
      <c r="F67" s="5" t="s">
        <v>793</v>
      </c>
    </row>
    <row r="68" spans="1:6" ht="115.75" customHeight="1">
      <c r="A68" s="3" t="s">
        <v>794</v>
      </c>
      <c r="B68" s="3" t="s">
        <v>785</v>
      </c>
      <c r="C68" s="3" t="s">
        <v>795</v>
      </c>
      <c r="D68" s="3" t="s">
        <v>796</v>
      </c>
      <c r="E68" s="3" t="s">
        <v>611</v>
      </c>
      <c r="F68" s="5" t="s">
        <v>797</v>
      </c>
    </row>
    <row r="69" spans="1:6" ht="115.75" customHeight="1">
      <c r="A69" s="3" t="s">
        <v>798</v>
      </c>
      <c r="B69" s="3" t="s">
        <v>799</v>
      </c>
      <c r="C69" s="3" t="s">
        <v>800</v>
      </c>
      <c r="D69" s="3" t="s">
        <v>610</v>
      </c>
      <c r="E69" s="3" t="s">
        <v>611</v>
      </c>
      <c r="F69" s="5" t="s">
        <v>801</v>
      </c>
    </row>
    <row r="70" spans="1:6" ht="115.75" customHeight="1">
      <c r="A70" s="3" t="s">
        <v>415</v>
      </c>
      <c r="B70" s="3" t="s">
        <v>799</v>
      </c>
      <c r="C70" s="3" t="s">
        <v>802</v>
      </c>
      <c r="D70" s="3" t="s">
        <v>610</v>
      </c>
      <c r="E70" s="3" t="s">
        <v>611</v>
      </c>
      <c r="F70" s="5" t="s">
        <v>803</v>
      </c>
    </row>
    <row r="71" spans="1:6" ht="115.75" customHeight="1">
      <c r="A71" s="3" t="s">
        <v>422</v>
      </c>
      <c r="B71" s="3" t="s">
        <v>799</v>
      </c>
      <c r="C71" s="3" t="s">
        <v>804</v>
      </c>
      <c r="D71" s="3" t="s">
        <v>733</v>
      </c>
      <c r="E71" s="3" t="s">
        <v>611</v>
      </c>
      <c r="F71" s="5" t="s">
        <v>805</v>
      </c>
    </row>
    <row r="72" spans="1:6" ht="115.75" customHeight="1">
      <c r="A72" s="3" t="s">
        <v>806</v>
      </c>
      <c r="B72" s="3" t="s">
        <v>799</v>
      </c>
      <c r="C72" s="3" t="s">
        <v>807</v>
      </c>
      <c r="D72" s="3" t="s">
        <v>796</v>
      </c>
      <c r="E72" s="3" t="s">
        <v>611</v>
      </c>
      <c r="F72" s="5" t="s">
        <v>808</v>
      </c>
    </row>
    <row r="73" spans="1:6" ht="115.75" customHeight="1">
      <c r="A73" s="3" t="s">
        <v>809</v>
      </c>
      <c r="B73" s="3" t="s">
        <v>799</v>
      </c>
      <c r="C73" s="3" t="s">
        <v>810</v>
      </c>
      <c r="D73" s="3" t="s">
        <v>610</v>
      </c>
      <c r="E73" s="3" t="s">
        <v>611</v>
      </c>
      <c r="F73" s="5" t="s">
        <v>811</v>
      </c>
    </row>
    <row r="74" spans="1:6" ht="115.75" customHeight="1">
      <c r="A74" s="3" t="s">
        <v>812</v>
      </c>
      <c r="B74" s="3" t="s">
        <v>799</v>
      </c>
      <c r="C74" s="3" t="s">
        <v>813</v>
      </c>
      <c r="D74" s="3" t="s">
        <v>610</v>
      </c>
      <c r="E74" s="3" t="s">
        <v>611</v>
      </c>
      <c r="F74" s="5" t="s">
        <v>814</v>
      </c>
    </row>
    <row r="75" spans="1:6" ht="115.75" customHeight="1">
      <c r="A75" s="3" t="s">
        <v>815</v>
      </c>
      <c r="B75" s="3" t="s">
        <v>816</v>
      </c>
      <c r="C75" s="3" t="s">
        <v>817</v>
      </c>
      <c r="D75" s="3" t="s">
        <v>610</v>
      </c>
      <c r="E75" s="3" t="s">
        <v>611</v>
      </c>
      <c r="F75" s="5" t="s">
        <v>818</v>
      </c>
    </row>
    <row r="76" spans="1:6" ht="115.75" customHeight="1">
      <c r="A76" s="3" t="s">
        <v>819</v>
      </c>
      <c r="B76" s="3" t="s">
        <v>816</v>
      </c>
      <c r="C76" s="3" t="s">
        <v>820</v>
      </c>
      <c r="D76" s="3" t="s">
        <v>610</v>
      </c>
      <c r="E76" s="3" t="s">
        <v>611</v>
      </c>
      <c r="F76" s="5" t="s">
        <v>821</v>
      </c>
    </row>
    <row r="77" spans="1:6" ht="115.75" customHeight="1">
      <c r="A77" s="3" t="s">
        <v>822</v>
      </c>
      <c r="B77" s="3" t="s">
        <v>816</v>
      </c>
      <c r="C77" s="3" t="s">
        <v>823</v>
      </c>
      <c r="D77" s="3" t="s">
        <v>610</v>
      </c>
      <c r="E77" s="3" t="s">
        <v>611</v>
      </c>
      <c r="F77" s="5" t="s">
        <v>824</v>
      </c>
    </row>
    <row r="78" spans="1:6" ht="115.75" customHeight="1">
      <c r="A78" s="3" t="s">
        <v>825</v>
      </c>
      <c r="B78" s="3" t="s">
        <v>816</v>
      </c>
      <c r="C78" s="3" t="s">
        <v>826</v>
      </c>
      <c r="D78" s="3" t="s">
        <v>796</v>
      </c>
      <c r="E78" s="3" t="s">
        <v>611</v>
      </c>
      <c r="F78" s="5" t="s">
        <v>827</v>
      </c>
    </row>
    <row r="79" spans="1:6" ht="115.75" customHeight="1">
      <c r="A79" s="3" t="s">
        <v>828</v>
      </c>
      <c r="B79" s="3" t="s">
        <v>816</v>
      </c>
      <c r="C79" s="3" t="s">
        <v>829</v>
      </c>
      <c r="D79" s="3" t="s">
        <v>610</v>
      </c>
      <c r="E79" s="3" t="s">
        <v>611</v>
      </c>
      <c r="F79" s="5" t="s">
        <v>830</v>
      </c>
    </row>
    <row r="80" spans="1:6" ht="115.75" customHeight="1">
      <c r="A80" s="3" t="s">
        <v>479</v>
      </c>
      <c r="B80" s="3" t="s">
        <v>816</v>
      </c>
      <c r="C80" s="3" t="s">
        <v>831</v>
      </c>
      <c r="D80" s="3" t="s">
        <v>610</v>
      </c>
      <c r="E80" s="3" t="s">
        <v>611</v>
      </c>
      <c r="F80" s="5" t="s">
        <v>832</v>
      </c>
    </row>
    <row r="81" spans="1:6" ht="115.75" customHeight="1">
      <c r="A81" s="3" t="s">
        <v>833</v>
      </c>
      <c r="B81" s="3" t="s">
        <v>816</v>
      </c>
      <c r="C81" s="3" t="s">
        <v>834</v>
      </c>
      <c r="D81" s="3" t="s">
        <v>610</v>
      </c>
      <c r="E81" s="3" t="s">
        <v>611</v>
      </c>
      <c r="F81" s="5" t="s">
        <v>835</v>
      </c>
    </row>
    <row r="82" spans="1:6" ht="115.75" customHeight="1">
      <c r="A82" s="3" t="s">
        <v>496</v>
      </c>
      <c r="B82" s="3" t="s">
        <v>836</v>
      </c>
      <c r="C82" s="3" t="s">
        <v>837</v>
      </c>
      <c r="D82" s="3" t="s">
        <v>610</v>
      </c>
      <c r="E82" s="3" t="s">
        <v>611</v>
      </c>
      <c r="F82" s="5" t="s">
        <v>838</v>
      </c>
    </row>
    <row r="83" spans="1:6" ht="115.75" customHeight="1">
      <c r="A83" s="3" t="s">
        <v>502</v>
      </c>
      <c r="B83" s="3" t="s">
        <v>836</v>
      </c>
      <c r="C83" s="3" t="s">
        <v>839</v>
      </c>
      <c r="D83" s="3" t="s">
        <v>610</v>
      </c>
      <c r="E83" s="3" t="s">
        <v>611</v>
      </c>
      <c r="F83" s="5" t="s">
        <v>840</v>
      </c>
    </row>
    <row r="84" spans="1:6" ht="115.75" customHeight="1">
      <c r="A84" s="3"/>
      <c r="B84" s="3"/>
      <c r="C84" s="3"/>
      <c r="D84" s="3"/>
      <c r="E84" s="3"/>
      <c r="F84" s="5"/>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workbookViewId="0">
      <selection activeCell="A12" sqref="A12:XFD12"/>
    </sheetView>
  </sheetViews>
  <sheetFormatPr baseColWidth="10" defaultColWidth="8.83203125" defaultRowHeight="14"/>
  <cols>
    <col min="1" max="1" width="16" customWidth="1"/>
    <col min="2" max="2" width="46" customWidth="1"/>
    <col min="3" max="3" width="24" customWidth="1"/>
    <col min="4" max="4" width="60" customWidth="1"/>
    <col min="5" max="5" width="58" customWidth="1"/>
  </cols>
  <sheetData>
    <row r="1" spans="1:5" ht="19">
      <c r="A1" s="26" t="s">
        <v>841</v>
      </c>
      <c r="B1" s="26"/>
      <c r="C1" s="26"/>
      <c r="D1" s="26"/>
      <c r="E1" s="26"/>
    </row>
    <row r="3" spans="1:5" ht="16">
      <c r="A3" s="7" t="s">
        <v>842</v>
      </c>
      <c r="B3" s="7" t="s">
        <v>843</v>
      </c>
      <c r="C3" s="7" t="s">
        <v>844</v>
      </c>
      <c r="D3" s="7" t="s">
        <v>845</v>
      </c>
      <c r="E3" s="7" t="s">
        <v>846</v>
      </c>
    </row>
    <row r="4" spans="1:5" ht="26">
      <c r="A4" s="3" t="s">
        <v>847</v>
      </c>
      <c r="B4" s="3" t="s">
        <v>848</v>
      </c>
      <c r="C4" s="3" t="s">
        <v>849</v>
      </c>
      <c r="D4" s="3" t="s">
        <v>850</v>
      </c>
      <c r="E4" s="3" t="s">
        <v>851</v>
      </c>
    </row>
    <row r="5" spans="1:5" ht="26">
      <c r="A5" s="3" t="s">
        <v>852</v>
      </c>
      <c r="B5" s="3" t="s">
        <v>853</v>
      </c>
      <c r="C5" s="3" t="s">
        <v>854</v>
      </c>
      <c r="D5" s="3" t="s">
        <v>855</v>
      </c>
      <c r="E5" s="3" t="s">
        <v>851</v>
      </c>
    </row>
    <row r="6" spans="1:5" ht="26">
      <c r="A6" s="3" t="s">
        <v>611</v>
      </c>
      <c r="B6" s="3" t="s">
        <v>856</v>
      </c>
      <c r="C6" s="3" t="s">
        <v>857</v>
      </c>
      <c r="D6" s="3" t="s">
        <v>858</v>
      </c>
      <c r="E6" s="3" t="s">
        <v>851</v>
      </c>
    </row>
    <row r="7" spans="1:5" ht="26">
      <c r="A7" s="3" t="s">
        <v>859</v>
      </c>
      <c r="B7" s="3" t="s">
        <v>860</v>
      </c>
      <c r="C7" s="3" t="s">
        <v>861</v>
      </c>
      <c r="D7" s="3" t="s">
        <v>862</v>
      </c>
      <c r="E7" s="3" t="s">
        <v>851</v>
      </c>
    </row>
    <row r="8" spans="1:5" ht="26">
      <c r="A8" s="3" t="s">
        <v>863</v>
      </c>
      <c r="B8" s="3" t="s">
        <v>864</v>
      </c>
      <c r="C8" s="3" t="s">
        <v>865</v>
      </c>
      <c r="D8" s="3" t="s">
        <v>866</v>
      </c>
      <c r="E8" s="3" t="s">
        <v>851</v>
      </c>
    </row>
    <row r="9" spans="1:5" ht="26">
      <c r="A9" s="3" t="s">
        <v>867</v>
      </c>
      <c r="B9" s="3" t="s">
        <v>868</v>
      </c>
      <c r="C9" s="3" t="s">
        <v>869</v>
      </c>
      <c r="D9" s="3" t="s">
        <v>870</v>
      </c>
      <c r="E9" s="3" t="s">
        <v>851</v>
      </c>
    </row>
    <row r="10" spans="1:5" ht="26">
      <c r="A10" s="3" t="s">
        <v>871</v>
      </c>
      <c r="B10" s="3" t="s">
        <v>872</v>
      </c>
      <c r="C10" s="3" t="s">
        <v>873</v>
      </c>
      <c r="D10" s="3" t="s">
        <v>874</v>
      </c>
      <c r="E10" s="3" t="s">
        <v>73</v>
      </c>
    </row>
    <row r="11" spans="1:5" ht="26">
      <c r="A11" s="3" t="s">
        <v>875</v>
      </c>
      <c r="B11" s="3" t="s">
        <v>876</v>
      </c>
      <c r="C11" s="3" t="s">
        <v>877</v>
      </c>
      <c r="D11" s="3" t="s">
        <v>878</v>
      </c>
      <c r="E11" s="3" t="s">
        <v>879</v>
      </c>
    </row>
    <row r="12" spans="1:5" ht="89" customHeight="1">
      <c r="A12" s="3"/>
      <c r="B12" s="3"/>
      <c r="C12" s="3"/>
      <c r="D12" s="3"/>
      <c r="E12" s="3"/>
    </row>
    <row r="13" spans="1:5">
      <c r="A13" s="5"/>
      <c r="B13" s="5"/>
      <c r="C13" s="5"/>
      <c r="D13" s="5"/>
      <c r="E13" s="5"/>
    </row>
    <row r="14" spans="1:5">
      <c r="A14" s="5"/>
      <c r="B14" s="5"/>
      <c r="C14" s="5"/>
      <c r="D14" s="5"/>
      <c r="E14" s="5"/>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5"/>
  <sheetViews>
    <sheetView workbookViewId="0">
      <selection sqref="A1:H1"/>
    </sheetView>
  </sheetViews>
  <sheetFormatPr baseColWidth="10" defaultColWidth="8.83203125" defaultRowHeight="14"/>
  <cols>
    <col min="1" max="1" width="16" customWidth="1"/>
    <col min="2" max="2" width="24" customWidth="1"/>
    <col min="3" max="3" width="38" customWidth="1"/>
    <col min="4" max="4" width="46" customWidth="1"/>
    <col min="5" max="5" width="55" customWidth="1"/>
    <col min="6" max="6" width="32" customWidth="1"/>
    <col min="7" max="7" width="20" customWidth="1"/>
    <col min="8" max="8" width="88" customWidth="1"/>
    <col min="9" max="9" width="65" customWidth="1"/>
    <col min="10" max="10" width="50" customWidth="1"/>
    <col min="11" max="11" width="70" customWidth="1"/>
  </cols>
  <sheetData>
    <row r="1" spans="1:8" ht="49.75" customHeight="1">
      <c r="A1" s="29" t="s">
        <v>880</v>
      </c>
      <c r="B1" s="29"/>
      <c r="C1" s="29"/>
      <c r="D1" s="29"/>
      <c r="E1" s="29"/>
      <c r="F1" s="29"/>
      <c r="G1" s="29"/>
      <c r="H1" s="29"/>
    </row>
    <row r="2" spans="1:8" ht="74.75" customHeight="1">
      <c r="A2" s="30" t="s">
        <v>881</v>
      </c>
      <c r="B2" s="30"/>
      <c r="C2" s="30"/>
      <c r="D2" s="30"/>
      <c r="E2" s="30"/>
      <c r="F2" s="30"/>
      <c r="G2" s="30"/>
      <c r="H2" s="30"/>
    </row>
    <row r="3" spans="1:8" ht="15">
      <c r="A3" s="4"/>
      <c r="B3" s="4"/>
      <c r="C3" s="4"/>
      <c r="D3" s="4"/>
      <c r="E3" s="4"/>
      <c r="F3" s="4"/>
      <c r="G3" s="4"/>
      <c r="H3" s="4"/>
    </row>
    <row r="4" spans="1:8" ht="60.25" customHeight="1">
      <c r="A4" s="9" t="s">
        <v>882</v>
      </c>
      <c r="B4" s="9" t="s">
        <v>883</v>
      </c>
      <c r="C4" s="9" t="s">
        <v>884</v>
      </c>
      <c r="D4" s="9" t="s">
        <v>885</v>
      </c>
      <c r="E4" s="9" t="s">
        <v>886</v>
      </c>
      <c r="F4" s="9" t="s">
        <v>887</v>
      </c>
      <c r="G4" s="9" t="s">
        <v>27</v>
      </c>
      <c r="H4" s="9" t="s">
        <v>57</v>
      </c>
      <c r="I4" s="9" t="inlineStr">
        <is>
          <t xml:space="preserve">Documento rector</t>
        </is>
      </c>
      <c r="J4" s="9" t="inlineStr">
        <is>
          <t xml:space="preserve">Referencia detallada</t>
        </is>
      </c>
      <c r="K4" s="9" t="inlineStr">
        <is>
          <t xml:space="preserve">Responsable / impacto del pendiente</t>
        </is>
      </c>
    </row>
    <row r="5" spans="1:8" ht="155" customHeight="1">
      <c r="A5" s="3" t="s">
        <v>182</v>
      </c>
      <c r="B5" s="3" t="s">
        <v>888</v>
      </c>
      <c r="C5" s="3" t="s">
        <v>889</v>
      </c>
      <c r="D5" s="3" t="s">
        <v>890</v>
      </c>
      <c r="E5" s="3" t="s">
        <v>891</v>
      </c>
      <c r="F5" s="3" t="s">
        <v>892</v>
      </c>
      <c r="G5" s="3" t="inlineStr">
        <is>
          <t xml:space="preserve">Resuelto</t>
        </is>
      </c>
      <c r="H5" s="3" t="inlineStr">
        <is>
          <t xml:space="preserve">Queda definido N=7 días calendario, configurable y versionado. business_date comun; -1 Vencido, 0..7 Próximo, &gt;7 Pendiente. Sin fecha confiable no hay clasificación temporal firme.</t>
        </is>
      </c>
      <c r="I5" s="3" t="inlineStr">
        <is>
          <t xml:space="preserve">Walvy_M06_Documentacion_Funcional_Consolidada_v1.0.docx</t>
        </is>
      </c>
      <c r="J5" s="3" t="inlineStr">
        <is>
          <t xml:space="preserve">CT-M06-07</t>
        </is>
      </c>
      <c r="K5" s="3" t="inlineStr">
        <is>
          <t xml:space="preserve">Producto M06 cerrado; Backend configura y acredita</t>
        </is>
      </c>
    </row>
    <row r="6" spans="1:8" ht="155" customHeight="1">
      <c r="A6" s="3" t="s">
        <v>87</v>
      </c>
      <c r="B6" s="3" t="s">
        <v>893</v>
      </c>
      <c r="C6" s="3" t="s">
        <v>894</v>
      </c>
      <c r="D6" s="3" t="s">
        <v>895</v>
      </c>
      <c r="E6" s="3" t="s">
        <v>896</v>
      </c>
      <c r="F6" s="3" t="s">
        <v>892</v>
      </c>
      <c r="G6" s="3" t="inlineStr">
        <is>
          <t xml:space="preserve">Pendiente</t>
        </is>
      </c>
      <c r="H6" s="3" t="inlineStr">
        <is>
          <t xml:space="preserve">Hub M06 y arquitectura funcional definidos. No afirmar cierre visual final: faltan materializar y verificar 15 ajustes del handoff UX. No es una nueva eleccion de Producto.</t>
        </is>
      </c>
      <c r="I6" s="3" t="inlineStr">
        <is>
          <t xml:space="preserve">Walvy_M06_Documentacion_Funcional_Consolidada_v1.0.docx</t>
        </is>
      </c>
      <c r="J6" s="3" t="inlineStr">
        <is>
          <t xml:space="preserve">CT-M06-17; CT-M06-09</t>
        </is>
      </c>
      <c r="K6" s="3" t="inlineStr">
        <is>
          <t xml:space="preserve">UX/Kabeli; bloquea cierre visual, no entrega del contrato</t>
        </is>
      </c>
    </row>
    <row r="7" spans="1:8" ht="155" customHeight="1">
      <c r="A7" s="3" t="s">
        <v>352</v>
      </c>
      <c r="B7" s="3" t="s">
        <v>897</v>
      </c>
      <c r="C7" s="3" t="s">
        <v>898</v>
      </c>
      <c r="D7" s="3" t="s">
        <v>899</v>
      </c>
      <c r="E7" s="3" t="s">
        <v>900</v>
      </c>
      <c r="F7" s="3" t="s">
        <v>892</v>
      </c>
      <c r="G7" s="3" t="s">
        <v>925</v>
      </c>
      <c r="H7" s="3" t="s">
        <v>926</v>
      </c>
      <c r="I7" s="3" t="inlineStr">
        <is>
          <t xml:space="preserve">Walvy_M06_Documentacion_Funcional_Consolidada_v1.0.docx</t>
        </is>
      </c>
      <c r="J7" s="3" t="s">
        <v>927</v>
      </c>
      <c r="K7" s="3" t="s">
        <v>928</v>
      </c>
    </row>
    <row r="8" spans="1:8" ht="155" customHeight="1">
      <c r="A8" s="3" t="s">
        <v>390</v>
      </c>
      <c r="B8" s="3" t="s">
        <v>893</v>
      </c>
      <c r="C8" s="3" t="s">
        <v>901</v>
      </c>
      <c r="D8" s="3" t="s">
        <v>902</v>
      </c>
      <c r="E8" s="3" t="s">
        <v>903</v>
      </c>
      <c r="F8" s="3" t="s">
        <v>892</v>
      </c>
      <c r="G8" s="3" t="inlineStr">
        <is>
          <t xml:space="preserve">Pendiente</t>
        </is>
      </c>
      <c r="H8" s="3" t="inlineStr">
        <is>
          <t xml:space="preserve">M06 define situación, CTA, vigencia y prioridad local. M03/Home decide ganador/superficie y M02 canal/cadencia. 003/004 permanecen in-app M06 hasta contrato externo elegible; no inventar defaults.</t>
        </is>
      </c>
      <c r="I8" s="3" t="inlineStr">
        <is>
          <t xml:space="preserve">Walvy_M06_Documentacion_Funcional_Consolidada_v1.0.docx</t>
        </is>
      </c>
      <c r="J8" s="3" t="inlineStr">
        <is>
          <t xml:space="preserve">CT-M06-14; CT-M06-15</t>
        </is>
      </c>
      <c r="K8" s="3" t="inlineStr">
        <is>
          <t xml:space="preserve">M03/M02; condiciona entrega externa, no el resto de M06</t>
        </is>
      </c>
    </row>
    <row r="9" spans="1:8" ht="155" customHeight="1">
      <c r="A9" s="3" t="s">
        <v>191</v>
      </c>
      <c r="B9" s="3" t="s">
        <v>904</v>
      </c>
      <c r="C9" s="3" t="s">
        <v>905</v>
      </c>
      <c r="D9" s="3" t="s">
        <v>906</v>
      </c>
      <c r="E9" s="3" t="s">
        <v>907</v>
      </c>
      <c r="F9" s="3" t="s">
        <v>908</v>
      </c>
      <c r="G9" s="3" t="inlineStr">
        <is>
          <t xml:space="preserve">Resuelto</t>
        </is>
      </c>
      <c r="H9" s="3" t="inlineStr">
        <is>
          <t xml:space="preserve">Se sustituye monto CLP ambiguo por ratio mensual canónico confiable o deterioro pertinente M04. Próximo-&gt;Urgente desde90%; Vencido-&gt;Crítica desde110% con suficiencia. Deuda asociada o parcial pre-cierre no bastan.</t>
        </is>
      </c>
      <c r="I9" s="3" t="inlineStr">
        <is>
          <t xml:space="preserve">Walvy_M06_Documentacion_Funcional_Consolidada_v1.0.docx</t>
        </is>
      </c>
      <c r="J9" s="3" t="inlineStr">
        <is>
          <t xml:space="preserve">CT-M06-10</t>
        </is>
      </c>
      <c r="K9" s="3" t="inlineStr">
        <is>
          <t xml:space="preserve">Producto M06 cerrado; evidencia técnica pendiente</t>
        </is>
      </c>
    </row>
    <row r="10" spans="1:8" ht="155" customHeight="1">
      <c r="A10" s="3" t="s">
        <v>329</v>
      </c>
      <c r="B10" s="3" t="s">
        <v>909</v>
      </c>
      <c r="C10" s="3" t="s">
        <v>910</v>
      </c>
      <c r="D10" s="3" t="s">
        <v>911</v>
      </c>
      <c r="E10" s="3" t="s">
        <v>912</v>
      </c>
      <c r="F10" s="3" t="s">
        <v>908</v>
      </c>
      <c r="G10" s="3" t="inlineStr">
        <is>
          <t xml:space="preserve">Resuelto</t>
        </is>
      </c>
      <c r="H10" s="3" t="inlineStr">
        <is>
          <t xml:space="preserve">Patrón confirmado y ancla conocida: período solicitado o proxima instancia necesaria, idempotente. Día inexistente: último valido conservando ancla. Ancla insuficiente: Confirmar/Completar fecha. Sin monto inventado ni heredar Pagado.</t>
        </is>
      </c>
      <c r="I10" s="3" t="inlineStr">
        <is>
          <t xml:space="preserve">Walvy_M06_Documentacion_Funcional_Consolidada_v1.0.docx</t>
        </is>
      </c>
      <c r="J10" s="3" t="inlineStr">
        <is>
          <t xml:space="preserve">CT-M06-08</t>
        </is>
      </c>
      <c r="K10" s="3" t="inlineStr">
        <is>
          <t xml:space="preserve">Producto M06 cerrado; Backend demuestra calendario/version</t>
        </is>
      </c>
    </row>
    <row r="11" spans="1:8" ht="155" customHeight="1">
      <c r="A11" s="3" t="s">
        <v>913</v>
      </c>
      <c r="B11" s="3" t="s">
        <v>914</v>
      </c>
      <c r="C11" s="3" t="s">
        <v>915</v>
      </c>
      <c r="D11" s="3" t="s">
        <v>916</v>
      </c>
      <c r="E11" s="3" t="s">
        <v>917</v>
      </c>
      <c r="F11" s="3" t="s">
        <v>908</v>
      </c>
      <c r="G11" s="3" t="inlineStr">
        <is>
          <t xml:space="preserve">Resuelto</t>
        </is>
      </c>
      <c r="H11" s="3" t="inlineStr">
        <is>
          <t xml:space="preserve">Definido el lifecycle funcional: mínima trazabilidad, acceso vigente y finalidad; fin efectivo congela y abre hasta 90 días; supresión confirmada no espera. Original K-read maximo 24 horas. Stores, TTL, backups y prueba de borrado siguen pendientes técnicos, no se certifican.</t>
        </is>
      </c>
      <c r="I11" s="3" t="inlineStr">
        <is>
          <t xml:space="preserve">Walvy_M06_Documentacion_Funcional_Consolidada_v1.0.docx</t>
        </is>
      </c>
      <c r="J11" s="3" t="inlineStr">
        <is>
          <t xml:space="preserve">CT-M06-16; CT-M06-06</t>
        </is>
      </c>
      <c r="K11" s="3" t="inlineStr">
        <is>
          <t xml:space="preserve">Kabeli aplicación; Walvy infraestructura; K-read procesamiento</t>
        </is>
      </c>
    </row>
    <row r="12" spans="1:8" ht="155" customHeight="1">
      <c r="A12" s="3" t="s">
        <v>918</v>
      </c>
      <c r="B12" s="3" t="s">
        <v>919</v>
      </c>
      <c r="C12" s="3" t="s">
        <v>920</v>
      </c>
      <c r="D12" s="3" t="s">
        <v>921</v>
      </c>
      <c r="E12" s="3" t="s">
        <v>922</v>
      </c>
      <c r="F12" s="3" t="s">
        <v>892</v>
      </c>
      <c r="G12" s="3" t="inlineStr">
        <is>
          <t xml:space="preserve">Pendiente</t>
        </is>
      </c>
      <c r="H12" s="3" t="inlineStr">
        <is>
          <t xml:space="preserve">Recorrido completo incorporado; quince ajustes estan definidos pero su materializacion y revalidacion visual siguen pendientes. Conservar IDs y devolver evidencia por ajuste. No repetir decisiones ni certificar Figma actual como cerrado.</t>
        </is>
      </c>
      <c r="I12" s="3" t="inlineStr">
        <is>
          <t xml:space="preserve">Walvy_M06_Documentacion_Funcional_Consolidada_v1.0.docx</t>
        </is>
      </c>
      <c r="J12" s="3" t="inlineStr">
        <is>
          <t xml:space="preserve">CT-M06-17</t>
        </is>
      </c>
      <c r="K12" s="3" t="inlineStr">
        <is>
          <t xml:space="preserve">UX/Kabeli y QA Walvy; bloquea cierre visual</t>
        </is>
      </c>
    </row>
    <row r="13" spans="1:8" ht="103" customHeight="1">
      <c r="A13" s="3"/>
      <c r="B13" s="3"/>
      <c r="C13" s="3"/>
      <c r="D13" s="3"/>
      <c r="E13" s="3"/>
      <c r="F13" s="3"/>
      <c r="G13" s="3"/>
      <c r="H13" s="3"/>
    </row>
    <row r="14" spans="1:8" ht="103" customHeight="1">
      <c r="A14" s="3"/>
      <c r="B14" s="3"/>
      <c r="C14" s="3"/>
      <c r="D14" s="3"/>
      <c r="E14" s="3"/>
      <c r="F14" s="3"/>
      <c r="G14" s="3"/>
      <c r="H14" s="3"/>
    </row>
    <row r="15" spans="1:8" ht="103" customHeight="1">
      <c r="A15" s="3"/>
      <c r="B15" s="3"/>
      <c r="C15" s="3"/>
      <c r="D15" s="3"/>
      <c r="E15" s="3"/>
      <c r="F15" s="3"/>
      <c r="G15" s="3"/>
      <c r="H15" s="3"/>
    </row>
    <row r="16" spans="1:8" ht="103" customHeight="1">
      <c r="A16" s="3"/>
      <c r="B16" s="3"/>
      <c r="C16" s="3"/>
      <c r="D16" s="3"/>
      <c r="E16" s="3"/>
      <c r="F16" s="3"/>
      <c r="G16" s="3"/>
      <c r="H16" s="3"/>
    </row>
    <row r="17" spans="1:8" ht="103" customHeight="1">
      <c r="A17" s="3"/>
      <c r="B17" s="3"/>
      <c r="C17" s="3"/>
      <c r="D17" s="3"/>
      <c r="E17" s="3"/>
      <c r="F17" s="3"/>
      <c r="G17" s="3"/>
      <c r="H17" s="3"/>
    </row>
    <row r="18" spans="1:8" ht="103" customHeight="1">
      <c r="A18" s="3"/>
      <c r="B18" s="3"/>
      <c r="C18" s="3"/>
      <c r="D18" s="3"/>
      <c r="E18" s="3"/>
      <c r="F18" s="3"/>
      <c r="G18" s="3"/>
      <c r="H18" s="3"/>
    </row>
    <row r="19" spans="1:8" ht="103" customHeight="1">
      <c r="A19" s="3"/>
      <c r="B19" s="3"/>
      <c r="C19" s="3"/>
      <c r="D19" s="3"/>
      <c r="E19" s="3"/>
      <c r="F19" s="3"/>
      <c r="G19" s="3"/>
      <c r="H19" s="3"/>
    </row>
    <row r="20" spans="1:8" ht="103" customHeight="1">
      <c r="A20" s="3"/>
      <c r="B20" s="3"/>
      <c r="C20" s="3"/>
      <c r="D20" s="3"/>
      <c r="E20" s="3"/>
      <c r="F20" s="3"/>
      <c r="G20" s="3"/>
      <c r="H20" s="3"/>
    </row>
    <row r="21" spans="1:8" ht="103" customHeight="1">
      <c r="A21" s="3"/>
      <c r="B21" s="3"/>
      <c r="C21" s="3"/>
      <c r="D21" s="3"/>
      <c r="E21" s="3"/>
      <c r="F21" s="3"/>
      <c r="G21" s="3"/>
      <c r="H21" s="3"/>
    </row>
    <row r="22" spans="1:8" ht="103" customHeight="1">
      <c r="A22" s="3"/>
      <c r="B22" s="3"/>
      <c r="C22" s="3"/>
      <c r="D22" s="3"/>
      <c r="E22" s="3"/>
      <c r="F22" s="3"/>
      <c r="G22" s="3"/>
      <c r="H22" s="3"/>
    </row>
    <row r="23" spans="1:8" ht="103" customHeight="1">
      <c r="A23" s="3"/>
      <c r="B23" s="3"/>
      <c r="C23" s="3"/>
      <c r="D23" s="3"/>
      <c r="E23" s="3"/>
      <c r="F23" s="3"/>
      <c r="G23" s="3"/>
      <c r="H23" s="3"/>
    </row>
    <row r="24" spans="1:8" ht="106.75" customHeight="1">
      <c r="A24" s="3"/>
      <c r="B24" s="3"/>
      <c r="C24" s="3"/>
      <c r="D24" s="3"/>
      <c r="E24" s="3"/>
      <c r="F24" s="3"/>
      <c r="G24" s="3"/>
      <c r="H24" s="3"/>
    </row>
    <row r="25" spans="1:8" ht="106.75" customHeight="1">
      <c r="A25" s="3"/>
      <c r="B25" s="3"/>
      <c r="C25" s="3"/>
      <c r="D25" s="3"/>
      <c r="E25" s="3"/>
      <c r="F25" s="3"/>
      <c r="G25" s="3"/>
      <c r="H25" s="3"/>
    </row>
    <row r="26" spans="1:8" ht="106.75" customHeight="1">
      <c r="A26" s="3"/>
      <c r="B26" s="3"/>
      <c r="C26" s="3"/>
      <c r="D26" s="3"/>
      <c r="E26" s="3"/>
      <c r="F26" s="3"/>
      <c r="G26" s="3"/>
      <c r="H26" s="3"/>
    </row>
    <row r="27" spans="1:8" ht="106.75" customHeight="1">
      <c r="A27" s="3"/>
      <c r="B27" s="3"/>
      <c r="C27" s="3"/>
      <c r="D27" s="3"/>
      <c r="E27" s="3"/>
      <c r="F27" s="3"/>
      <c r="G27" s="3"/>
      <c r="H27" s="3"/>
    </row>
    <row r="28" spans="1:8" ht="106.75" customHeight="1">
      <c r="A28" s="3"/>
      <c r="B28" s="3"/>
      <c r="C28" s="3"/>
      <c r="D28" s="3"/>
      <c r="E28" s="3"/>
      <c r="F28" s="3"/>
      <c r="G28" s="3"/>
      <c r="H28" s="3"/>
    </row>
    <row r="29" spans="1:8" ht="106.75" customHeight="1">
      <c r="A29" s="3"/>
      <c r="B29" s="3"/>
      <c r="C29" s="3"/>
      <c r="D29" s="3"/>
      <c r="E29" s="3"/>
      <c r="F29" s="3"/>
      <c r="G29" s="3"/>
      <c r="H29" s="3"/>
    </row>
    <row r="30" spans="1:8" ht="106.75" customHeight="1">
      <c r="A30" s="3"/>
      <c r="B30" s="3"/>
      <c r="C30" s="3"/>
      <c r="D30" s="3"/>
      <c r="E30" s="3"/>
      <c r="F30" s="3"/>
      <c r="G30" s="3"/>
      <c r="H30" s="3"/>
    </row>
    <row r="31" spans="1:8" ht="106.75" customHeight="1">
      <c r="A31" s="3"/>
      <c r="B31" s="3"/>
      <c r="C31" s="3"/>
      <c r="D31" s="3"/>
      <c r="E31" s="3"/>
      <c r="F31" s="3"/>
      <c r="G31" s="3"/>
      <c r="H31" s="3"/>
    </row>
    <row r="32" spans="1:8" ht="106.75" customHeight="1">
      <c r="A32" s="3"/>
      <c r="B32" s="3"/>
      <c r="C32" s="3"/>
      <c r="D32" s="3"/>
      <c r="E32" s="3"/>
      <c r="F32" s="3"/>
      <c r="G32" s="3"/>
      <c r="H32" s="3"/>
    </row>
    <row r="33" spans="1:8" ht="106.75" customHeight="1">
      <c r="A33" s="3"/>
      <c r="B33" s="3"/>
      <c r="C33" s="3"/>
      <c r="D33" s="3"/>
      <c r="E33" s="3"/>
      <c r="F33" s="3"/>
      <c r="G33" s="3"/>
      <c r="H33" s="3"/>
    </row>
    <row r="34" spans="1:8" ht="106.75" customHeight="1">
      <c r="A34" s="3"/>
      <c r="B34" s="3"/>
      <c r="C34" s="3"/>
      <c r="D34" s="3"/>
      <c r="E34" s="3"/>
      <c r="F34" s="3"/>
      <c r="G34" s="3"/>
      <c r="H34" s="3"/>
    </row>
    <row r="35" spans="1:8" ht="106.75" customHeight="1">
      <c r="A35" s="3"/>
      <c r="B35" s="3"/>
      <c r="C35" s="3"/>
      <c r="D35" s="3"/>
      <c r="E35" s="3"/>
      <c r="F35" s="3"/>
      <c r="G35" s="3"/>
      <c r="H35" s="3"/>
    </row>
    <row r="36" spans="1:8" ht="106.75" customHeight="1">
      <c r="A36" s="3"/>
      <c r="B36" s="3"/>
      <c r="C36" s="3"/>
      <c r="D36" s="3"/>
      <c r="E36" s="3"/>
      <c r="F36" s="3"/>
      <c r="G36" s="3"/>
      <c r="H36" s="3"/>
    </row>
    <row r="37" spans="1:8" ht="106.75" customHeight="1">
      <c r="A37" s="3"/>
      <c r="B37" s="3"/>
      <c r="C37" s="3"/>
      <c r="D37" s="3"/>
      <c r="E37" s="3"/>
      <c r="F37" s="3"/>
      <c r="G37" s="3"/>
      <c r="H37" s="3"/>
    </row>
    <row r="38" spans="1:8" ht="106.75" customHeight="1">
      <c r="A38" s="3"/>
      <c r="B38" s="3"/>
      <c r="C38" s="3"/>
      <c r="D38" s="3"/>
      <c r="E38" s="3"/>
      <c r="F38" s="3"/>
      <c r="G38" s="3"/>
      <c r="H38" s="3"/>
    </row>
    <row r="39" spans="1:8" ht="106.75" customHeight="1">
      <c r="A39" s="3"/>
      <c r="B39" s="3"/>
      <c r="C39" s="3"/>
      <c r="D39" s="3"/>
      <c r="E39" s="3"/>
      <c r="F39" s="3"/>
      <c r="G39" s="3"/>
      <c r="H39" s="3"/>
    </row>
    <row r="40" spans="1:8" ht="106.75" customHeight="1">
      <c r="A40" s="3"/>
      <c r="B40" s="3"/>
      <c r="C40" s="3"/>
      <c r="D40" s="3"/>
      <c r="E40" s="3"/>
      <c r="F40" s="3"/>
      <c r="G40" s="3"/>
      <c r="H40" s="3"/>
    </row>
    <row r="41" spans="1:8" ht="106.75" customHeight="1">
      <c r="A41" s="3"/>
      <c r="B41" s="3"/>
      <c r="C41" s="3"/>
      <c r="D41" s="3"/>
      <c r="E41" s="3"/>
      <c r="F41" s="3"/>
      <c r="G41" s="3"/>
      <c r="H41" s="3"/>
    </row>
    <row r="42" spans="1:8" ht="106.75" customHeight="1">
      <c r="A42" s="3"/>
      <c r="B42" s="3"/>
      <c r="C42" s="3"/>
      <c r="D42" s="3"/>
      <c r="E42" s="3"/>
      <c r="F42" s="3"/>
      <c r="G42" s="3"/>
      <c r="H42" s="3"/>
    </row>
    <row r="43" spans="1:8" ht="106.75" customHeight="1">
      <c r="A43" s="3"/>
      <c r="B43" s="3"/>
      <c r="C43" s="3"/>
      <c r="D43" s="3"/>
      <c r="E43" s="3"/>
      <c r="F43" s="3"/>
      <c r="G43" s="3"/>
      <c r="H43" s="3"/>
    </row>
    <row r="44" spans="1:8" ht="106.75" customHeight="1">
      <c r="A44" s="3"/>
      <c r="B44" s="3"/>
      <c r="C44" s="3"/>
      <c r="D44" s="3"/>
      <c r="E44" s="3"/>
      <c r="F44" s="3"/>
      <c r="G44" s="3"/>
      <c r="H44" s="3"/>
    </row>
    <row r="45" spans="1:8" ht="106.75" customHeight="1">
      <c r="A45" s="3"/>
      <c r="B45" s="3"/>
      <c r="C45" s="3"/>
      <c r="D45" s="3"/>
      <c r="E45" s="3"/>
      <c r="F45" s="3"/>
      <c r="G45" s="3"/>
      <c r="H45" s="3"/>
    </row>
    <row r="46" spans="1:8" ht="106.75" customHeight="1">
      <c r="A46" s="3"/>
      <c r="B46" s="3"/>
      <c r="C46" s="3"/>
      <c r="D46" s="3"/>
      <c r="E46" s="3"/>
      <c r="F46" s="3"/>
      <c r="G46" s="3"/>
      <c r="H46" s="3"/>
    </row>
    <row r="47" spans="1:8" ht="106.75" customHeight="1">
      <c r="A47" s="3"/>
      <c r="B47" s="3"/>
      <c r="C47" s="3"/>
      <c r="D47" s="3"/>
      <c r="E47" s="3"/>
      <c r="F47" s="3"/>
      <c r="G47" s="3"/>
      <c r="H47" s="3"/>
    </row>
    <row r="48" spans="1:8" ht="106.75" customHeight="1">
      <c r="A48" s="3"/>
      <c r="B48" s="3"/>
      <c r="C48" s="3"/>
      <c r="D48" s="3"/>
      <c r="E48" s="3"/>
      <c r="F48" s="3"/>
      <c r="G48" s="3"/>
      <c r="H48" s="3"/>
    </row>
    <row r="49" spans="1:8" ht="106.75" customHeight="1">
      <c r="A49" s="3"/>
      <c r="B49" s="3"/>
      <c r="C49" s="3"/>
      <c r="D49" s="3"/>
      <c r="E49" s="3"/>
      <c r="F49" s="3"/>
      <c r="G49" s="3"/>
      <c r="H49" s="3"/>
    </row>
    <row r="50" spans="1:8" ht="106.75" customHeight="1">
      <c r="A50" s="3"/>
      <c r="B50" s="3"/>
      <c r="C50" s="3"/>
      <c r="D50" s="3"/>
      <c r="E50" s="3"/>
      <c r="F50" s="3"/>
      <c r="G50" s="3"/>
      <c r="H50" s="3"/>
    </row>
    <row r="51" spans="1:8" ht="106.75" customHeight="1">
      <c r="A51" s="3"/>
      <c r="B51" s="3"/>
      <c r="C51" s="3"/>
      <c r="D51" s="3"/>
      <c r="E51" s="3"/>
      <c r="F51" s="3"/>
      <c r="G51" s="3"/>
      <c r="H51" s="3"/>
    </row>
    <row r="52" spans="1:8" ht="106.75" customHeight="1">
      <c r="A52" s="3"/>
      <c r="B52" s="3"/>
      <c r="C52" s="3"/>
      <c r="D52" s="3"/>
      <c r="E52" s="3"/>
      <c r="F52" s="3"/>
      <c r="G52" s="3"/>
      <c r="H52" s="3"/>
    </row>
    <row r="53" spans="1:8" ht="106.75" customHeight="1">
      <c r="A53" s="3"/>
      <c r="B53" s="3"/>
      <c r="C53" s="3"/>
      <c r="D53" s="3"/>
      <c r="E53" s="3"/>
      <c r="F53" s="3"/>
      <c r="G53" s="3"/>
      <c r="H53" s="3"/>
    </row>
    <row r="54" spans="1:8" ht="106.75" customHeight="1">
      <c r="A54" s="3"/>
      <c r="B54" s="3"/>
      <c r="C54" s="3"/>
      <c r="D54" s="3"/>
      <c r="E54" s="3"/>
      <c r="F54" s="3"/>
      <c r="G54" s="3"/>
      <c r="H54" s="3"/>
    </row>
    <row r="55" spans="1:8" ht="106.75" customHeight="1">
      <c r="A55" s="3"/>
      <c r="B55" s="3"/>
      <c r="C55" s="3"/>
      <c r="D55" s="3"/>
      <c r="E55" s="3"/>
      <c r="F55" s="3"/>
      <c r="G55" s="3"/>
      <c r="H55" s="3"/>
    </row>
    <row r="56" spans="1:8" ht="106.75" customHeight="1">
      <c r="A56" s="3"/>
      <c r="B56" s="3"/>
      <c r="C56" s="3"/>
      <c r="D56" s="3"/>
      <c r="E56" s="3"/>
      <c r="F56" s="3"/>
      <c r="G56" s="3"/>
      <c r="H56" s="3"/>
    </row>
    <row r="57" spans="1:8" ht="106.75" customHeight="1">
      <c r="A57" s="3"/>
      <c r="B57" s="3"/>
      <c r="C57" s="3"/>
      <c r="D57" s="3"/>
      <c r="E57" s="3"/>
      <c r="F57" s="3"/>
      <c r="G57" s="3"/>
      <c r="H57" s="3"/>
    </row>
    <row r="58" spans="1:8" ht="106.75" customHeight="1">
      <c r="A58" s="3"/>
      <c r="B58" s="3"/>
      <c r="C58" s="3"/>
      <c r="D58" s="3"/>
      <c r="E58" s="3"/>
      <c r="F58" s="3"/>
      <c r="G58" s="3"/>
      <c r="H58" s="3"/>
    </row>
    <row r="59" spans="1:8" ht="106.75" customHeight="1">
      <c r="A59" s="3"/>
      <c r="B59" s="3"/>
      <c r="C59" s="3"/>
      <c r="D59" s="3"/>
      <c r="E59" s="3"/>
      <c r="F59" s="3"/>
      <c r="G59" s="3"/>
      <c r="H59" s="3"/>
    </row>
    <row r="60" spans="1:8" ht="106.75" customHeight="1">
      <c r="A60" s="3"/>
      <c r="B60" s="3"/>
      <c r="C60" s="3"/>
      <c r="D60" s="3"/>
      <c r="E60" s="3"/>
      <c r="F60" s="3"/>
      <c r="G60" s="3"/>
      <c r="H60" s="3"/>
    </row>
    <row r="61" spans="1:8" ht="106.75" customHeight="1">
      <c r="A61" s="3"/>
      <c r="B61" s="3"/>
      <c r="C61" s="3"/>
      <c r="D61" s="3"/>
      <c r="E61" s="3"/>
      <c r="F61" s="3"/>
      <c r="G61" s="3"/>
      <c r="H61" s="3"/>
    </row>
    <row r="62" spans="1:8" ht="106.75" customHeight="1">
      <c r="A62" s="3"/>
      <c r="B62" s="3"/>
      <c r="C62" s="3"/>
      <c r="D62" s="3"/>
      <c r="E62" s="3"/>
      <c r="F62" s="3"/>
      <c r="G62" s="3"/>
      <c r="H62" s="3"/>
    </row>
    <row r="63" spans="1:8" ht="106.75" customHeight="1">
      <c r="A63" s="3"/>
      <c r="B63" s="3"/>
      <c r="C63" s="3"/>
      <c r="D63" s="3"/>
      <c r="E63" s="3"/>
      <c r="F63" s="3"/>
      <c r="G63" s="3"/>
      <c r="H63" s="3"/>
    </row>
    <row r="64" spans="1:8" ht="106.75" customHeight="1">
      <c r="A64" s="3"/>
      <c r="B64" s="3"/>
      <c r="C64" s="3"/>
      <c r="D64" s="3"/>
      <c r="E64" s="3"/>
      <c r="F64" s="3"/>
      <c r="G64" s="3"/>
      <c r="H64" s="3"/>
    </row>
    <row r="65" spans="1:8" ht="106.75" customHeight="1">
      <c r="A65" s="3"/>
      <c r="B65" s="3"/>
      <c r="C65" s="3"/>
      <c r="D65" s="3"/>
      <c r="E65" s="3"/>
      <c r="F65" s="3"/>
      <c r="G65" s="3"/>
      <c r="H65" s="3"/>
    </row>
    <row r="66" spans="1:8" ht="106.75" customHeight="1">
      <c r="A66" s="3"/>
      <c r="B66" s="3"/>
      <c r="C66" s="3"/>
      <c r="D66" s="3"/>
      <c r="E66" s="3"/>
      <c r="F66" s="3"/>
      <c r="G66" s="3"/>
      <c r="H66" s="3"/>
    </row>
    <row r="67" spans="1:8" ht="106.75" customHeight="1">
      <c r="A67" s="3"/>
      <c r="B67" s="3"/>
      <c r="C67" s="3"/>
      <c r="D67" s="3"/>
      <c r="E67" s="3"/>
      <c r="F67" s="3"/>
      <c r="G67" s="3"/>
      <c r="H67" s="3"/>
    </row>
    <row r="68" spans="1:8" ht="106.75" customHeight="1">
      <c r="A68" s="3"/>
      <c r="B68" s="3"/>
      <c r="C68" s="3"/>
      <c r="D68" s="3"/>
      <c r="E68" s="3"/>
      <c r="F68" s="3"/>
      <c r="G68" s="3"/>
      <c r="H68" s="3"/>
    </row>
    <row r="69" spans="1:8" ht="106.75" customHeight="1">
      <c r="A69" s="3"/>
      <c r="B69" s="3"/>
      <c r="C69" s="3"/>
      <c r="D69" s="3"/>
      <c r="E69" s="3"/>
      <c r="F69" s="3"/>
      <c r="G69" s="3"/>
      <c r="H69" s="3"/>
    </row>
    <row r="70" spans="1:8" ht="106.75" customHeight="1">
      <c r="A70" s="3"/>
      <c r="B70" s="3"/>
      <c r="C70" s="3"/>
      <c r="D70" s="3"/>
      <c r="E70" s="3"/>
      <c r="F70" s="3"/>
      <c r="G70" s="3"/>
      <c r="H70" s="3"/>
    </row>
    <row r="71" spans="1:8" ht="106.75" customHeight="1">
      <c r="A71" s="3"/>
      <c r="B71" s="3"/>
      <c r="C71" s="3"/>
      <c r="D71" s="3"/>
      <c r="E71" s="3"/>
      <c r="F71" s="3"/>
      <c r="G71" s="3"/>
      <c r="H71" s="3"/>
    </row>
    <row r="72" spans="1:8" ht="106.75" customHeight="1">
      <c r="A72" s="3"/>
      <c r="B72" s="3"/>
      <c r="C72" s="3"/>
      <c r="D72" s="3"/>
      <c r="E72" s="3"/>
      <c r="F72" s="3"/>
      <c r="G72" s="3"/>
      <c r="H72" s="3"/>
    </row>
    <row r="73" spans="1:8" ht="106.75" customHeight="1">
      <c r="A73" s="3"/>
      <c r="B73" s="3"/>
      <c r="C73" s="3"/>
      <c r="D73" s="3"/>
      <c r="E73" s="3"/>
      <c r="F73" s="3"/>
      <c r="G73" s="3"/>
      <c r="H73" s="3"/>
    </row>
    <row r="74" spans="1:8" ht="106.75" customHeight="1">
      <c r="A74" s="3"/>
      <c r="B74" s="3"/>
      <c r="C74" s="3"/>
      <c r="D74" s="3"/>
      <c r="E74" s="3"/>
      <c r="F74" s="3"/>
      <c r="G74" s="3"/>
      <c r="H74" s="3"/>
    </row>
    <row r="75" spans="1:8" ht="106.75" customHeight="1">
      <c r="A75" s="3"/>
      <c r="B75" s="3"/>
      <c r="C75" s="3"/>
      <c r="D75" s="3"/>
      <c r="E75" s="3"/>
      <c r="F75" s="3"/>
      <c r="G75" s="3"/>
      <c r="H75" s="3"/>
    </row>
    <row r="76" spans="1:8" ht="106.75" customHeight="1">
      <c r="A76" s="3"/>
      <c r="B76" s="3"/>
      <c r="C76" s="3"/>
      <c r="D76" s="3"/>
      <c r="E76" s="3"/>
      <c r="F76" s="3"/>
      <c r="G76" s="3"/>
      <c r="H76" s="3"/>
    </row>
    <row r="77" spans="1:8" ht="106.75" customHeight="1">
      <c r="A77" s="3"/>
      <c r="B77" s="3"/>
      <c r="C77" s="3"/>
      <c r="D77" s="3"/>
      <c r="E77" s="3"/>
      <c r="F77" s="3"/>
      <c r="G77" s="3"/>
      <c r="H77" s="3"/>
    </row>
    <row r="78" spans="1:8" ht="106.75" customHeight="1">
      <c r="A78" s="3"/>
      <c r="B78" s="3"/>
      <c r="C78" s="3"/>
      <c r="D78" s="3"/>
      <c r="E78" s="3"/>
      <c r="F78" s="3"/>
      <c r="G78" s="3"/>
      <c r="H78" s="3"/>
    </row>
    <row r="79" spans="1:8" ht="106.75" customHeight="1">
      <c r="A79" s="3"/>
      <c r="B79" s="3"/>
      <c r="C79" s="3"/>
      <c r="D79" s="3"/>
      <c r="E79" s="3"/>
      <c r="F79" s="3"/>
      <c r="G79" s="3"/>
      <c r="H79" s="3"/>
    </row>
    <row r="80" spans="1:8" ht="106.75" customHeight="1">
      <c r="A80" s="3"/>
      <c r="B80" s="3"/>
      <c r="C80" s="3"/>
      <c r="D80" s="3"/>
      <c r="E80" s="3"/>
      <c r="F80" s="3"/>
      <c r="G80" s="3"/>
      <c r="H80" s="3"/>
    </row>
    <row r="81" spans="1:8" ht="106.75" customHeight="1">
      <c r="A81" s="3"/>
      <c r="B81" s="3"/>
      <c r="C81" s="3"/>
      <c r="D81" s="3"/>
      <c r="E81" s="3"/>
      <c r="F81" s="3"/>
      <c r="G81" s="3"/>
      <c r="H81" s="3"/>
    </row>
    <row r="82" spans="1:8" ht="106.75" customHeight="1">
      <c r="A82" s="3"/>
      <c r="B82" s="3"/>
      <c r="C82" s="3"/>
      <c r="D82" s="3"/>
      <c r="E82" s="3"/>
      <c r="F82" s="3"/>
      <c r="G82" s="3"/>
      <c r="H82" s="3"/>
    </row>
    <row r="83" spans="1:8" ht="106.75" customHeight="1">
      <c r="A83" s="3"/>
      <c r="B83" s="3"/>
      <c r="C83" s="3"/>
      <c r="D83" s="3"/>
      <c r="E83" s="3"/>
      <c r="F83" s="3"/>
      <c r="G83" s="3"/>
      <c r="H83" s="3"/>
    </row>
    <row r="84" spans="1:8" ht="106.75" customHeight="1">
      <c r="A84" s="3"/>
      <c r="B84" s="3"/>
      <c r="C84" s="3"/>
      <c r="D84" s="3"/>
      <c r="E84" s="3"/>
      <c r="F84" s="3"/>
      <c r="G84" s="3"/>
      <c r="H84" s="3"/>
    </row>
    <row r="85" spans="1:8" ht="106.75" customHeight="1">
      <c r="A85" s="3"/>
      <c r="B85" s="3"/>
      <c r="C85" s="3"/>
      <c r="D85" s="3"/>
      <c r="E85" s="3"/>
      <c r="F85" s="3"/>
      <c r="G85" s="3"/>
      <c r="H85" s="3"/>
    </row>
  </sheetData>
  <mergeCells count="2">
    <mergeCell ref="A1:H1"/>
    <mergeCell ref="A2:H2"/>
  </mergeCells>
  <conditionalFormatting sqref="G5:G22">
    <cfRule type="expression" dxfId="3" priority="1">
      <formula>G5="Resuelto"</formula>
    </cfRule>
    <cfRule type="expression" dxfId="2" priority="2">
      <formula>G5="Pendiente"</formula>
    </cfRule>
    <cfRule type="expression" dxfId="1" priority="3">
      <formula>G5="Requiere análisis"</formula>
    </cfRule>
    <cfRule type="expression" dxfId="0" priority="4">
      <formula>G5="Fuera de alcance"</formula>
    </cfRule>
  </conditionalFormatting>
  <dataValidations count="1">
    <dataValidation type="list" allowBlank="1" showErrorMessage="1" sqref="G5:G85">
      <formula1>"Pendiente,Resuelto,Fuera de alcance,Requiere análisis"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
  <sheetViews>
    <sheetView workbookViewId="0">
      <selection sqref="A1:G1"/>
    </sheetView>
  </sheetViews>
  <sheetFormatPr baseColWidth="10" defaultColWidth="8.83203125" defaultRowHeight="14"/>
  <cols>
    <col min="1" max="1" width="31" customWidth="1"/>
    <col min="2" max="2" width="105" customWidth="1"/>
    <col min="3" max="3" width="16" customWidth="1"/>
    <col min="4" max="4" width="9.33203125" customWidth="1"/>
    <col min="5" max="5" width="28" customWidth="1"/>
    <col min="6" max="6" width="22" customWidth="1"/>
    <col min="7" max="7" width="52" customWidth="1"/>
  </cols>
  <sheetData>
    <row r="1" spans="1:7" ht="53.25" customHeight="1">
      <c r="A1" s="31" t="s">
        <v>923</v>
      </c>
      <c r="B1" s="31"/>
      <c r="C1" s="31"/>
      <c r="D1" s="31"/>
      <c r="E1" s="31"/>
      <c r="F1" s="31"/>
      <c r="G1" s="31"/>
    </row>
    <row r="3" spans="1:7" ht="16">
      <c r="A3" s="7" t="s">
        <v>0</v>
      </c>
      <c r="B3" s="7" t="s">
        <v>1</v>
      </c>
      <c r="C3" s="11"/>
      <c r="D3" s="11"/>
      <c r="E3" s="32" t="s">
        <v>2</v>
      </c>
      <c r="F3" s="32"/>
      <c r="G3" s="32"/>
    </row>
    <row r="4" spans="1:7" ht="30">
      <c r="A4" s="12" t="s">
        <v>3</v>
      </c>
      <c r="B4" s="12">
        <f>COUNTA('Matriz Trazabilidad'!$A$5:$A$87)</f>
        <v>59</v>
      </c>
      <c r="C4" s="11"/>
      <c r="D4" s="11"/>
      <c r="E4" s="11" t="s">
        <v>4</v>
      </c>
      <c r="F4" s="11" t="s">
        <v>5</v>
      </c>
      <c r="G4" s="11" t="s">
        <v>6</v>
      </c>
    </row>
    <row r="5" spans="1:7" ht="30">
      <c r="A5" s="12" t="s">
        <v>7</v>
      </c>
      <c r="B5" s="12">
        <f>COUNTA('Historias y CA'!$A$4:$A$31)</f>
        <v>19</v>
      </c>
      <c r="C5" s="11"/>
      <c r="D5" s="11"/>
      <c r="E5" s="11" t="s">
        <v>8</v>
      </c>
      <c r="F5" s="11" t="s">
        <v>9</v>
      </c>
      <c r="G5" s="11" t="s">
        <v>10</v>
      </c>
    </row>
    <row r="6" spans="1:7" ht="15">
      <c r="A6" s="12" t="s">
        <v>11</v>
      </c>
      <c r="B6" s="12">
        <f>COUNTA('Reglas de Negocio'!$A$4:$A$84)</f>
        <v>80</v>
      </c>
      <c r="C6" s="11"/>
      <c r="D6" s="11"/>
      <c r="E6" s="11" t="s">
        <v>12</v>
      </c>
      <c r="F6" s="11" t="s">
        <v>13</v>
      </c>
      <c r="G6" s="11" t="s">
        <v>14</v>
      </c>
    </row>
    <row r="7" spans="1:7" ht="15">
      <c r="A7" s="12" t="s">
        <v>15</v>
      </c>
      <c r="B7" s="12">
        <f>COUNTIF('Matriz Trazabilidad'!$N$5:$N$87,"Passed")</f>
        <v>0</v>
      </c>
      <c r="C7" s="11"/>
      <c r="D7" s="11"/>
      <c r="E7" s="11" t="s">
        <v>16</v>
      </c>
      <c r="F7" s="11" t="s">
        <v>17</v>
      </c>
      <c r="G7" s="11" t="s">
        <v>18</v>
      </c>
    </row>
    <row r="8" spans="1:7">
      <c r="A8" s="12" t="s">
        <v>19</v>
      </c>
      <c r="B8" s="12">
        <f>COUNTIF('Matriz Trazabilidad'!$N$5:$N$87,"Pendiente")</f>
        <v>59</v>
      </c>
      <c r="C8" s="11"/>
      <c r="D8" s="11"/>
      <c r="E8" s="11"/>
      <c r="F8" s="11"/>
      <c r="G8" s="11"/>
    </row>
    <row r="9" spans="1:7">
      <c r="A9" s="12" t="s">
        <v>20</v>
      </c>
      <c r="B9" s="12">
        <f>COUNTA('Pendientes Cliente'!$A$5:$A$23)</f>
        <v>8</v>
      </c>
      <c r="C9" s="11"/>
      <c r="D9" s="11"/>
      <c r="E9" s="11"/>
      <c r="F9" s="11"/>
      <c r="G9" s="11"/>
    </row>
    <row r="10" spans="1:7" ht="195">
      <c r="A10" s="11" t="s">
        <v>21</v>
      </c>
      <c r="B10" s="11" t="s">
        <v>924</v>
      </c>
      <c r="C10" s="11"/>
      <c r="D10" s="11"/>
      <c r="E10" s="11"/>
      <c r="F10" s="11"/>
      <c r="G10" s="11"/>
    </row>
    <row r="11" spans="1:7">
      <c r="A11" s="11"/>
      <c r="B11" s="11"/>
      <c r="C11" s="11"/>
      <c r="D11" s="11"/>
      <c r="E11" s="11"/>
      <c r="F11" s="11"/>
      <c r="G11" s="11"/>
    </row>
    <row r="12" spans="1:7" ht="16">
      <c r="A12" s="33" t="s">
        <v>22</v>
      </c>
      <c r="B12" s="33"/>
      <c r="C12" s="33"/>
      <c r="D12" s="11"/>
      <c r="E12" s="33" t="s">
        <v>23</v>
      </c>
      <c r="F12" s="33"/>
      <c r="G12" s="33"/>
    </row>
    <row r="13" spans="1:7" ht="16">
      <c r="A13" s="10" t="s">
        <v>24</v>
      </c>
      <c r="B13" s="10" t="s">
        <v>25</v>
      </c>
      <c r="C13" s="10" t="s">
        <v>26</v>
      </c>
      <c r="D13" s="11"/>
      <c r="E13" s="10" t="s">
        <v>27</v>
      </c>
      <c r="F13" s="10" t="s">
        <v>25</v>
      </c>
      <c r="G13" s="10" t="s">
        <v>26</v>
      </c>
    </row>
    <row r="14" spans="1:7" ht="15">
      <c r="A14" s="13" t="s">
        <v>28</v>
      </c>
      <c r="B14" s="13">
        <f>COUNTIF('Matriz Trazabilidad'!$R$5:$R$87,"Aprobado")</f>
        <v>46</v>
      </c>
      <c r="C14" s="14">
        <f>IF($B$4=0,0,B14/$B$4)</f>
        <v>0.7796610169491526</v>
      </c>
      <c r="D14" s="11"/>
      <c r="E14" s="15" t="s">
        <v>29</v>
      </c>
      <c r="F14" s="15">
        <f>COUNTIF('Pendientes Cliente'!$G$5:$G$23,"Pendiente")</f>
        <v>3</v>
      </c>
      <c r="G14" s="16">
        <f>IF($B$9=0,0,F14/$B$9)</f>
        <v>0.375</v>
      </c>
    </row>
    <row r="15" spans="1:7" ht="15">
      <c r="A15" s="15" t="s">
        <v>29</v>
      </c>
      <c r="B15" s="15">
        <f>COUNTIF('Matriz Trazabilidad'!$R$5:$R$87,"Pendiente")</f>
        <v>0</v>
      </c>
      <c r="C15" s="16">
        <f>IF($B$4=0,0,B15/$B$4)</f>
        <v>0</v>
      </c>
      <c r="D15" s="11"/>
      <c r="E15" s="13" t="s">
        <v>30</v>
      </c>
      <c r="F15" s="13">
        <f>COUNTIF('Pendientes Cliente'!$G$5:$G$23,"Resuelto")</f>
        <v>4</v>
      </c>
      <c r="G15" s="14">
        <f>IF($B$9=0,0,F15/$B$9)</f>
        <v>0.5</v>
      </c>
    </row>
    <row r="16" spans="1:7" ht="15">
      <c r="A16" s="17" t="s">
        <v>31</v>
      </c>
      <c r="B16" s="17">
        <f>COUNTIF('Matriz Trazabilidad'!$R$5:$R$87,"Ajustar")</f>
        <v>13</v>
      </c>
      <c r="C16" s="18">
        <f>IF($B$4=0,0,B16/$B$4)</f>
        <v>0.22033898305084745</v>
      </c>
      <c r="D16" s="11"/>
      <c r="E16" s="17" t="s">
        <v>32</v>
      </c>
      <c r="F16" s="17">
        <f>COUNTIF('Pendientes Cliente'!$G$5:$G$23,"Requiere análisis")</f>
        <v>0</v>
      </c>
      <c r="G16" s="18">
        <f>IF($B$9=0,0,F16/$B$9)</f>
        <v>0</v>
      </c>
    </row>
    <row r="17" spans="1:7" ht="15">
      <c r="A17" s="19" t="s">
        <v>33</v>
      </c>
      <c r="B17" s="19">
        <f>COUNTIF('Matriz Trazabilidad'!$R$5:$R$87,"Fuera de alcance")</f>
        <v>0</v>
      </c>
      <c r="C17" s="20">
        <f>IF($B$4=0,0,B17/$B$4)</f>
        <v>0</v>
      </c>
      <c r="D17" s="11"/>
      <c r="E17" s="19" t="s">
        <v>33</v>
      </c>
      <c r="F17" s="19">
        <f>COUNTIF('Pendientes Cliente'!$G$5:$G$23,"Fuera de alcance")</f>
        <v>1</v>
      </c>
      <c r="G17" s="20">
        <f>IF($B$9=0,0,F17/$B$9)</f>
        <v>0.125</v>
      </c>
    </row>
    <row r="18" spans="1:7" ht="15">
      <c r="A18" s="21" t="s">
        <v>32</v>
      </c>
      <c r="B18" s="21">
        <f>COUNTIF('Matriz Trazabilidad'!$R$5:$R$87,"Requiere análisis")</f>
        <v>0</v>
      </c>
      <c r="C18" s="22">
        <f>IF($B$4=0,0,B18/$B$4)</f>
        <v>0</v>
      </c>
      <c r="D18" s="11"/>
      <c r="E18" s="11"/>
      <c r="F18" s="11"/>
      <c r="G18" s="11"/>
    </row>
    <row r="19" spans="1:7">
      <c r="A19" s="11"/>
      <c r="B19" s="11"/>
      <c r="C19" s="11"/>
      <c r="D19" s="11"/>
      <c r="E19" s="11"/>
      <c r="F19" s="11"/>
      <c r="G19" s="11"/>
    </row>
    <row r="20" spans="1:7" ht="16">
      <c r="A20" s="23" t="s">
        <v>34</v>
      </c>
      <c r="B20" s="24">
        <f>SUM(B14,B16:B18)</f>
        <v>59</v>
      </c>
      <c r="C20" s="11"/>
      <c r="D20" s="11"/>
      <c r="E20" s="11"/>
      <c r="F20" s="11"/>
      <c r="G20" s="11"/>
    </row>
    <row r="21" spans="1:7" ht="16">
      <c r="A21" s="23" t="s">
        <v>35</v>
      </c>
      <c r="B21" s="25">
        <f>IF($B$4=0,0,B20/$B$4)</f>
        <v>1</v>
      </c>
      <c r="C21" s="11"/>
      <c r="D21" s="11"/>
      <c r="E21" s="11"/>
      <c r="F21" s="11"/>
      <c r="G21" s="11"/>
    </row>
    <row r="22" spans="1:7" ht="16">
      <c r="A22" s="23" t="s">
        <v>36</v>
      </c>
      <c r="B22" s="25">
        <f>IF(B20=0,0,B14/B20)</f>
        <v>0.7796610169491526</v>
      </c>
      <c r="C22" s="11"/>
      <c r="D22" s="11"/>
      <c r="E22" s="11"/>
      <c r="F22" s="11"/>
      <c r="G22" s="11"/>
    </row>
    <row r="23" spans="1:7">
      <c r="D23" s="11"/>
    </row>
    <row r="26">
      <c r="A26" t="inlineStr">
        <is>
          <t>RESPUESTA WALVY v1.0</t>
        </is>
      </c>
    </row>
    <row r="27" ht="50" customHeight="1">
      <c r="A27" t="inlineStr">
        <is>
          <t xml:space="preserve">Alcance de esta respuesta</t>
        </is>
      </c>
      <c r="B27" t="inlineStr">
        <is>
          <t xml:space="preserve">59 variantes respondidas + 8 pendientes tratados. Aprobado valida definición, no implementacion.</t>
        </is>
      </c>
    </row>
    <row r="28" ht="65" customHeight="1">
      <c r="A28" t="inlineStr">
        <is>
          <t xml:space="preserve">Autoridad documental</t>
        </is>
      </c>
      <c r="B28" t="inlineStr">
        <is>
          <t xml:space="preserve">Columnas A:Q de Matriz Trazabilidad conservan lo recibido. R:S responden. U:W enlazan reglas y contrato. Figma y evidencia pendientes no se convierten en aprobacion runtime.</t>
        </is>
      </c>
    </row>
    <row r="29" ht="55" customHeight="1">
      <c r="A29" t="inlineStr">
        <is>
          <t xml:space="preserve">Validación de Pendientes</t>
        </is>
      </c>
      <c r="B29" t="inlineStr">
        <is>
          <t xml:space="preserve">G usa un solo catalogo: Pendiente / Resuelto / Fuera de alcance / Requiere analisis. Se corrige la validación duplicada del original sin alterar preguntas.</t>
        </is>
      </c>
    </row>
    <row r="30" ht="65" customHeight="1">
      <c r="A30" t="inlineStr">
        <is>
          <t xml:space="preserve">Fuentes y otras hojas</t>
        </is>
      </c>
      <c r="B30" t="inlineStr">
        <is>
          <t xml:space="preserve">Historias y CA, Reglas de Negocio y Fuentes conservan el antecedente de Kabeli. Regla vigente: respuesta Walvy + Reglas Walvy + contrato. Cobertura Walvy es catalogo de referencia, no otra devolución.</t>
        </is>
      </c>
    </row>
  </sheetData>
  <mergeCells count="4">
    <mergeCell ref="A1:G1"/>
    <mergeCell ref="E3:G3"/>
    <mergeCell ref="A12:C12"/>
    <mergeCell ref="E12:G12"/>
  </mergeCells>
  <conditionalFormatting sqref="B21:B22">
    <cfRule type="dataBar" priority="1">
      <dataBar>
        <cfvo type="min"/>
        <cfvo type="max"/>
        <color rgb="FFA02B93"/>
      </dataBar>
    </cfRule>
    <cfRule type="dataBar" priority="2">
      <dataBar>
        <cfvo type="min"/>
        <cfvo type="max"/>
        <color rgb="FFA02B93"/>
      </dataBar>
    </cfRule>
    <cfRule type="dataBar" priority="3">
      <dataBar>
        <cfvo type="min"/>
        <cfvo type="max"/>
        <color rgb="FFA02B93"/>
      </dataBar>
      <extLst>
        <ext xmlns:x14="http://schemas.microsoft.com/office/spreadsheetml/2009/9/main" uri="{B025F937-C7B1-47D3-B67F-A62EFF666E3E}">
          <x14:id>{DA12C461-A72D-FADC-ED1B-42B2A151D9C7}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12C461-A72D-FADC-ED1B-42B2A151D9C7}">
            <x14:dataBar>
              <x14:cfvo type="min"/>
              <x14:cfvo type="max"/>
              <x14:negativeFillColor auto="1"/>
              <x14:axisColor auto="1"/>
            </x14:dataBar>
          </x14:cfRule>
          <xm:sqref>B21:B22</xm:sqref>
        </x14:conditionalFormatting>
      </x14:conditionalFormattings>
    </ext>
  </extLst>
</worksheet>
</file>

<file path=xl/worksheets/walvy_extra_7.xml><?xml version="1.0" encoding="utf-8"?>
<worksheet xmlns="http://schemas.openxmlformats.org/spreadsheetml/2006/main">
  <sheetPr>
    <outlinePr summaryBelow="1" summaryRight="1"/>
    <pageSetUpPr fitToPage="1"/>
  </sheetPr>
  <dimension ref="A1:P4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22" customWidth="1" min="3" max="3"/>
    <col width="90" customWidth="1" min="4" max="4"/>
    <col width="45" customWidth="1" min="5" max="5"/>
    <col width="55" customWidth="1" min="6" max="6"/>
    <col width="85" customWidth="1" min="7" max="7"/>
    <col width="45" customWidth="1" min="8" max="8"/>
    <col width="55" customWidth="1" min="9" max="9"/>
    <col width="45" customWidth="1" min="10" max="10"/>
    <col width="22" customWidth="1" min="11" max="11"/>
    <col width="22" customWidth="1" min="12" max="12"/>
    <col width="38" customWidth="1" min="13" max="13"/>
    <col width="18" customWidth="1" min="14" max="14"/>
    <col width="55" customWidth="1" min="15" max="15"/>
    <col width="55" customWidth="1" min="16" max="16"/>
  </cols>
  <sheetData>
    <row r="1" ht="30" customHeight="1">
      <c r="A1" s="35" t="inlineStr">
        <is>
          <t>M06 | Reglas Walvy vigentes</t>
        </is>
      </c>
    </row>
    <row r="2" ht="38" customHeight="1">
      <c r="A2" s="36" t="inlineStr">
        <is>
          <t>44 reglas preservadas; los IDs de Kabeli y Walvy no se equiparan por semejanza numerica.</t>
        </is>
      </c>
    </row>
    <row r="4" ht="38" customHeight="1">
      <c r="A4" s="37" t="inlineStr">
        <is>
          <t>Regla ID</t>
        </is>
      </c>
      <c r="B4" s="37" t="inlineStr">
        <is>
          <t>Dominio</t>
        </is>
      </c>
      <c r="C4" s="37" t="inlineStr">
        <is>
          <t>Tipo</t>
        </is>
      </c>
      <c r="D4" s="37" t="inlineStr">
        <is>
          <t>Regla canónica / criterio</t>
        </is>
      </c>
      <c r="E4" s="37" t="inlineStr">
        <is>
          <t>Resultado esperado</t>
        </is>
      </c>
      <c r="F4" s="37" t="inlineStr">
        <is>
          <t>Fuente principal</t>
        </is>
      </c>
      <c r="G4" s="37" t="inlineStr">
        <is>
          <t>Referencia fuente / alias</t>
        </is>
      </c>
      <c r="H4" s="37" t="inlineStr">
        <is>
          <t>BDD / casos</t>
        </is>
      </c>
      <c r="I4" s="37" t="inlineStr">
        <is>
          <t>Superficie / cobertura</t>
        </is>
      </c>
      <c r="J4" s="37" t="inlineStr">
        <is>
          <t>CTA / salida</t>
        </is>
      </c>
      <c r="K4" s="37" t="inlineStr">
        <is>
          <t>Owner</t>
        </is>
      </c>
      <c r="L4" s="37" t="inlineStr">
        <is>
          <t>Estado definición</t>
        </is>
      </c>
      <c r="M4" s="37" t="inlineStr">
        <is>
          <t>Gap / decision</t>
        </is>
      </c>
      <c r="N4" s="37" t="inlineStr">
        <is>
          <t>Prioridad fuente</t>
        </is>
      </c>
      <c r="O4" s="37" t="inlineStr">
        <is>
          <t>Documento rector</t>
        </is>
      </c>
      <c r="P4" s="37" t="inlineStr">
        <is>
          <t>Referencia detallada</t>
        </is>
      </c>
    </row>
    <row r="5" ht="56" customHeight="1">
      <c r="A5" s="38" t="inlineStr">
        <is>
          <t>M06-RGL-001</t>
        </is>
      </c>
      <c r="B5" s="38" t="inlineStr">
        <is>
          <t>Seguimiento no transaccional</t>
        </is>
      </c>
      <c r="C5" s="38" t="inlineStr">
        <is>
          <t>Guardrail</t>
        </is>
      </c>
      <c r="D5" s="38" t="inlineStr">
        <is>
          <t>M06 organiza y da seguimiento a compromisos; ningún CTA o estado ejecuta pagos, transferencias, wallet, débito o checkout.</t>
        </is>
      </c>
      <c r="E5" s="38" t="inlineStr">
        <is>
          <t>Aplicar contrato y casos asociados; no prueba ejecutada.</t>
        </is>
      </c>
      <c r="F5" s="38" t="inlineStr">
        <is>
          <t>Walvy_M06_Documentacion_Funcional_Consolidada_v1.0.docx</t>
        </is>
      </c>
      <c r="G5" s="38" t="inlineStr">
        <is>
          <t>Contrato vigente: CT-M06-01, CT-M06-17. Fuente: RECTOR:P008-P040; F1:T02-T07; EXEC; BTR:02_Reglas_Walvy!5. Backend puede inferir nueva semantica = No. Mecanismos derivados documentados en contrato/BDD.</t>
        </is>
      </c>
      <c r="H5" s="38" t="inlineStr">
        <is>
          <t>TC-M06-026; TC-M06-066; TC-M06-034; TC-M06-036; TC-M06-037; TC-M06-023</t>
        </is>
      </c>
      <c r="I5" s="38" t="inlineStr">
        <is>
          <t>M06-TR-010; M06-TR-029; M06-TR-032; M06-TR-068; M06-TR-069</t>
        </is>
      </c>
      <c r="J5" s="38" t="inlineStr">
        <is>
          <t>CTA segun cobertura y contrato; sin acción nueva.</t>
        </is>
      </c>
      <c r="K5" s="38" t="inlineStr">
        <is>
          <t>M06</t>
        </is>
      </c>
      <c r="L5" s="38" t="inlineStr">
        <is>
          <t>Definido</t>
        </is>
      </c>
      <c r="M5" s="38" t="inlineStr">
        <is>
          <t>OBS-M06-FIG-03; OBS-M06-FIG-05</t>
        </is>
      </c>
      <c r="N5" s="38" t="inlineStr">
        <is>
          <t>Alta</t>
        </is>
      </c>
      <c r="O5" s="38" t="inlineStr">
        <is>
          <t>Walvy_M06_Documentacion_Funcional_Consolidada_v1.0.docx</t>
        </is>
      </c>
      <c r="P5" s="38" t="inlineStr">
        <is>
          <t>CT-M06-01; CT-M06-17</t>
        </is>
      </c>
    </row>
    <row r="6" ht="70" customHeight="1">
      <c r="A6" s="39" t="inlineStr">
        <is>
          <t>M06-RGL-002</t>
        </is>
      </c>
      <c r="B6" s="39" t="inlineStr">
        <is>
          <t>Alta manual mínima</t>
        </is>
      </c>
      <c r="C6" s="39" t="inlineStr">
        <is>
          <t>Dato / estado</t>
        </is>
      </c>
      <c r="D6" s="39" t="inlineStr">
        <is>
          <t>Una cuenta manual puede consolidarse cuando existe descripción/identificador y fecha de vencimiento confiable; si falta alguno, permanece borrador/sin datos o revisión.
Precision: Borrador recuperable si faltan mínimos de consolidación; Guardar pendiente no lo incluye en U_mes. No copiar los mínimos de deuda M04.</t>
        </is>
      </c>
      <c r="E6" s="39" t="inlineStr">
        <is>
          <t>Aplicar contrato y casos asociados; no prueba ejecutada.</t>
        </is>
      </c>
      <c r="F6" s="39" t="inlineStr">
        <is>
          <t>Walvy_M06_Documentacion_Funcional_Consolidada_v1.0.docx</t>
        </is>
      </c>
      <c r="G6" s="39" t="inlineStr">
        <is>
          <t>Contrato vigente: CT-M06-02, CT-M06-03. Fuente: F1:T23; F3:T03,T05; F5:T18; BTR:02_Reglas_Walvy; PDI:01_Matriz_Maestra. Backend puede inferir nueva semantica = No. Mecanismos derivados documentados en contrato/BDD.</t>
        </is>
      </c>
      <c r="H6" s="39" t="inlineStr">
        <is>
          <t>TC-M06-002; TC-M06-004; TC-M06-005; TC-M06-020; TC-M06-045; TC-M06-063</t>
        </is>
      </c>
      <c r="I6" s="39" t="inlineStr">
        <is>
          <t>M06-TR-004; M06-TR-005; M06-TR-014</t>
        </is>
      </c>
      <c r="J6" s="39" t="inlineStr">
        <is>
          <t>CTA segun cobertura y contrato; sin acción nueva.</t>
        </is>
      </c>
      <c r="K6" s="39" t="inlineStr">
        <is>
          <t>M06</t>
        </is>
      </c>
      <c r="L6" s="39" t="inlineStr">
        <is>
          <t>Definido</t>
        </is>
      </c>
      <c r="M6" s="39" t="n"/>
      <c r="N6" s="39" t="inlineStr">
        <is>
          <t>Alta</t>
        </is>
      </c>
      <c r="O6" s="39" t="inlineStr">
        <is>
          <t>Walvy_M06_Documentacion_Funcional_Consolidada_v1.0.docx</t>
        </is>
      </c>
      <c r="P6" s="39" t="inlineStr">
        <is>
          <t>CT-M06-02; CT-M06-03</t>
        </is>
      </c>
    </row>
    <row r="7" ht="56" customHeight="1">
      <c r="A7" s="38" t="inlineStr">
        <is>
          <t>M06-RGL-003</t>
        </is>
      </c>
      <c r="B7" s="38" t="inlineStr">
        <is>
          <t>Monto opcional</t>
        </is>
      </c>
      <c r="C7" s="38" t="inlineStr">
        <is>
          <t>Dato / BDD</t>
        </is>
      </c>
      <c r="D7" s="38" t="inlineStr">
        <is>
          <t>El monto no es obligatorio para que exista el compromiso; su ausencia limita cálculos/severidad sustentados en impacto económico.</t>
        </is>
      </c>
      <c r="E7" s="38" t="inlineStr">
        <is>
          <t>Aplicar contrato y casos asociados; no prueba ejecutada.</t>
        </is>
      </c>
      <c r="F7" s="38" t="inlineStr">
        <is>
          <t>Walvy_M06_Documentacion_Funcional_Consolidada_v1.0.docx</t>
        </is>
      </c>
      <c r="G7" s="38" t="inlineStr">
        <is>
          <t>Contrato vigente: CT-M06-03. Fuente: F1:T23; F3:T03,T05; F5:T18; BTR:02_Reglas_Walvy; PDI:01_Matriz_Maestra. Backend puede inferir nueva semantica = No. Mecanismos derivados documentados en contrato/BDD.</t>
        </is>
      </c>
      <c r="H7" s="38" t="inlineStr">
        <is>
          <t>TC-M06-006; TC-M06-063</t>
        </is>
      </c>
      <c r="I7" s="38" t="inlineStr">
        <is>
          <t>M06-TR-006; M06-TR-057</t>
        </is>
      </c>
      <c r="J7" s="38" t="inlineStr">
        <is>
          <t>CTA segun cobertura y contrato; sin acción nueva.</t>
        </is>
      </c>
      <c r="K7" s="38" t="inlineStr">
        <is>
          <t>M06</t>
        </is>
      </c>
      <c r="L7" s="38" t="inlineStr">
        <is>
          <t>Definido</t>
        </is>
      </c>
      <c r="M7" s="38" t="inlineStr">
        <is>
          <t>OBS-M06-FIG-01</t>
        </is>
      </c>
      <c r="N7" s="38" t="inlineStr">
        <is>
          <t>Alta</t>
        </is>
      </c>
      <c r="O7" s="38" t="inlineStr">
        <is>
          <t>Walvy_M06_Documentacion_Funcional_Consolidada_v1.0.docx</t>
        </is>
      </c>
      <c r="P7" s="38" t="inlineStr">
        <is>
          <t>CT-M06-03</t>
        </is>
      </c>
    </row>
    <row r="8" ht="56" customHeight="1">
      <c r="A8" s="39" t="inlineStr">
        <is>
          <t>M06-RGL-004</t>
        </is>
      </c>
      <c r="B8" s="39" t="inlineStr">
        <is>
          <t>Origen manual</t>
        </is>
      </c>
      <c r="C8" s="39" t="inlineStr">
        <is>
          <t>Dato / proveniencia</t>
        </is>
      </c>
      <c r="D8" s="39" t="inlineStr">
        <is>
          <t>Toda cuenta creada manualmente conserva origen manual y trazabilidad de procedencia.</t>
        </is>
      </c>
      <c r="E8" s="39" t="inlineStr">
        <is>
          <t>Aplicar contrato y casos asociados; no prueba ejecutada.</t>
        </is>
      </c>
      <c r="F8" s="39" t="inlineStr">
        <is>
          <t>Walvy_M06_Documentacion_Funcional_Consolidada_v1.0.docx</t>
        </is>
      </c>
      <c r="G8" s="39" t="inlineStr">
        <is>
          <t>Contrato vigente: CT-M06-03, CT-M06-16. Fuente: F1:T23; F3:T03,T05; F5:T18; BTR:02_Reglas_Walvy; PDI:01_Matriz_Maestra. Backend puede inferir nueva semantica = No. Mecanismos derivados documentados en contrato/BDD.</t>
        </is>
      </c>
      <c r="H8" s="39" t="inlineStr">
        <is>
          <t>TC-M06-007</t>
        </is>
      </c>
      <c r="I8" s="39" t="inlineStr">
        <is>
          <t>M06-TR-007</t>
        </is>
      </c>
      <c r="J8" s="39" t="inlineStr">
        <is>
          <t>CTA segun cobertura y contrato; sin acción nueva.</t>
        </is>
      </c>
      <c r="K8" s="39" t="inlineStr">
        <is>
          <t>M06</t>
        </is>
      </c>
      <c r="L8" s="39" t="inlineStr">
        <is>
          <t>Definido</t>
        </is>
      </c>
      <c r="M8" s="39" t="n"/>
      <c r="N8" s="39" t="inlineStr">
        <is>
          <t>Alta</t>
        </is>
      </c>
      <c r="O8" s="39" t="inlineStr">
        <is>
          <t>Walvy_M06_Documentacion_Funcional_Consolidada_v1.0.docx</t>
        </is>
      </c>
      <c r="P8" s="39" t="inlineStr">
        <is>
          <t>CT-M06-03; CT-M06-16</t>
        </is>
      </c>
    </row>
    <row r="9" ht="70" customHeight="1">
      <c r="A9" s="38" t="inlineStr">
        <is>
          <t>M06-RGL-005</t>
        </is>
      </c>
      <c r="B9" s="38" t="inlineStr">
        <is>
          <t>Corrección de cuenta</t>
        </is>
      </c>
      <c r="C9" s="38" t="inlineStr">
        <is>
          <t>Funcional</t>
        </is>
      </c>
      <c r="D9" s="38" t="inlineStr">
        <is>
          <t>Una cuenta manual puede corregirse manteniendo trazabilidad funcional de la modificación.
Precision: Editor reutilizable en modo compromiso, separado de editar pago. Guardar/cancelar/conflicto de version y retorno segun CT-M06-03/17.</t>
        </is>
      </c>
      <c r="E9" s="38" t="inlineStr">
        <is>
          <t>Aplicar contrato y casos asociados; no prueba ejecutada.</t>
        </is>
      </c>
      <c r="F9" s="38" t="inlineStr">
        <is>
          <t>Walvy_M06_Documentacion_Funcional_Consolidada_v1.0.docx</t>
        </is>
      </c>
      <c r="G9" s="38" t="inlineStr">
        <is>
          <t>Contrato vigente: CT-M06-03, CT-M06-16, CT-M06-17. Fuente: F1:T23; F3:T03,T05; F5:T18; BTR:02_Reglas_Walvy; PDI:01_Matriz_Maestra. Backend puede inferir nueva semantica = No. Mecanismos derivados documentados en contrato/BDD.</t>
        </is>
      </c>
      <c r="H9" s="38" t="inlineStr">
        <is>
          <t>TC-M06-007</t>
        </is>
      </c>
      <c r="I9" s="38" t="inlineStr">
        <is>
          <t>M06-TR-066</t>
        </is>
      </c>
      <c r="J9" s="38" t="inlineStr">
        <is>
          <t>CTA segun cobertura y contrato; sin acción nueva.</t>
        </is>
      </c>
      <c r="K9" s="38" t="inlineStr">
        <is>
          <t>M06</t>
        </is>
      </c>
      <c r="L9" s="38" t="inlineStr">
        <is>
          <t>Definido parcialmente</t>
        </is>
      </c>
      <c r="M9" s="38" t="inlineStr">
        <is>
          <t>OBS-M06-FIG-04</t>
        </is>
      </c>
      <c r="N9" s="38" t="inlineStr">
        <is>
          <t>Alta</t>
        </is>
      </c>
      <c r="O9" s="38" t="inlineStr">
        <is>
          <t>Walvy_M06_Documentacion_Funcional_Consolidada_v1.0.docx</t>
        </is>
      </c>
      <c r="P9" s="38" t="inlineStr">
        <is>
          <t>CT-M06-03; CT-M06-16; CT-M06-17</t>
        </is>
      </c>
    </row>
    <row r="10" ht="56" customHeight="1">
      <c r="A10" s="39" t="inlineStr">
        <is>
          <t>M06-RGL-006</t>
        </is>
      </c>
      <c r="B10" s="39" t="inlineStr">
        <is>
          <t>Detección no consolida</t>
        </is>
      </c>
      <c r="C10" s="39" t="inlineStr">
        <is>
          <t>Ingesta</t>
        </is>
      </c>
      <c r="D10" s="39" t="inlineStr">
        <is>
          <t>Captura/ingesta/glosa/cartola/patrón crea candidato detectado, nunca cuenta confirmada automática.</t>
        </is>
      </c>
      <c r="E10" s="39" t="inlineStr">
        <is>
          <t>Aplicar contrato y casos asociados; no prueba ejecutada.</t>
        </is>
      </c>
      <c r="F10" s="39" t="inlineStr">
        <is>
          <t>Walvy_M06_Documentacion_Funcional_Consolidada_v1.0.docx</t>
        </is>
      </c>
      <c r="G10" s="39" t="inlineStr">
        <is>
          <t>Contrato vigente: CT-M06-02, CT-M06-04. Fuente: RECTOR; F5:T17-T20,T23-T25; F3:T06,T13; PDT; BTR:02_Reglas_Walvy. Backend puede inferir nueva semantica = No. Mecanismos derivados documentados en contrato/BDD.</t>
        </is>
      </c>
      <c r="H10" s="39" t="inlineStr">
        <is>
          <t>TC-M06-001; TC-M06-041; TC-M06-043</t>
        </is>
      </c>
      <c r="I10" s="39" t="inlineStr">
        <is>
          <t>M06-TR-001; M06-TR-002; M06-TR-039</t>
        </is>
      </c>
      <c r="J10" s="39" t="inlineStr">
        <is>
          <t>CTA segun cobertura y contrato; sin acción nueva.</t>
        </is>
      </c>
      <c r="K10" s="39" t="inlineStr">
        <is>
          <t>M06 + capacidad transversal</t>
        </is>
      </c>
      <c r="L10" s="39" t="inlineStr">
        <is>
          <t>Definido</t>
        </is>
      </c>
      <c r="M10" s="39" t="n"/>
      <c r="N10" s="39" t="inlineStr">
        <is>
          <t>Alta</t>
        </is>
      </c>
      <c r="O10" s="39" t="inlineStr">
        <is>
          <t>Walvy_M06_Documentacion_Funcional_Consolidada_v1.0.docx</t>
        </is>
      </c>
      <c r="P10" s="39" t="inlineStr">
        <is>
          <t>CT-M06-02; CT-M06-04</t>
        </is>
      </c>
    </row>
    <row r="11" ht="56" customHeight="1">
      <c r="A11" s="38" t="inlineStr">
        <is>
          <t>M06-RGL-007</t>
        </is>
      </c>
      <c r="B11" s="38" t="inlineStr">
        <is>
          <t>Origen y confianza del candidato</t>
        </is>
      </c>
      <c r="C11" s="38" t="inlineStr">
        <is>
          <t>Dato / proveniencia</t>
        </is>
      </c>
      <c r="D11" s="38" t="inlineStr">
        <is>
          <t>Todo candidato detectado conserva origen y nivel de confianza funcional visibles/trazables.</t>
        </is>
      </c>
      <c r="E11" s="38" t="inlineStr">
        <is>
          <t>Aplicar contrato y casos asociados; no prueba ejecutada.</t>
        </is>
      </c>
      <c r="F11" s="38" t="inlineStr">
        <is>
          <t>Walvy_M06_Documentacion_Funcional_Consolidada_v1.0.docx</t>
        </is>
      </c>
      <c r="G11" s="38" t="inlineStr">
        <is>
          <t>Contrato vigente: CT-M06-04, CT-M06-05, CT-M06-11, CT-M06-16. Fuente: F3:T06,T10-T11; F4:T10-T11,T13; M02II:T66-T68,T74; BTR:02_Reglas_Walvy. Backend puede inferir nueva semantica = No. Mecanismos derivados documentados en contrato/BDD.</t>
        </is>
      </c>
      <c r="H11" s="38" t="inlineStr">
        <is>
          <t>TC-M06-001; TC-M06-041; TC-M06-043</t>
        </is>
      </c>
      <c r="I11" s="38" t="inlineStr">
        <is>
          <t>M06-TR-002; M06-TR-039</t>
        </is>
      </c>
      <c r="J11" s="38" t="inlineStr">
        <is>
          <t>CTA segun cobertura y contrato; sin acción nueva.</t>
        </is>
      </c>
      <c r="K11" s="38" t="inlineStr">
        <is>
          <t>M06 + capacidad transversal</t>
        </is>
      </c>
      <c r="L11" s="38" t="inlineStr">
        <is>
          <t>Definido</t>
        </is>
      </c>
      <c r="M11" s="38" t="n"/>
      <c r="N11" s="38" t="inlineStr">
        <is>
          <t>Alta</t>
        </is>
      </c>
      <c r="O11" s="38" t="inlineStr">
        <is>
          <t>Walvy_M06_Documentacion_Funcional_Consolidada_v1.0.docx</t>
        </is>
      </c>
      <c r="P11" s="38" t="inlineStr">
        <is>
          <t>CT-M06-04; CT-M06-05; CT-M06-11; CT-M06-16</t>
        </is>
      </c>
    </row>
    <row r="12" ht="70" customHeight="1">
      <c r="A12" s="39" t="inlineStr">
        <is>
          <t>M06-RGL-008</t>
        </is>
      </c>
      <c r="B12" s="39" t="inlineStr">
        <is>
          <t>Dato ambiguo a revisión</t>
        </is>
      </c>
      <c r="C12" s="39" t="inlineStr">
        <is>
          <t>Estado / calidad</t>
        </is>
      </c>
      <c r="D12" s="39" t="inlineStr">
        <is>
          <t>Candidato o dato ambiguo/incompleto/ilegible pasa a Requiere revisión y no se consolida ni escala de forma fuerte.</t>
        </is>
      </c>
      <c r="E12" s="39" t="inlineStr">
        <is>
          <t>Aplicar contrato y casos asociados; no prueba ejecutada.</t>
        </is>
      </c>
      <c r="F12" s="39" t="inlineStr">
        <is>
          <t>Walvy_M06_Documentacion_Funcional_Consolidada_v1.0.docx</t>
        </is>
      </c>
      <c r="G12" s="39" t="inlineStr">
        <is>
          <t>Contrato vigente: CT-M06-02, CT-M06-04, CT-M06-05. Fuente: F3:T06,T10-T11; F4:T10-T11,T13; M02II:T66-T68,T74; BTR:02_Reglas_Walvy. Backend puede inferir nueva semantica = No. Mecanismos derivados documentados en contrato/BDD.</t>
        </is>
      </c>
      <c r="H12" s="39" t="inlineStr">
        <is>
          <t>TC-M06-075; TC-M06-004; TC-M06-005; TC-M06-020; TC-M06-045; TC-M06-063; TC-M06-029; TC-M06-041; TC-M06-043; TC-M06-044; TC-M06-050</t>
        </is>
      </c>
      <c r="I12" s="39" t="inlineStr">
        <is>
          <t>M06-TR-003; M06-TR-014; M06-TR-026; M06-TR-039; M06-TR-044</t>
        </is>
      </c>
      <c r="J12" s="39" t="inlineStr">
        <is>
          <t>CTA segun cobertura y contrato; sin acción nueva.</t>
        </is>
      </c>
      <c r="K12" s="39" t="inlineStr">
        <is>
          <t>M06 + capacidad transversal</t>
        </is>
      </c>
      <c r="L12" s="39" t="inlineStr">
        <is>
          <t>Definido</t>
        </is>
      </c>
      <c r="M12" s="39" t="inlineStr">
        <is>
          <t>Calidad/precision del dato y contrato owner vigente; D-CL-M06-02 solo regula filtros.</t>
        </is>
      </c>
      <c r="N12" s="39" t="inlineStr">
        <is>
          <t>Alta</t>
        </is>
      </c>
      <c r="O12" s="39" t="inlineStr">
        <is>
          <t>Walvy_M06_Documentacion_Funcional_Consolidada_v1.0.docx</t>
        </is>
      </c>
      <c r="P12" s="39" t="inlineStr">
        <is>
          <t>CT-M06-02; CT-M06-04; CT-M06-05</t>
        </is>
      </c>
    </row>
    <row r="13" ht="84" customHeight="1">
      <c r="A13" s="38" t="inlineStr">
        <is>
          <t>M06-RGL-009</t>
        </is>
      </c>
      <c r="B13" s="38" t="inlineStr">
        <is>
          <t>Confirmar candidato</t>
        </is>
      </c>
      <c r="C13" s="38" t="inlineStr">
        <is>
          <t>Funcional</t>
        </is>
      </c>
      <c r="D13" s="38" t="inlineStr">
        <is>
          <t>Un candidato confirmado con datos mínimos se consolida según fecha y contexto: Pendiente/Próximo/Vencido; Pagado solo tras confirmar pago completo o vinculo canónico suficiente. Detectado/leido no equivale a confirmado. CT-M06-05/07.
Precision: Confirmar candidato requiere mínimos y aplica estado temporal segun fecha; no siempre Pendiente y nunca Pago por abrirlo.</t>
        </is>
      </c>
      <c r="E13" s="38" t="inlineStr">
        <is>
          <t>Aplicar contrato y casos asociados; no prueba ejecutada.</t>
        </is>
      </c>
      <c r="F13" s="38" t="inlineStr">
        <is>
          <t>Walvy_M06_Documentacion_Funcional_Consolidada_v1.0.docx</t>
        </is>
      </c>
      <c r="G13" s="38" t="inlineStr">
        <is>
          <t>Contrato vigente: CT-M06-02, CT-M06-05, CT-M06-13, CT-M06-17. Fuente: F3:T06,T10-T11; F4:T10-T11,T13; M02II:T66-T68,T74; BTR:02_Reglas_Walvy. Backend puede inferir nueva semantica = No. Mecanismos derivados documentados en contrato/BDD.</t>
        </is>
      </c>
      <c r="H13" s="38" t="inlineStr">
        <is>
          <t>TC-M06-042; TC-M06-049</t>
        </is>
      </c>
      <c r="I13" s="38" t="inlineStr">
        <is>
          <t>M06-TR-040; M06-TR-041</t>
        </is>
      </c>
      <c r="J13" s="38" t="inlineStr">
        <is>
          <t>CTA segun cobertura y contrato; sin acción nueva.</t>
        </is>
      </c>
      <c r="K13" s="38" t="inlineStr">
        <is>
          <t>M06</t>
        </is>
      </c>
      <c r="L13" s="38" t="inlineStr">
        <is>
          <t>Definido</t>
        </is>
      </c>
      <c r="M13" s="38" t="inlineStr">
        <is>
          <t>OBS-M06-FIG-03</t>
        </is>
      </c>
      <c r="N13" s="38" t="inlineStr">
        <is>
          <t>Alta</t>
        </is>
      </c>
      <c r="O13" s="38" t="inlineStr">
        <is>
          <t>Walvy_M06_Documentacion_Funcional_Consolidada_v1.0.docx</t>
        </is>
      </c>
      <c r="P13" s="38" t="inlineStr">
        <is>
          <t>CT-M06-02; CT-M06-05; CT-M06-13; CT-M06-17</t>
        </is>
      </c>
    </row>
    <row r="14" ht="56" customHeight="1">
      <c r="A14" s="39" t="inlineStr">
        <is>
          <t>M06-RGL-010</t>
        </is>
      </c>
      <c r="B14" s="39" t="inlineStr">
        <is>
          <t>Corregir candidato</t>
        </is>
      </c>
      <c r="C14" s="39" t="inlineStr">
        <is>
          <t>Funcional</t>
        </is>
      </c>
      <c r="D14" s="39" t="inlineStr">
        <is>
          <t>Al corregir un candidato, el dato corregido gobierna funcionalmente sin perder el origen detectado original.</t>
        </is>
      </c>
      <c r="E14" s="39" t="inlineStr">
        <is>
          <t>Aplicar contrato y casos asociados; no prueba ejecutada.</t>
        </is>
      </c>
      <c r="F14" s="39" t="inlineStr">
        <is>
          <t>Walvy_M06_Documentacion_Funcional_Consolidada_v1.0.docx</t>
        </is>
      </c>
      <c r="G14" s="39" t="inlineStr">
        <is>
          <t>Contrato vigente: CT-M06-05, CT-M06-13. Fuente: F3:T06,T10-T11; F4:T10-T11,T13; M02II:T66-T68,T74; BTR:02_Reglas_Walvy. Backend puede inferir nueva semantica = No. Mecanismos derivados documentados en contrato/BDD.</t>
        </is>
      </c>
      <c r="H14" s="39" t="inlineStr">
        <is>
          <t>TC-M06-046</t>
        </is>
      </c>
      <c r="I14" s="39" t="inlineStr">
        <is>
          <t>M06-TR-042</t>
        </is>
      </c>
      <c r="J14" s="39" t="inlineStr">
        <is>
          <t>CTA segun cobertura y contrato; sin acción nueva.</t>
        </is>
      </c>
      <c r="K14" s="39" t="inlineStr">
        <is>
          <t>M06</t>
        </is>
      </c>
      <c r="L14" s="39" t="inlineStr">
        <is>
          <t>Definido</t>
        </is>
      </c>
      <c r="M14" s="39" t="n"/>
      <c r="N14" s="39" t="inlineStr">
        <is>
          <t>Alta</t>
        </is>
      </c>
      <c r="O14" s="39" t="inlineStr">
        <is>
          <t>Walvy_M06_Documentacion_Funcional_Consolidada_v1.0.docx</t>
        </is>
      </c>
      <c r="P14" s="39" t="inlineStr">
        <is>
          <t>CT-M06-05; CT-M06-13</t>
        </is>
      </c>
    </row>
    <row r="15" ht="70" customHeight="1">
      <c r="A15" s="38" t="inlineStr">
        <is>
          <t>M06-RGL-011</t>
        </is>
      </c>
      <c r="B15" s="38" t="inlineStr">
        <is>
          <t>Descartar candidato</t>
        </is>
      </c>
      <c r="C15" s="38" t="inlineStr">
        <is>
          <t>Funcional</t>
        </is>
      </c>
      <c r="D15" s="38" t="inlineStr">
        <is>
          <t>Al descartar un candidato no debe reproponerse de forma insistente sin nueva señal/dato/regla suficiente.
Precision: Descartar candidato cierra la propuesta sin eliminar un movimiento bancario real; no revive por simple reintento.</t>
        </is>
      </c>
      <c r="E15" s="38" t="inlineStr">
        <is>
          <t>Aplicar contrato y casos asociados; no prueba ejecutada.</t>
        </is>
      </c>
      <c r="F15" s="38" t="inlineStr">
        <is>
          <t>Walvy_M06_Documentacion_Funcional_Consolidada_v1.0.docx</t>
        </is>
      </c>
      <c r="G15" s="38" t="inlineStr">
        <is>
          <t>Contrato vigente: CT-M06-05, CT-M06-13. Fuente: F3:T06,T10-T11; F4:T10-T11,T13; M02II:T66-T68,T74; BTR:02_Reglas_Walvy. Backend puede inferir nueva semantica = No. Mecanismos derivados documentados en contrato/BDD.</t>
        </is>
      </c>
      <c r="H15" s="38" t="inlineStr">
        <is>
          <t>TC-M06-047; TC-M06-048</t>
        </is>
      </c>
      <c r="I15" s="38" t="inlineStr">
        <is>
          <t>M06-TR-043</t>
        </is>
      </c>
      <c r="J15" s="38" t="inlineStr">
        <is>
          <t>CTA segun cobertura y contrato; sin acción nueva.</t>
        </is>
      </c>
      <c r="K15" s="38" t="inlineStr">
        <is>
          <t>M06</t>
        </is>
      </c>
      <c r="L15" s="38" t="inlineStr">
        <is>
          <t>Definido</t>
        </is>
      </c>
      <c r="M15" s="38" t="n"/>
      <c r="N15" s="38" t="inlineStr">
        <is>
          <t>Alta</t>
        </is>
      </c>
      <c r="O15" s="38" t="inlineStr">
        <is>
          <t>Walvy_M06_Documentacion_Funcional_Consolidada_v1.0.docx</t>
        </is>
      </c>
      <c r="P15" s="38" t="inlineStr">
        <is>
          <t>CT-M06-05; CT-M06-13</t>
        </is>
      </c>
    </row>
    <row r="16" ht="70" customHeight="1">
      <c r="A16" s="39" t="inlineStr">
        <is>
          <t>M06-RGL-012</t>
        </is>
      </c>
      <c r="B16" s="39" t="inlineStr">
        <is>
          <t>Clasificación temporal</t>
        </is>
      </c>
      <c r="C16" s="39" t="inlineStr">
        <is>
          <t>Cálculo / derivación</t>
        </is>
      </c>
      <c r="D16" s="39" t="inlineStr">
        <is>
          <t>La clasificación temporal usa fecha confiable y parámetro N: vencido si días&lt;0; próximo si 0..N; pendiente si &gt;N.</t>
        </is>
      </c>
      <c r="E16" s="39" t="inlineStr">
        <is>
          <t>Aplicar contrato y casos asociados; no prueba ejecutada.</t>
        </is>
      </c>
      <c r="F16" s="39" t="inlineStr">
        <is>
          <t>Walvy_M06_Documentacion_Funcional_Consolidada_v1.0.docx</t>
        </is>
      </c>
      <c r="G16" s="39" t="inlineStr">
        <is>
          <t>Contrato vigente: CT-M06-02, CT-M06-07. Fuente: F3:T07-T08; BTR:02_Reglas_Walvy!42; M04BE:T23,T54; PDI:01_Matriz_Maestra!188. Backend puede inferir nueva semantica = No. Mecanismos derivados documentados en contrato/BDD.</t>
        </is>
      </c>
      <c r="H16" s="39" t="inlineStr">
        <is>
          <t>TC-M06-002; TC-M06-011; TC-M06-019; TC-M06-021; TC-M06-022; TC-M06-024; TC-M06-061; TC-M06-010; TC-M06-018; TC-M06-023; TC-M06-034; TC-M06-039</t>
        </is>
      </c>
      <c r="I16" s="39" t="inlineStr">
        <is>
          <t>M06-TR-005; M06-TR-017; M06-TR-018; M06-TR-019; M06-TR-030; M06-TR-038; M06-TR-055; M06-TR-069</t>
        </is>
      </c>
      <c r="J16" s="39" t="inlineStr">
        <is>
          <t>CTA segun cobertura y contrato; sin acción nueva.</t>
        </is>
      </c>
      <c r="K16" s="39" t="inlineStr">
        <is>
          <t>M06</t>
        </is>
      </c>
      <c r="L16" s="39" t="inlineStr">
        <is>
          <t>Definido</t>
        </is>
      </c>
      <c r="M16" s="39" t="inlineStr">
        <is>
          <t>D-M06-CALC-04; OBS-M06-FIG-03</t>
        </is>
      </c>
      <c r="N16" s="39" t="inlineStr">
        <is>
          <t>Alta</t>
        </is>
      </c>
      <c r="O16" s="39" t="inlineStr">
        <is>
          <t>Walvy_M06_Documentacion_Funcional_Consolidada_v1.0.docx</t>
        </is>
      </c>
      <c r="P16" s="39" t="inlineStr">
        <is>
          <t>CT-M06-02; CT-M06-07</t>
        </is>
      </c>
    </row>
    <row r="17" ht="56" customHeight="1">
      <c r="A17" s="38" t="inlineStr">
        <is>
          <t>M06-RGL-013</t>
        </is>
      </c>
      <c r="B17" s="38" t="inlineStr">
        <is>
          <t>Fecha insuficiente</t>
        </is>
      </c>
      <c r="C17" s="38" t="inlineStr">
        <is>
          <t>Dato / estado</t>
        </is>
      </c>
      <c r="D17" s="38" t="inlineStr">
        <is>
          <t>Sin fecha confiable no se calcula Próximo/Vencido; se mantiene revisión/sin datos según contexto.</t>
        </is>
      </c>
      <c r="E17" s="38" t="inlineStr">
        <is>
          <t>Aplicar contrato y casos asociados; no prueba ejecutada.</t>
        </is>
      </c>
      <c r="F17" s="38" t="inlineStr">
        <is>
          <t>Walvy_M06_Documentacion_Funcional_Consolidada_v1.0.docx</t>
        </is>
      </c>
      <c r="G17" s="38" t="inlineStr">
        <is>
          <t>Contrato vigente: CT-M06-07. Fuente: F3:T07-T08; BTR:02_Reglas_Walvy!42; M04BE:T23,T54; PDI:01_Matriz_Maestra!188. Backend puede inferir nueva semantica = No. Mecanismos derivados documentados en contrato/BDD.</t>
        </is>
      </c>
      <c r="H17" s="38" t="inlineStr">
        <is>
          <t>TC-M06-004; TC-M06-005; TC-M06-020; TC-M06-045; TC-M06-063</t>
        </is>
      </c>
      <c r="I17" s="38" t="inlineStr">
        <is>
          <t>M06-TR-014; M06-TR-056</t>
        </is>
      </c>
      <c r="J17" s="38" t="inlineStr">
        <is>
          <t>CTA segun cobertura y contrato; sin acción nueva.</t>
        </is>
      </c>
      <c r="K17" s="38" t="inlineStr">
        <is>
          <t>M06</t>
        </is>
      </c>
      <c r="L17" s="38" t="inlineStr">
        <is>
          <t>Definido</t>
        </is>
      </c>
      <c r="M17" s="38" t="n"/>
      <c r="N17" s="38" t="inlineStr">
        <is>
          <t>Alta</t>
        </is>
      </c>
      <c r="O17" s="38" t="inlineStr">
        <is>
          <t>Walvy_M06_Documentacion_Funcional_Consolidada_v1.0.docx</t>
        </is>
      </c>
      <c r="P17" s="38" t="inlineStr">
        <is>
          <t>CT-M06-07</t>
        </is>
      </c>
    </row>
    <row r="18" ht="56" customHeight="1">
      <c r="A18" s="39" t="inlineStr">
        <is>
          <t>M06-RGL-014</t>
        </is>
      </c>
      <c r="B18" s="39" t="inlineStr">
        <is>
          <t>Baja confianza bloquea escalamiento</t>
        </is>
      </c>
      <c r="C18" s="39" t="inlineStr">
        <is>
          <t>Severidad</t>
        </is>
      </c>
      <c r="D18" s="39" t="inlineStr">
        <is>
          <t>Baja confianza o datos insuficientes bloquean alerta crítica y escalamiento no sustentado.</t>
        </is>
      </c>
      <c r="E18" s="39" t="inlineStr">
        <is>
          <t>Aplicar contrato y casos asociados; no prueba ejecutada.</t>
        </is>
      </c>
      <c r="F18" s="39" t="inlineStr">
        <is>
          <t>Walvy_M06_Documentacion_Funcional_Consolidada_v1.0.docx</t>
        </is>
      </c>
      <c r="G18" s="39" t="inlineStr">
        <is>
          <t>Contrato vigente: CT-M06-07, CT-M06-10. Fuente: F3:T04,T07,T08,T17-T18; BTR:02_Reglas_Walvy!19-20,43; M01:Anexos Producto!108-131; M02II:T79. Backend puede inferir nueva semantica = No. Mecanismos derivados documentados en contrato/BDD.</t>
        </is>
      </c>
      <c r="H18" s="39" t="inlineStr">
        <is>
          <t>TC-M06-004; TC-M06-005; TC-M06-020; TC-M06-045; TC-M06-063; TC-M06-054; TC-M06-006</t>
        </is>
      </c>
      <c r="I18" s="39" t="inlineStr">
        <is>
          <t>M06-TR-014; M06-TR-051; M06-TR-057</t>
        </is>
      </c>
      <c r="J18" s="39" t="inlineStr">
        <is>
          <t>CTA segun cobertura y contrato; sin acción nueva.</t>
        </is>
      </c>
      <c r="K18" s="39" t="inlineStr">
        <is>
          <t>M06</t>
        </is>
      </c>
      <c r="L18" s="39" t="inlineStr">
        <is>
          <t>Definido</t>
        </is>
      </c>
      <c r="M18" s="39" t="n"/>
      <c r="N18" s="39" t="inlineStr">
        <is>
          <t>Alta</t>
        </is>
      </c>
      <c r="O18" s="39" t="inlineStr">
        <is>
          <t>Walvy_M06_Documentacion_Funcional_Consolidada_v1.0.docx</t>
        </is>
      </c>
      <c r="P18" s="39" t="inlineStr">
        <is>
          <t>CT-M06-07; CT-M06-10</t>
        </is>
      </c>
    </row>
    <row r="19" ht="98" customHeight="1">
      <c r="A19" s="38" t="inlineStr">
        <is>
          <t>M06-RGL-015</t>
        </is>
      </c>
      <c r="B19" s="38" t="inlineStr">
        <is>
          <t>Severidad de Próximo/Vencido</t>
        </is>
      </c>
      <c r="C19" s="38" t="inlineStr">
        <is>
          <t>Severidad</t>
        </is>
      </c>
      <c r="D19" s="38" t="inlineStr">
        <is>
          <t>Próximo parte en Atención y puede subir a Urgente con presión &gt;=90% o deterioro financiero trazable; Vencido parte en Urgente y solo llega a Crítica con datos suficientes y presión &gt;=110% o deterioro de deuda trazable.</t>
        </is>
      </c>
      <c r="E19" s="38" t="inlineStr">
        <is>
          <t>Aplicar contrato y casos asociados; no prueba ejecutada.</t>
        </is>
      </c>
      <c r="F19" s="38" t="inlineStr">
        <is>
          <t>Walvy_M06_Documentacion_Funcional_Consolidada_v1.0.docx</t>
        </is>
      </c>
      <c r="G19" s="38" t="inlineStr">
        <is>
          <t>Contrato vigente: CT-M06-10. Fuente: F3:T04,T07,T08,T17-T18; BTR:02_Reglas_Walvy!19-20,43; M01:Anexos Producto!108-131; M02II:T79. Backend puede inferir nueva semantica = No. Mecanismos derivados documentados en contrato/BDD.</t>
        </is>
      </c>
      <c r="H19" s="38" t="inlineStr">
        <is>
          <t>TC-M06-025; TC-M06-011; TC-M06-019; TC-M06-021; TC-M06-022; TC-M06-024; TC-M06-061; TC-M06-010; TC-M06-018; TC-M06-028; TC-M06-034; TC-M06-057; TC-M06-058; TC-M06-059; TC-M06-060; TC-M06-062; TC-M06-063; TC-M06-064; TC-M06-065; TC-M06-070</t>
        </is>
      </c>
      <c r="I19" s="38" t="inlineStr">
        <is>
          <t>M06-TR-016; M06-TR-017; M06-TR-018; M06-TR-025; M06-TR-031; M06-TR-058</t>
        </is>
      </c>
      <c r="J19" s="38" t="inlineStr">
        <is>
          <t>CTA segun cobertura y contrato; sin acción nueva.</t>
        </is>
      </c>
      <c r="K19" s="38" t="inlineStr">
        <is>
          <t>M06</t>
        </is>
      </c>
      <c r="L19" s="38" t="inlineStr">
        <is>
          <t>Definido</t>
        </is>
      </c>
      <c r="M19" s="38" t="inlineStr">
        <is>
          <t>Calidad/precision del dato y contrato owner vigente; D-CL-M06-02 solo regula filtros.</t>
        </is>
      </c>
      <c r="N19" s="38" t="inlineStr">
        <is>
          <t>Alta</t>
        </is>
      </c>
      <c r="O19" s="38" t="inlineStr">
        <is>
          <t>Walvy_M06_Documentacion_Funcional_Consolidada_v1.0.docx</t>
        </is>
      </c>
      <c r="P19" s="38" t="inlineStr">
        <is>
          <t>CT-M06-10</t>
        </is>
      </c>
    </row>
    <row r="20" ht="70" customHeight="1">
      <c r="A20" s="39" t="inlineStr">
        <is>
          <t>M06-RGL-016</t>
        </is>
      </c>
      <c r="B20" s="39" t="inlineStr">
        <is>
          <t>Bandas de presión</t>
        </is>
      </c>
      <c r="C20" s="39" t="inlineStr">
        <is>
          <t>Cálculo / severidad</t>
        </is>
      </c>
      <c r="D20" s="39" t="inlineStr">
        <is>
          <t>M06 consume ratio canónico con bandas exactas &lt;50,50-&lt;80,80-&lt;90,90-&lt;100,100-&lt;110,&gt;=110; 100 es margen cero, &gt;100 déficit. No semáforo paralelo ni activacion M04 por80. CT-M06-10; DER-M06-100-01.</t>
        </is>
      </c>
      <c r="E20" s="39" t="inlineStr">
        <is>
          <t>Aplicar contrato y casos asociados; no prueba ejecutada.</t>
        </is>
      </c>
      <c r="F20" s="39" t="inlineStr">
        <is>
          <t>Walvy_M06_Documentacion_Funcional_Consolidada_v1.0.docx</t>
        </is>
      </c>
      <c r="G20" s="39" t="inlineStr">
        <is>
          <t>Contrato vigente: CT-M06-10. Fuente: F3:T04,T07,T08,T17-T18; BTR:02_Reglas_Walvy!19-20,43; M01:Anexos Producto!108-131; M02II:T79. Backend puede inferir nueva semantica = No. Mecanismos derivados documentados en contrato/BDD.</t>
        </is>
      </c>
      <c r="H20" s="39" t="inlineStr">
        <is>
          <t>TC-M06-024; TC-M06-057; TC-M06-058; TC-M06-059; TC-M06-060; TC-M06-061; TC-M06-062; TC-M06-063; TC-M06-064; TC-M06-065; TC-M06-070</t>
        </is>
      </c>
      <c r="I20" s="39" t="inlineStr">
        <is>
          <t>M06-TR-058</t>
        </is>
      </c>
      <c r="J20" s="39" t="inlineStr">
        <is>
          <t>CTA segun cobertura y contrato; sin acción nueva.</t>
        </is>
      </c>
      <c r="K20" s="39" t="inlineStr">
        <is>
          <t>M05/lectura financiera -&gt; M06</t>
        </is>
      </c>
      <c r="L20" s="39" t="inlineStr">
        <is>
          <t>Definido</t>
        </is>
      </c>
      <c r="M20" s="39" t="inlineStr">
        <is>
          <t>D-M06-CALC-05</t>
        </is>
      </c>
      <c r="N20" s="39" t="inlineStr">
        <is>
          <t>Alta</t>
        </is>
      </c>
      <c r="O20" s="39" t="inlineStr">
        <is>
          <t>Walvy_M06_Documentacion_Funcional_Consolidada_v1.0.docx</t>
        </is>
      </c>
      <c r="P20" s="39" t="inlineStr">
        <is>
          <t>CT-M06-10</t>
        </is>
      </c>
    </row>
    <row r="21" ht="84" customHeight="1">
      <c r="A21" s="38" t="inlineStr">
        <is>
          <t>M06-RGL-017</t>
        </is>
      </c>
      <c r="B21" s="38" t="inlineStr">
        <is>
          <t>Registrar pago realizado</t>
        </is>
      </c>
      <c r="C21" s="38" t="inlineStr">
        <is>
          <t>Funcional</t>
        </is>
      </c>
      <c r="D21" s="38" t="inlineStr">
        <is>
          <t>Registrar pago realizado permite declarar pago completo o abono parcial/multiple ocurrido fuera de Walvy. Cada abono aceptado se registra una vez sobre el compromiso/ciclo; un parcial conserva saldo pendiente y no marca Pagado. Manual/detectado/importado convergen al mismo lifecycle de dominio tras validación, variando provenance. No ejecutar transaccion ni exigir comprobante. CT-M06-06/12.</t>
        </is>
      </c>
      <c r="E21" s="38" t="inlineStr">
        <is>
          <t>Aplicar contrato y casos asociados; no prueba ejecutada.</t>
        </is>
      </c>
      <c r="F21" s="38" t="inlineStr">
        <is>
          <t>Walvy_M06_Documentacion_Funcional_Consolidada_v1.0.docx</t>
        </is>
      </c>
      <c r="G21" s="38" t="inlineStr">
        <is>
          <t>Contrato vigente: CT-M06-02, CT-M06-06, CT-M06-12, CT-M06-13, CT-M06-17. Fuente: F3:T09,T10,T32,T37; F4:T09-T10; M05BE:T08,P101-P103; PDI:01_Matriz_Maestra!211-217. Backend puede inferir nueva semantica = No. Mecanismos derivados documentados en contrato/BDD.</t>
        </is>
      </c>
      <c r="H21" s="38" t="inlineStr">
        <is>
          <t>TC-M06-023; TC-M06-012; TC-M06-025; TC-M06-036; TC-M06-037; TC-M06-066; TC-M06-038; TC-M06-049</t>
        </is>
      </c>
      <c r="I21" s="38" t="inlineStr">
        <is>
          <t>M06-TR-019; M06-TR-021; M06-TR-032; M06-TR-034; M06-TR-036; M06-TR-041</t>
        </is>
      </c>
      <c r="J21" s="38" t="inlineStr">
        <is>
          <t>CTA segun cobertura y contrato; sin acción nueva.</t>
        </is>
      </c>
      <c r="K21" s="38" t="inlineStr">
        <is>
          <t>M06</t>
        </is>
      </c>
      <c r="L21" s="38" t="inlineStr">
        <is>
          <t>Definido</t>
        </is>
      </c>
      <c r="M21" s="38" t="inlineStr">
        <is>
          <t>OBS-M06-FIG-03</t>
        </is>
      </c>
      <c r="N21" s="38" t="inlineStr">
        <is>
          <t>Alta</t>
        </is>
      </c>
      <c r="O21" s="38" t="inlineStr">
        <is>
          <t>Walvy_M06_Documentacion_Funcional_Consolidada_v1.0.docx</t>
        </is>
      </c>
      <c r="P21" s="38" t="inlineStr">
        <is>
          <t>CT-M06-02; CT-M06-06; CT-M06-12; CT-M06-13; CT-M06-17</t>
        </is>
      </c>
    </row>
    <row r="22" ht="84" customHeight="1">
      <c r="A22" s="39" t="inlineStr">
        <is>
          <t>M06-RGL-018</t>
        </is>
      </c>
      <c r="B22" s="39" t="inlineStr">
        <is>
          <t>Pago realizado limpia señal</t>
        </is>
      </c>
      <c r="C22" s="39" t="inlineStr">
        <is>
          <t>Funcional</t>
        </is>
      </c>
      <c r="D22" s="39" t="inlineStr">
        <is>
          <t>Una resolucion efectiva cierra/reduce solo la señal pertinente. Pago parcial reduce saldo/impacto pero no resuelve una obligacion completa; lectura, visita y toggle OFF tampoco. Recalcular desde hechos vigentes; conservar historial mínimo. CT-M06-06/14.
Precision: Un parcial no liquida el compromiso ni resuelve un aviso si persiste su condición. Mostrar saldo y postestado coherente.</t>
        </is>
      </c>
      <c r="E22" s="39" t="inlineStr">
        <is>
          <t>Aplicar contrato y casos asociados; no prueba ejecutada.</t>
        </is>
      </c>
      <c r="F22" s="39" t="inlineStr">
        <is>
          <t>Walvy_M06_Documentacion_Funcional_Consolidada_v1.0.docx</t>
        </is>
      </c>
      <c r="G22" s="39" t="inlineStr">
        <is>
          <t>Contrato vigente: CT-M06-06, CT-M06-14. Fuente: M02I:P159-P180,T13-T14,T18-T24; M02II:T65-T81; PDI:01_Matriz_Maestra!220; BTR:04_Pendientes_Dependencias. Backend puede inferir nueva semantica = No. Mecanismos derivados documentados en contrato/BDD.</t>
        </is>
      </c>
      <c r="H22" s="39" t="inlineStr">
        <is>
          <t>TC-M06-036; TC-M06-025; TC-M06-038</t>
        </is>
      </c>
      <c r="I22" s="39" t="inlineStr">
        <is>
          <t>M06-TR-034; M06-TR-035</t>
        </is>
      </c>
      <c r="J22" s="39" t="inlineStr">
        <is>
          <t>CTA segun cobertura y contrato; sin acción nueva.</t>
        </is>
      </c>
      <c r="K22" s="39" t="inlineStr">
        <is>
          <t>M06</t>
        </is>
      </c>
      <c r="L22" s="39" t="inlineStr">
        <is>
          <t>Definido</t>
        </is>
      </c>
      <c r="M22" s="39" t="inlineStr">
        <is>
          <t>OBS-M06-FIG-03</t>
        </is>
      </c>
      <c r="N22" s="39" t="inlineStr">
        <is>
          <t>Alta</t>
        </is>
      </c>
      <c r="O22" s="39" t="inlineStr">
        <is>
          <t>Walvy_M06_Documentacion_Funcional_Consolidada_v1.0.docx</t>
        </is>
      </c>
      <c r="P22" s="39" t="inlineStr">
        <is>
          <t>CT-M06-06; CT-M06-14</t>
        </is>
      </c>
    </row>
    <row r="23" ht="84" customHeight="1">
      <c r="A23" s="38" t="inlineStr">
        <is>
          <t>M06-RGL-019</t>
        </is>
      </c>
      <c r="B23" s="38" t="inlineStr">
        <is>
          <t>Pago realizado reversible</t>
        </is>
      </c>
      <c r="C23" s="38" t="inlineStr">
        <is>
          <t>Reversibilidad</t>
        </is>
      </c>
      <c r="D23" s="38" t="inlineStr">
        <is>
          <t>Corregir/deshacer genera revisión trazable e idempotente, reevalua fecha/estado actual e inválida derivados. Revierte solo el efecto propio, no borra movimientos reales M05. CT-M06-06/13/16.
Precision: Revertir solo efecto propio/asignacion; recalcular con fecha actual, no restaurar un color anterior.</t>
        </is>
      </c>
      <c r="E23" s="38" t="inlineStr">
        <is>
          <t>Aplicar contrato y casos asociados; no prueba ejecutada.</t>
        </is>
      </c>
      <c r="F23" s="38" t="inlineStr">
        <is>
          <t>Walvy_M06_Documentacion_Funcional_Consolidada_v1.0.docx</t>
        </is>
      </c>
      <c r="G23" s="38" t="inlineStr">
        <is>
          <t>Contrato vigente: CT-M06-06, CT-M06-12, CT-M06-13, CT-M06-14, CT-M06-16, CT-M06-17. Fuente: F3:T09,T10,T32,T37; F4:T09-T10; M05BE:T08,P101-P103; PDI:01_Matriz_Maestra!211-217. Backend puede inferir nueva semantica = No. Mecanismos derivados documentados en contrato/BDD.</t>
        </is>
      </c>
      <c r="H23" s="38" t="inlineStr">
        <is>
          <t>TC-M06-040; TC-M06-039</t>
        </is>
      </c>
      <c r="I23" s="38" t="inlineStr">
        <is>
          <t>M06-TR-037; M06-TR-038; M06-TR-054</t>
        </is>
      </c>
      <c r="J23" s="38" t="inlineStr">
        <is>
          <t>CTA segun cobertura y contrato; sin acción nueva.</t>
        </is>
      </c>
      <c r="K23" s="38" t="inlineStr">
        <is>
          <t>M06</t>
        </is>
      </c>
      <c r="L23" s="38" t="inlineStr">
        <is>
          <t>Definido</t>
        </is>
      </c>
      <c r="M23" s="38" t="n"/>
      <c r="N23" s="38" t="inlineStr">
        <is>
          <t>Alta</t>
        </is>
      </c>
      <c r="O23" s="38" t="inlineStr">
        <is>
          <t>Walvy_M06_Documentacion_Funcional_Consolidada_v1.0.docx</t>
        </is>
      </c>
      <c r="P23" s="38" t="inlineStr">
        <is>
          <t>CT-M06-06; CT-M06-12; CT-M06-13; CT-M06-14; CT-M06-16; CT-M06-17</t>
        </is>
      </c>
    </row>
    <row r="24" ht="70" customHeight="1">
      <c r="A24" s="39" t="inlineStr">
        <is>
          <t>M06-RGL-020</t>
        </is>
      </c>
      <c r="B24" s="39" t="inlineStr">
        <is>
          <t>Origen no equivale a prueba</t>
        </is>
      </c>
      <c r="C24" s="39" t="inlineStr">
        <is>
          <t>Dato / proveniencia</t>
        </is>
      </c>
      <c r="D24" s="39" t="inlineStr">
        <is>
          <t>Un documento/movimiento/origen detectado no equivale por sí solo a pago validado, comprobante formal ni deuda cerrada; M06 no exige comprobante.</t>
        </is>
      </c>
      <c r="E24" s="39" t="inlineStr">
        <is>
          <t>Aplicar contrato y casos asociados; no prueba ejecutada.</t>
        </is>
      </c>
      <c r="F24" s="39" t="inlineStr">
        <is>
          <t>Walvy_M06_Documentacion_Funcional_Consolidada_v1.0.docx</t>
        </is>
      </c>
      <c r="G24" s="39" t="inlineStr">
        <is>
          <t>Contrato vigente: CT-M06-04, CT-M06-05, CT-M06-06, CT-M06-11, CT-M06-16. Fuente: F3:T06,T10-T11; F4:T10-T11,T13; M02II:T66-T68,T74; BTR:02_Reglas_Walvy. Backend puede inferir nueva semantica = No. Mecanismos derivados documentados en contrato/BDD.</t>
        </is>
      </c>
      <c r="H24" s="39" t="inlineStr">
        <is>
          <t>TC-M06-049; TC-M06-050; TC-M06-034; TC-M06-043</t>
        </is>
      </c>
      <c r="I24" s="39" t="inlineStr">
        <is>
          <t>M06-TR-023; M06-TR-030; M06-TR-033; M06-TR-041</t>
        </is>
      </c>
      <c r="J24" s="39" t="inlineStr">
        <is>
          <t>CTA segun cobertura y contrato; sin acción nueva.</t>
        </is>
      </c>
      <c r="K24" s="39" t="inlineStr">
        <is>
          <t>M06 + capacidad transversal</t>
        </is>
      </c>
      <c r="L24" s="39" t="inlineStr">
        <is>
          <t>Definido</t>
        </is>
      </c>
      <c r="M24" s="39" t="inlineStr">
        <is>
          <t>OBS-M06-FIG-03</t>
        </is>
      </c>
      <c r="N24" s="39" t="inlineStr">
        <is>
          <t>Alta</t>
        </is>
      </c>
      <c r="O24" s="39" t="inlineStr">
        <is>
          <t>Walvy_M06_Documentacion_Funcional_Consolidada_v1.0.docx</t>
        </is>
      </c>
      <c r="P24" s="39" t="inlineStr">
        <is>
          <t>CT-M06-04; CT-M06-05; CT-M06-06; CT-M06-11; CT-M06-16</t>
        </is>
      </c>
    </row>
    <row r="25" ht="70" customHeight="1">
      <c r="A25" s="38" t="inlineStr">
        <is>
          <t>M06-RGL-021</t>
        </is>
      </c>
      <c r="B25" s="38" t="inlineStr">
        <is>
          <t>Vinculación por coincidencia mínima</t>
        </is>
      </c>
      <c r="C25" s="38" t="inlineStr">
        <is>
          <t>Dato / vínculo</t>
        </is>
      </c>
      <c r="D25" s="38" t="inlineStr">
        <is>
          <t>El matching considera monto/moneda, fecha o período, descripción, categoría, origen y referencia razonable. Similitud propone revisión; solo identidad canónica o decision explícita permite vinculo sin ambiguedad. Conflicto/multiples matches -&gt; revisión. CT-M06-05/11/13.</t>
        </is>
      </c>
      <c r="E25" s="38" t="inlineStr">
        <is>
          <t>Aplicar contrato y casos asociados; no prueba ejecutada.</t>
        </is>
      </c>
      <c r="F25" s="38" t="inlineStr">
        <is>
          <t>Walvy_M06_Documentacion_Funcional_Consolidada_v1.0.docx</t>
        </is>
      </c>
      <c r="G25" s="38" t="inlineStr">
        <is>
          <t>Contrato vigente: CT-M06-05, CT-M06-06, CT-M06-11, CT-M06-12, CT-M06-13. Fuente: F3:T06,T10-T11; F4:T10-T11,T13; M02II:T66-T68,T74; BTR:02_Reglas_Walvy. Backend puede inferir nueva semantica = No. Mecanismos derivados documentados en contrato/BDD.</t>
        </is>
      </c>
      <c r="H25" s="38" t="inlineStr">
        <is>
          <t>TC-M06-034; TC-M06-043</t>
        </is>
      </c>
      <c r="I25" s="38" t="inlineStr">
        <is>
          <t>M06-TR-030; M06-TR-033</t>
        </is>
      </c>
      <c r="J25" s="38" t="inlineStr">
        <is>
          <t>CTA segun cobertura y contrato; sin acción nueva.</t>
        </is>
      </c>
      <c r="K25" s="38" t="inlineStr">
        <is>
          <t>M06</t>
        </is>
      </c>
      <c r="L25" s="38" t="inlineStr">
        <is>
          <t>Definido</t>
        </is>
      </c>
      <c r="M25" s="38" t="n"/>
      <c r="N25" s="38" t="inlineStr">
        <is>
          <t>Alta</t>
        </is>
      </c>
      <c r="O25" s="38" t="inlineStr">
        <is>
          <t>Walvy_M06_Documentacion_Funcional_Consolidada_v1.0.docx</t>
        </is>
      </c>
      <c r="P25" s="38" t="inlineStr">
        <is>
          <t>CT-M06-05; CT-M06-06; CT-M06-11; CT-M06-12; CT-M06-13</t>
        </is>
      </c>
    </row>
    <row r="26" ht="56" customHeight="1">
      <c r="A26" s="39" t="inlineStr">
        <is>
          <t>M06-RGL-022</t>
        </is>
      </c>
      <c r="B26" s="39" t="inlineStr">
        <is>
          <t>Contradicción de fuente</t>
        </is>
      </c>
      <c r="C26" s="39" t="inlineStr">
        <is>
          <t>Calidad</t>
        </is>
      </c>
      <c r="D26" s="39" t="inlineStr">
        <is>
          <t>Dato detectado ilegible, contradictorio o insuficiente deriva a revisión y no a Pagado por defecto.</t>
        </is>
      </c>
      <c r="E26" s="39" t="inlineStr">
        <is>
          <t>Aplicar contrato y casos asociados; no prueba ejecutada.</t>
        </is>
      </c>
      <c r="F26" s="39" t="inlineStr">
        <is>
          <t>Walvy_M06_Documentacion_Funcional_Consolidada_v1.0.docx</t>
        </is>
      </c>
      <c r="G26" s="39" t="inlineStr">
        <is>
          <t>Contrato vigente: CT-M06-05, CT-M06-06. Fuente: F3:T06,T10-T11; F4:T10-T11,T13; M02II:T66-T68,T74; BTR:02_Reglas_Walvy. Backend puede inferir nueva semantica = No. Mecanismos derivados documentados en contrato/BDD.</t>
        </is>
      </c>
      <c r="H26" s="39" t="inlineStr">
        <is>
          <t>TC-M06-049; TC-M06-050; TC-M06-044; TC-M06-045</t>
        </is>
      </c>
      <c r="I26" s="39" t="inlineStr">
        <is>
          <t>M06-TR-023; M06-TR-044</t>
        </is>
      </c>
      <c r="J26" s="39" t="inlineStr">
        <is>
          <t>CTA segun cobertura y contrato; sin acción nueva.</t>
        </is>
      </c>
      <c r="K26" s="39" t="inlineStr">
        <is>
          <t>M06 + capacidad transversal</t>
        </is>
      </c>
      <c r="L26" s="39" t="inlineStr">
        <is>
          <t>Definido</t>
        </is>
      </c>
      <c r="M26" s="39" t="n"/>
      <c r="N26" s="39" t="inlineStr">
        <is>
          <t>Alta</t>
        </is>
      </c>
      <c r="O26" s="39" t="inlineStr">
        <is>
          <t>Walvy_M06_Documentacion_Funcional_Consolidada_v1.0.docx</t>
        </is>
      </c>
      <c r="P26" s="39" t="inlineStr">
        <is>
          <t>CT-M06-05; CT-M06-06</t>
        </is>
      </c>
    </row>
    <row r="27" ht="56" customHeight="1">
      <c r="A27" s="38" t="inlineStr">
        <is>
          <t>M06-RGL-023</t>
        </is>
      </c>
      <c r="B27" s="38" t="inlineStr">
        <is>
          <t>Duplicado probable</t>
        </is>
      </c>
      <c r="C27" s="38" t="inlineStr">
        <is>
          <t>Duplicidad</t>
        </is>
      </c>
      <c r="D27" s="38" t="inlineStr">
        <is>
          <t>Coincidencias compatibles generan Duplicado probable; no se crea ni fusiona automáticamente antes de revisión.</t>
        </is>
      </c>
      <c r="E27" s="38" t="inlineStr">
        <is>
          <t>Aplicar contrato y casos asociados; no prueba ejecutada.</t>
        </is>
      </c>
      <c r="F27" s="38" t="inlineStr">
        <is>
          <t>Walvy_M06_Documentacion_Funcional_Consolidada_v1.0.docx</t>
        </is>
      </c>
      <c r="G27" s="38" t="inlineStr">
        <is>
          <t>Contrato vigente: CT-M06-02, CT-M06-05. Fuente: F3:T06,T10-T11; F4:T10-T11,T13; M02II:T66-T68,T74; BTR:02_Reglas_Walvy. Backend puede inferir nueva semantica = No. Mecanismos derivados documentados en contrato/BDD.</t>
        </is>
      </c>
      <c r="H27" s="38" t="inlineStr">
        <is>
          <t>TC-M06-051; TC-M06-029</t>
        </is>
      </c>
      <c r="I27" s="38" t="inlineStr">
        <is>
          <t>M06-TR-022; M06-TR-026; M06-TR-045</t>
        </is>
      </c>
      <c r="J27" s="38" t="inlineStr">
        <is>
          <t>CTA segun cobertura y contrato; sin acción nueva.</t>
        </is>
      </c>
      <c r="K27" s="38" t="inlineStr">
        <is>
          <t>M06</t>
        </is>
      </c>
      <c r="L27" s="38" t="inlineStr">
        <is>
          <t>Definido</t>
        </is>
      </c>
      <c r="M27" s="38" t="inlineStr">
        <is>
          <t>D-CL-M06-02</t>
        </is>
      </c>
      <c r="N27" s="38" t="inlineStr">
        <is>
          <t>Alta</t>
        </is>
      </c>
      <c r="O27" s="38" t="inlineStr">
        <is>
          <t>Walvy_M06_Documentacion_Funcional_Consolidada_v1.0.docx</t>
        </is>
      </c>
      <c r="P27" s="38" t="inlineStr">
        <is>
          <t>CT-M06-02; CT-M06-05</t>
        </is>
      </c>
    </row>
    <row r="28" ht="70" customHeight="1">
      <c r="A28" s="39" t="inlineStr">
        <is>
          <t>M06-RGL-024</t>
        </is>
      </c>
      <c r="B28" s="39" t="inlineStr">
        <is>
          <t>Resolución de duplicado</t>
        </is>
      </c>
      <c r="C28" s="39" t="inlineStr">
        <is>
          <t>Duplicidad</t>
        </is>
      </c>
      <c r="D28" s="39" t="inlineStr">
        <is>
          <t>Si no es duplicado se conservan pagos separados; si se confirma duplicado se descarta o vincula manteniendo trazabilidad.
Precision: Mismo pago, pagos distintos y descartar candidato son salidas separadas; Cancelar no decide.</t>
        </is>
      </c>
      <c r="E28" s="39" t="inlineStr">
        <is>
          <t>Aplicar contrato y casos asociados; no prueba ejecutada.</t>
        </is>
      </c>
      <c r="F28" s="39" t="inlineStr">
        <is>
          <t>Walvy_M06_Documentacion_Funcional_Consolidada_v1.0.docx</t>
        </is>
      </c>
      <c r="G28" s="39" t="inlineStr">
        <is>
          <t>Contrato vigente: CT-M06-05, CT-M06-06, CT-M06-13, CT-M06-17. Fuente: F3:T06,T10-T11; F4:T10-T11,T13; M02II:T66-T68,T74; BTR:02_Reglas_Walvy. Backend puede inferir nueva semantica = No. Mecanismos derivados documentados en contrato/BDD.</t>
        </is>
      </c>
      <c r="H28" s="39" t="inlineStr">
        <is>
          <t>TC-M06-052; TC-M06-053</t>
        </is>
      </c>
      <c r="I28" s="39" t="inlineStr">
        <is>
          <t>M06-TR-046; M06-TR-047</t>
        </is>
      </c>
      <c r="J28" s="39" t="inlineStr">
        <is>
          <t>CTA segun cobertura y contrato; sin acción nueva.</t>
        </is>
      </c>
      <c r="K28" s="39" t="inlineStr">
        <is>
          <t>M06</t>
        </is>
      </c>
      <c r="L28" s="39" t="inlineStr">
        <is>
          <t>Definido</t>
        </is>
      </c>
      <c r="M28" s="39" t="n"/>
      <c r="N28" s="39" t="inlineStr">
        <is>
          <t>Alta</t>
        </is>
      </c>
      <c r="O28" s="39" t="inlineStr">
        <is>
          <t>Walvy_M06_Documentacion_Funcional_Consolidada_v1.0.docx</t>
        </is>
      </c>
      <c r="P28" s="39" t="inlineStr">
        <is>
          <t>CT-M06-05; CT-M06-06; CT-M06-13; CT-M06-17</t>
        </is>
      </c>
    </row>
    <row r="29" ht="56" customHeight="1">
      <c r="A29" s="38" t="inlineStr">
        <is>
          <t>M06-RGL-025</t>
        </is>
      </c>
      <c r="B29" s="38" t="inlineStr">
        <is>
          <t>Recurrencia probable</t>
        </is>
      </c>
      <c r="C29" s="38" t="inlineStr">
        <is>
          <t>Recurrencia</t>
        </is>
      </c>
      <c r="D29" s="38" t="inlineStr">
        <is>
          <t>La recurrencia probable requiere fundamento de ocurrencias distintas y origen/regla/versión; no genera instancias definitivas sin confirmación. D-CL-M06-01 gobierna el patrón; no D-CL-M06-02 (filtros). CT-M06-08.</t>
        </is>
      </c>
      <c r="E29" s="38" t="inlineStr">
        <is>
          <t>Aplicar contrato y casos asociados; no prueba ejecutada.</t>
        </is>
      </c>
      <c r="F29" s="38" t="inlineStr">
        <is>
          <t>Walvy_M06_Documentacion_Funcional_Consolidada_v1.0.docx</t>
        </is>
      </c>
      <c r="G29" s="38" t="inlineStr">
        <is>
          <t>Contrato vigente: CT-M06-02, CT-M06-08. Fuente: F3:T12,T34-T36; F5:T20; BTR:02_Reglas_Walvy; PDI:01_Matriz_Maestra. Backend puede inferir nueva semantica = No. Mecanismos derivados documentados en contrato/BDD.</t>
        </is>
      </c>
      <c r="H29" s="38" t="inlineStr">
        <is>
          <t>TC-M06-054; TC-M06-029</t>
        </is>
      </c>
      <c r="I29" s="38" t="inlineStr">
        <is>
          <t>M06-TR-020; M06-TR-026; M06-TR-048</t>
        </is>
      </c>
      <c r="J29" s="38" t="inlineStr">
        <is>
          <t>CTA segun cobertura y contrato; sin acción nueva.</t>
        </is>
      </c>
      <c r="K29" s="38" t="inlineStr">
        <is>
          <t>M06 + capacidad transversal</t>
        </is>
      </c>
      <c r="L29" s="38" t="inlineStr">
        <is>
          <t>Definido</t>
        </is>
      </c>
      <c r="M29" s="38" t="inlineStr">
        <is>
          <t>D-CL-M06-01; D-M06-REC-CALENDAR-01</t>
        </is>
      </c>
      <c r="N29" s="38" t="inlineStr">
        <is>
          <t>Alta</t>
        </is>
      </c>
      <c r="O29" s="38" t="inlineStr">
        <is>
          <t>Walvy_M06_Documentacion_Funcional_Consolidada_v1.0.docx</t>
        </is>
      </c>
      <c r="P29" s="38" t="inlineStr">
        <is>
          <t>CT-M06-02; CT-M06-08</t>
        </is>
      </c>
    </row>
    <row r="30" ht="98" customHeight="1">
      <c r="A30" s="39" t="inlineStr">
        <is>
          <t>M06-RGL-026</t>
        </is>
      </c>
      <c r="B30" s="39" t="inlineStr">
        <is>
          <t>Confirmar recurrencia</t>
        </is>
      </c>
      <c r="C30" s="39" t="inlineStr">
        <is>
          <t>Recurrencia</t>
        </is>
      </c>
      <c r="D30" s="39" t="inlineStr">
        <is>
          <t>La confirmación valida el patrón una vez. Instancias por período conservan identidad/fecha/estado. Ancla conocida con día inexistente usa último día valido preservando ancla; ancla/día insuficiente no inventa fecha y requiere Confirmar/Completar fecha. Generacion idempotente; no pago automático. CT-M06-08.
Precision: Ancla conocida usa último día civil valido si no existe, conservando ancla; ancla insuficiente requiere Confirmar/Completar fecha.</t>
        </is>
      </c>
      <c r="E30" s="39" t="inlineStr">
        <is>
          <t>Aplicar contrato y casos asociados; no prueba ejecutada.</t>
        </is>
      </c>
      <c r="F30" s="39" t="inlineStr">
        <is>
          <t>Walvy_M06_Documentacion_Funcional_Consolidada_v1.0.docx</t>
        </is>
      </c>
      <c r="G30" s="39" t="inlineStr">
        <is>
          <t>Contrato vigente: CT-M06-08, CT-M06-17. Fuente: F3:T12,T34-T36; F5:T20; BTR:02_Reglas_Walvy; PDI:01_Matriz_Maestra. Backend puede inferir nueva semantica = No. Mecanismos derivados documentados en contrato/BDD.</t>
        </is>
      </c>
      <c r="H30" s="39" t="inlineStr">
        <is>
          <t>TC-M06-055</t>
        </is>
      </c>
      <c r="I30" s="39" t="inlineStr">
        <is>
          <t>M06-TR-049</t>
        </is>
      </c>
      <c r="J30" s="39" t="inlineStr">
        <is>
          <t>CTA segun cobertura y contrato; sin acción nueva.</t>
        </is>
      </c>
      <c r="K30" s="39" t="inlineStr">
        <is>
          <t>M06</t>
        </is>
      </c>
      <c r="L30" s="39" t="inlineStr">
        <is>
          <t>Definido</t>
        </is>
      </c>
      <c r="M30" s="39" t="inlineStr">
        <is>
          <t>D-M06-REC-CALENDAR-01; D-CL-M06-01</t>
        </is>
      </c>
      <c r="N30" s="39" t="inlineStr">
        <is>
          <t>Alta</t>
        </is>
      </c>
      <c r="O30" s="39" t="inlineStr">
        <is>
          <t>Walvy_M06_Documentacion_Funcional_Consolidada_v1.0.docx</t>
        </is>
      </c>
      <c r="P30" s="39" t="inlineStr">
        <is>
          <t>CT-M06-08; CT-M06-17</t>
        </is>
      </c>
    </row>
    <row r="31" ht="56" customHeight="1">
      <c r="A31" s="38" t="inlineStr">
        <is>
          <t>M06-RGL-027</t>
        </is>
      </c>
      <c r="B31" s="38" t="inlineStr">
        <is>
          <t>Descartar/low confidence recurrencia</t>
        </is>
      </c>
      <c r="C31" s="38" t="inlineStr">
        <is>
          <t>Recurrencia</t>
        </is>
      </c>
      <c r="D31" s="38" t="inlineStr">
        <is>
          <t>Al descartar recurrencia el pago queda como evento unico; baja confianza o ancla/fecha insuficiente deriva a revisión sin fecha exacta inventada.
Precision: Pago unico equivale a No es recurrente, no a eliminar el compromiso.</t>
        </is>
      </c>
      <c r="E31" s="38" t="inlineStr">
        <is>
          <t>Aplicar contrato y casos asociados; no prueba ejecutada.</t>
        </is>
      </c>
      <c r="F31" s="38" t="inlineStr">
        <is>
          <t>Walvy_M06_Documentacion_Funcional_Consolidada_v1.0.docx</t>
        </is>
      </c>
      <c r="G31" s="38" t="inlineStr">
        <is>
          <t>Contrato vigente: CT-M06-08, CT-M06-17. Fuente: F3:T12,T34-T36; F5:T20; BTR:02_Reglas_Walvy; PDI:01_Matriz_Maestra. Backend puede inferir nueva semantica = No. Mecanismos derivados documentados en contrato/BDD.</t>
        </is>
      </c>
      <c r="H31" s="38" t="inlineStr">
        <is>
          <t>TC-M06-056; TC-M06-054</t>
        </is>
      </c>
      <c r="I31" s="38" t="inlineStr">
        <is>
          <t>M06-TR-050; M06-TR-051</t>
        </is>
      </c>
      <c r="J31" s="38" t="inlineStr">
        <is>
          <t>CTA segun cobertura y contrato; sin acción nueva.</t>
        </is>
      </c>
      <c r="K31" s="38" t="inlineStr">
        <is>
          <t>M06</t>
        </is>
      </c>
      <c r="L31" s="38" t="inlineStr">
        <is>
          <t>Definido</t>
        </is>
      </c>
      <c r="M31" s="38" t="n"/>
      <c r="N31" s="38" t="inlineStr">
        <is>
          <t>Alta</t>
        </is>
      </c>
      <c r="O31" s="38" t="inlineStr">
        <is>
          <t>Walvy_M06_Documentacion_Funcional_Consolidada_v1.0.docx</t>
        </is>
      </c>
      <c r="P31" s="38" t="inlineStr">
        <is>
          <t>CT-M06-08; CT-M06-17</t>
        </is>
      </c>
    </row>
    <row r="32" ht="98" customHeight="1">
      <c r="A32" s="39" t="inlineStr">
        <is>
          <t>M06-RGL-028</t>
        </is>
      </c>
      <c r="B32" s="39" t="inlineStr">
        <is>
          <t>Señales operativas M06</t>
        </is>
      </c>
      <c r="C32" s="39" t="inlineStr">
        <is>
          <t>Señal / CTA</t>
        </is>
      </c>
      <c r="D32" s="39" t="inlineStr">
        <is>
          <t xml:space="preserve">M06 produce 7 familias canónicas activas F1–F7; los 17 AVI-M06 se conservan como correspondencia/lineage y roles absorbidos, no como 17 avisos autónomos. M03/Home decide winner/superficie transversal y M02 canal/cadencia/preferencias/dedupe. D-M06-ALERTA-MVP-01 retira el control local del MVP y difiere Recordarme este pago; no altera avisos automáticos. CT-M06-14.
Precisión: Sin Activar alerta ni local_alert operativo en MVP. M06 familia/situación; M03 winner; M02 entrega. Banner in-app no duplica acción visible equivalente.</t>
        </is>
      </c>
      <c r="E32" s="39" t="inlineStr">
        <is>
          <t>Aplicar contrato y casos asociados; no prueba ejecutada.</t>
        </is>
      </c>
      <c r="F32" s="39" t="inlineStr">
        <is>
          <t>Walvy_M06_Documentacion_Funcional_Consolidada_v1.0.docx</t>
        </is>
      </c>
      <c r="G32" s="39" t="inlineStr">
        <is>
          <t>Contrato vigente: CT-M06-14. Fuente: M02I:P159-P180,T13-T14,T18-T24; M02II:T65-T81; PDI:01_Matriz_Maestra!220; BTR:04_Pendientes_Dependencias. Backend puede inferir nueva semantica = No. Mecanismos derivados documentados en contrato/BDD.</t>
        </is>
      </c>
      <c r="H32" s="39" t="inlineStr">
        <is>
          <t>TC-M06-011; TC-M06-019; TC-M06-021; TC-M06-022; TC-M06-024; TC-M06-061; TC-M06-010; TC-M06-018; TC-M06-054; TC-M06-071; TC-M06-072</t>
        </is>
      </c>
      <c r="I32" s="39" t="inlineStr">
        <is>
          <t>M06-TR-017; M06-TR-018; M06-TR-020; M06-TR-064; M06-TR-067</t>
        </is>
      </c>
      <c r="J32" s="39" t="inlineStr">
        <is>
          <t>CTA segun cobertura y contrato; sin acción nueva.</t>
        </is>
      </c>
      <c r="K32" s="39" t="inlineStr">
        <is>
          <t>M06 -&gt; M02/consumidores</t>
        </is>
      </c>
      <c r="L32" s="39" t="inlineStr">
        <is>
          <t>Definido</t>
        </is>
      </c>
      <c r="M32" s="39" t="inlineStr">
        <is>
          <t>M03/Home + M02/Mis Avisos; D-M06-ALERTA-MVP-01</t>
        </is>
      </c>
      <c r="N32" s="39" t="inlineStr">
        <is>
          <t>Alta</t>
        </is>
      </c>
      <c r="O32" s="39" t="inlineStr">
        <is>
          <t>Walvy_M06_Documentacion_Funcional_Consolidada_v1.0.docx</t>
        </is>
      </c>
      <c r="P32" s="39" t="inlineStr">
        <is>
          <t>CT-M06-14</t>
        </is>
      </c>
    </row>
    <row r="33" ht="56" customHeight="1">
      <c r="A33" s="38" t="inlineStr">
        <is>
          <t>M06-RGL-029</t>
        </is>
      </c>
      <c r="B33" s="38" t="inlineStr">
        <is>
          <t>Recomendación contextual segura</t>
        </is>
      </c>
      <c r="C33" s="38" t="inlineStr">
        <is>
          <t>Recomendación</t>
        </is>
      </c>
      <c r="D33" s="38" t="inlineStr">
        <is>
          <t>Recomendaciones de M06 son informativas/contextuales, basadas en datos cargados/declarados/validados y no constituyen asesoría ni recomendación de producto financiero.</t>
        </is>
      </c>
      <c r="E33" s="38" t="inlineStr">
        <is>
          <t>Aplicar contrato y casos asociados; no prueba ejecutada.</t>
        </is>
      </c>
      <c r="F33" s="38" t="inlineStr">
        <is>
          <t>Walvy_M06_Documentacion_Funcional_Consolidada_v1.0.docx</t>
        </is>
      </c>
      <c r="G33" s="38" t="inlineStr">
        <is>
          <t>Contrato vigente: CT-M06-10, CT-M06-14. Fuente: F3:T04,T07,T08,T17-T18; BTR:02_Reglas_Walvy!19-20,43; M01:Anexos Producto!108-131; M02II:T79. Backend puede inferir nueva semantica = No. Mecanismos derivados documentados en contrato/BDD.</t>
        </is>
      </c>
      <c r="H33" s="38" t="inlineStr">
        <is>
          <t>TC-M06-070; TC-M06-073</t>
        </is>
      </c>
      <c r="I33" s="38" t="inlineStr">
        <is>
          <t>M06-TR-065</t>
        </is>
      </c>
      <c r="J33" s="38" t="inlineStr">
        <is>
          <t>CTA segun cobertura y contrato; sin acción nueva.</t>
        </is>
      </c>
      <c r="K33" s="38" t="inlineStr">
        <is>
          <t>M06 -&gt; consumidor recomendaciones</t>
        </is>
      </c>
      <c r="L33" s="38" t="inlineStr">
        <is>
          <t>Definido</t>
        </is>
      </c>
      <c r="M33" s="38" t="inlineStr">
        <is>
          <t>BD-M06-AVISOS-01</t>
        </is>
      </c>
      <c r="N33" s="38" t="inlineStr">
        <is>
          <t>Alta</t>
        </is>
      </c>
      <c r="O33" s="38" t="inlineStr">
        <is>
          <t>Walvy_M06_Documentacion_Funcional_Consolidada_v1.0.docx</t>
        </is>
      </c>
      <c r="P33" s="38" t="inlineStr">
        <is>
          <t>CT-M06-10; CT-M06-14</t>
        </is>
      </c>
    </row>
    <row r="34" ht="70" customHeight="1">
      <c r="A34" s="39" t="inlineStr">
        <is>
          <t>M06-RGL-030</t>
        </is>
      </c>
      <c r="B34" s="39" t="inlineStr">
        <is>
          <t>Señal hacia Home/M03</t>
        </is>
      </c>
      <c r="C34" s="39" t="inlineStr">
        <is>
          <t>Dependencia / señal</t>
        </is>
      </c>
      <c r="D34" s="39" t="inlineStr">
        <is>
          <t>Home/M03 consume y prioriza señales M06 vigentes con CTA autorizado y retorno; no calcula estado, paga, confirma ni crea recurrencia. Abrir/volver no resuelve. CT-M06-14/15.</t>
        </is>
      </c>
      <c r="E34" s="39" t="inlineStr">
        <is>
          <t>Aplicar contrato y casos asociados; no prueba ejecutada.</t>
        </is>
      </c>
      <c r="F34" s="39" t="inlineStr">
        <is>
          <t>Walvy_M06_Documentacion_Funcional_Consolidada_v1.0.docx</t>
        </is>
      </c>
      <c r="G34" s="39" t="inlineStr">
        <is>
          <t>Contrato vigente: CT-M06-14, CT-M06-15. Fuente: HOME; M01:Reglas Walvy!15;Anexos Producto!119-131; M05BE:T02,T08; CAT:03_reglas_clasificación!111;06_enums_catalogos!72. Backend puede inferir nueva semantica = No. Mecanismos derivados documentados en contrato/BDD.</t>
        </is>
      </c>
      <c r="H34" s="39" t="inlineStr">
        <is>
          <t>TC-M06-069; TC-M06-074</t>
        </is>
      </c>
      <c r="I34" s="39" t="inlineStr">
        <is>
          <t>M06-TR-060</t>
        </is>
      </c>
      <c r="J34" s="39" t="inlineStr">
        <is>
          <t>CTA segun cobertura y contrato; sin acción nueva.</t>
        </is>
      </c>
      <c r="K34" s="39" t="inlineStr">
        <is>
          <t>M06 -&gt; M03/Home</t>
        </is>
      </c>
      <c r="L34" s="39" t="inlineStr">
        <is>
          <t>Definido</t>
        </is>
      </c>
      <c r="M34" s="39" t="inlineStr">
        <is>
          <t>DEP-M06-HOME-01</t>
        </is>
      </c>
      <c r="N34" s="39" t="inlineStr">
        <is>
          <t>Alta</t>
        </is>
      </c>
      <c r="O34" s="39" t="inlineStr">
        <is>
          <t>Walvy_M06_Documentacion_Funcional_Consolidada_v1.0.docx</t>
        </is>
      </c>
      <c r="P34" s="39" t="inlineStr">
        <is>
          <t>CT-M06-14; CT-M06-15</t>
        </is>
      </c>
    </row>
    <row r="35" ht="70" customHeight="1">
      <c r="A35" s="38" t="inlineStr">
        <is>
          <t>M06-RGL-031</t>
        </is>
      </c>
      <c r="B35" s="38" t="inlineStr">
        <is>
          <t>Señal hacia M05</t>
        </is>
      </c>
      <c r="C35" s="38" t="inlineStr">
        <is>
          <t>Dependencia / señal</t>
        </is>
      </c>
      <c r="D35" s="38" t="inlineStr">
        <is>
          <t>M05-&gt;M06: movimiento genera candidato, confirmar/corregir/rechazar con retorno. M06-&gt;M05: compromiso pendiente o pago confirmado produce link/provisional/no-op según naturaleza y match; posterior conciliación sin doble gasto. Corrección/reversion versionadas. CT-M06-11/13/15.</t>
        </is>
      </c>
      <c r="E35" s="38" t="inlineStr">
        <is>
          <t>Aplicar contrato y casos asociados; no prueba ejecutada.</t>
        </is>
      </c>
      <c r="F35" s="38" t="inlineStr">
        <is>
          <t>Walvy_M06_Documentacion_Funcional_Consolidada_v1.0.docx</t>
        </is>
      </c>
      <c r="G35" s="38" t="inlineStr">
        <is>
          <t>Contrato vigente: CT-M06-10, CT-M06-11, CT-M06-13, CT-M06-15. Fuente: M05BE:T08,P101-P103; M01:Anexos Producto!119,125; F5:T19-T20; PDI:01_Matriz_Maestra!210. Backend puede inferir nueva semantica = No. Mecanismos derivados documentados en contrato/BDD.</t>
        </is>
      </c>
      <c r="H35" s="38" t="inlineStr">
        <is>
          <t>TC-M06-069</t>
        </is>
      </c>
      <c r="I35" s="38" t="inlineStr">
        <is>
          <t>M06-TR-061</t>
        </is>
      </c>
      <c r="J35" s="38" t="inlineStr">
        <is>
          <t>CTA segun cobertura y contrato; sin acción nueva.</t>
        </is>
      </c>
      <c r="K35" s="38" t="inlineStr">
        <is>
          <t>M06 -&gt; M05</t>
        </is>
      </c>
      <c r="L35" s="38" t="inlineStr">
        <is>
          <t>Definido</t>
        </is>
      </c>
      <c r="M35" s="38" t="n"/>
      <c r="N35" s="38" t="inlineStr">
        <is>
          <t>Alta</t>
        </is>
      </c>
      <c r="O35" s="38" t="inlineStr">
        <is>
          <t>Walvy_M06_Documentacion_Funcional_Consolidada_v1.0.docx</t>
        </is>
      </c>
      <c r="P35" s="38" t="inlineStr">
        <is>
          <t>CT-M06-10; CT-M06-11; CT-M06-13; CT-M06-15</t>
        </is>
      </c>
    </row>
    <row r="36" ht="98" customHeight="1">
      <c r="A36" s="39" t="inlineStr">
        <is>
          <t>M06-RGL-032</t>
        </is>
      </c>
      <c r="B36" s="39" t="inlineStr">
        <is>
          <t>Señal controlada hacia M04</t>
        </is>
      </c>
      <c r="C36" s="39" t="inlineStr">
        <is>
          <t>Dependencia / señal</t>
        </is>
      </c>
      <c r="D36" s="39" t="inlineStr">
        <is>
          <t>M06 entrega hechos de obligacion/ciclo/pago/aging y recurrencia con calidad. M04 interpreta deterioro/Salud y elegibilidad; parcial previo al cierre reconciliado no concluye D1/D2. Pago completo posterior inválida lectura anterior. Nunca activar Ruta desde M06. CT-M06-12.
Precision: Badge Vinculado a Ruta exige Ruta activa y relacion vigente; elegibilidad de entrada M04 es distinta y nunca inferida localmente.</t>
        </is>
      </c>
      <c r="E36" s="39" t="inlineStr">
        <is>
          <t>Aplicar contrato y casos asociados; no prueba ejecutada.</t>
        </is>
      </c>
      <c r="F36" s="39" t="inlineStr">
        <is>
          <t>Walvy_M06_Documentacion_Funcional_Consolidada_v1.0.docx</t>
        </is>
      </c>
      <c r="G36" s="39" t="inlineStr">
        <is>
          <t>Contrato vigente: CT-M06-10, CT-M06-11, CT-M06-12, CT-M06-15. Fuente: M04BE:T16,T23,T52,T54; M04BDD:reglas ciclo reconciliado; TC:T12-T13; M01:Anexos Producto!121. Backend puede inferir nueva semantica = No. Mecanismos derivados documentados en contrato/BDD.</t>
        </is>
      </c>
      <c r="H36" s="39" t="inlineStr">
        <is>
          <t>TC-M06-059; TC-M06-064; TC-M06-067; TC-M06-068</t>
        </is>
      </c>
      <c r="I36" s="39" t="inlineStr">
        <is>
          <t>M06-TR-062</t>
        </is>
      </c>
      <c r="J36" s="39" t="inlineStr">
        <is>
          <t>CTA segun cobertura y contrato; sin acción nueva.</t>
        </is>
      </c>
      <c r="K36" s="39" t="inlineStr">
        <is>
          <t>M06 -&gt; M04</t>
        </is>
      </c>
      <c r="L36" s="39" t="inlineStr">
        <is>
          <t>Definido</t>
        </is>
      </c>
      <c r="M36" s="39" t="n"/>
      <c r="N36" s="39" t="inlineStr">
        <is>
          <t>Alta</t>
        </is>
      </c>
      <c r="O36" s="39" t="inlineStr">
        <is>
          <t>Walvy_M06_Documentacion_Funcional_Consolidada_v1.0.docx</t>
        </is>
      </c>
      <c r="P36" s="39" t="inlineStr">
        <is>
          <t>CT-M06-10; CT-M06-11; CT-M06-12; CT-M06-15</t>
        </is>
      </c>
    </row>
    <row r="37" ht="56" customHeight="1">
      <c r="A37" s="38" t="inlineStr">
        <is>
          <t>M06-RGL-033</t>
        </is>
      </c>
      <c r="B37" s="38" t="inlineStr">
        <is>
          <t>Frontera estrategia deuda</t>
        </is>
      </c>
      <c r="C37" s="38" t="inlineStr">
        <is>
          <t>Frontera</t>
        </is>
      </c>
      <c r="D37" s="38" t="inlineStr">
        <is>
          <t>M06 no define pago sugerido, capacidad recuperable ni prioridad estratégica de deuda; M04 conserva el dominio.</t>
        </is>
      </c>
      <c r="E37" s="38" t="inlineStr">
        <is>
          <t>Aplicar contrato y casos asociados; no prueba ejecutada.</t>
        </is>
      </c>
      <c r="F37" s="38" t="inlineStr">
        <is>
          <t>Walvy_M06_Documentacion_Funcional_Consolidada_v1.0.docx</t>
        </is>
      </c>
      <c r="G37" s="38" t="inlineStr">
        <is>
          <t>Contrato vigente: CT-M06-01, CT-M06-11, CT-M06-12, CT-M06-15. Fuente: RECTOR:P008-P040; F1:T02-T07; EXEC; BTR:02_Reglas_Walvy!5. Backend puede inferir nueva semantica = No. Mecanismos derivados documentados en contrato/BDD.</t>
        </is>
      </c>
      <c r="H37" s="38" t="inlineStr">
        <is>
          <t>TC-M06-059; TC-M06-064; TC-M06-067; TC-M06-068</t>
        </is>
      </c>
      <c r="I37" s="38" t="inlineStr">
        <is>
          <t>M06-TR-062</t>
        </is>
      </c>
      <c r="J37" s="38" t="inlineStr">
        <is>
          <t>CTA segun cobertura y contrato; sin acción nueva.</t>
        </is>
      </c>
      <c r="K37" s="38" t="inlineStr">
        <is>
          <t>M06/M04</t>
        </is>
      </c>
      <c r="L37" s="38" t="inlineStr">
        <is>
          <t>Definido</t>
        </is>
      </c>
      <c r="M37" s="38" t="n"/>
      <c r="N37" s="38" t="inlineStr">
        <is>
          <t>Alta</t>
        </is>
      </c>
      <c r="O37" s="38" t="inlineStr">
        <is>
          <t>Walvy_M06_Documentacion_Funcional_Consolidada_v1.0.docx</t>
        </is>
      </c>
      <c r="P37" s="38" t="inlineStr">
        <is>
          <t>CT-M06-01; CT-M06-11; CT-M06-12; CT-M06-15</t>
        </is>
      </c>
    </row>
    <row r="38" ht="70" customHeight="1">
      <c r="A38" s="39" t="inlineStr">
        <is>
          <t>M06-RGL-034</t>
        </is>
      </c>
      <c r="B38" s="39" t="inlineStr">
        <is>
          <t>Calidad de dato hacia Perfil</t>
        </is>
      </c>
      <c r="C38" s="39" t="inlineStr">
        <is>
          <t>Dependencia / señal</t>
        </is>
      </c>
      <c r="D38" s="39" t="inlineStr">
        <is>
          <t>Perfil recibe motivo mínimo de calidad/completitud y destino M06, no payload financiero. M01 puede orquestar corrección en M06 y consumir hechos pendientes/mora confirmada sin semáforo paralelo ni doble conteo. CT-M06-15.</t>
        </is>
      </c>
      <c r="E38" s="39" t="inlineStr">
        <is>
          <t>Aplicar contrato y casos asociados; no prueba ejecutada.</t>
        </is>
      </c>
      <c r="F38" s="39" t="inlineStr">
        <is>
          <t>Walvy_M06_Documentacion_Funcional_Consolidada_v1.0.docx</t>
        </is>
      </c>
      <c r="G38" s="39" t="inlineStr">
        <is>
          <t>Contrato vigente: CT-M06-14, CT-M06-15. Fuente: HOME; M01:Reglas Walvy!15;Anexos Producto!119-131; M05BE:T02,T08; CAT:03_reglas_clasificación!111;06_enums_catalogos!72. Backend puede inferir nueva semantica = No. Mecanismos derivados documentados en contrato/BDD.</t>
        </is>
      </c>
      <c r="H38" s="39" t="inlineStr">
        <is>
          <t>TC-M06-071</t>
        </is>
      </c>
      <c r="I38" s="39" t="inlineStr">
        <is>
          <t>M06-TR-063</t>
        </is>
      </c>
      <c r="J38" s="39" t="inlineStr">
        <is>
          <t>CTA segun cobertura y contrato; sin acción nueva.</t>
        </is>
      </c>
      <c r="K38" s="39" t="inlineStr">
        <is>
          <t>M06 -&gt; Perfil</t>
        </is>
      </c>
      <c r="L38" s="39" t="inlineStr">
        <is>
          <t>Definido</t>
        </is>
      </c>
      <c r="M38" s="39" t="n"/>
      <c r="N38" s="39" t="inlineStr">
        <is>
          <t>Alta</t>
        </is>
      </c>
      <c r="O38" s="39" t="inlineStr">
        <is>
          <t>Walvy_M06_Documentacion_Funcional_Consolidada_v1.0.docx</t>
        </is>
      </c>
      <c r="P38" s="39" t="inlineStr">
        <is>
          <t>CT-M06-14; CT-M06-15</t>
        </is>
      </c>
    </row>
    <row r="39" ht="98" customHeight="1">
      <c r="A39" s="38" t="inlineStr">
        <is>
          <t>M06-RGL-035</t>
        </is>
      </c>
      <c r="B39" s="38" t="inlineStr">
        <is>
          <t>Confirmados del mes</t>
        </is>
      </c>
      <c r="C39" s="38" t="inlineStr">
        <is>
          <t>Cálculo</t>
        </is>
      </c>
      <c r="D39" s="38" t="inlineStr">
        <is>
          <t>Confirmados del mes es un agregado, no estado: cuenta DISTINCT compromisos canónicos consolidados con vencimiento en mes activo y estado Pendiente/Próximo/Vencido/Pagado fuera de Walvy; excluye borradores, detectados/revisión, duplicados/recurrencias probables, descartados y pagos probables no validados.
Precision: U_mes excluye candidatos/borradores; el alias Confirmados no es estado temporal.</t>
        </is>
      </c>
      <c r="E39" s="38" t="inlineStr">
        <is>
          <t>Aplicar contrato y casos asociados; no prueba ejecutada.</t>
        </is>
      </c>
      <c r="F39" s="38" t="inlineStr">
        <is>
          <t>Walvy_M06_Documentacion_Funcional_Consolidada_v1.0.docx</t>
        </is>
      </c>
      <c r="G39" s="38" t="inlineStr">
        <is>
          <t>Contrato vigente: CT-M06-09. Fuente: BTR:02_Reglas_Walvy!39-41; PDI:01_Matriz_Maestra!196-201. Backend puede inferir nueva semantica = No. Mecanismos derivados documentados en contrato/BDD.</t>
        </is>
      </c>
      <c r="H39" s="38" t="inlineStr">
        <is>
          <t>TC-M06-008; TC-M06-009; TC-M06-010; TC-M06-011; TC-M06-012; TC-M06-030</t>
        </is>
      </c>
      <c r="I39" s="38" t="inlineStr">
        <is>
          <t>M06-TR-011; M06-TR-059</t>
        </is>
      </c>
      <c r="J39" s="38" t="inlineStr">
        <is>
          <t>CTA segun cobertura y contrato; sin acción nueva.</t>
        </is>
      </c>
      <c r="K39" s="38" t="inlineStr">
        <is>
          <t>M06</t>
        </is>
      </c>
      <c r="L39" s="38" t="inlineStr">
        <is>
          <t>Definido</t>
        </is>
      </c>
      <c r="M39" s="38" t="inlineStr">
        <is>
          <t>D-M06-CALC-01</t>
        </is>
      </c>
      <c r="N39" s="38" t="inlineStr">
        <is>
          <t>Alta</t>
        </is>
      </c>
      <c r="O39" s="38" t="inlineStr">
        <is>
          <t>Walvy_M06_Documentacion_Funcional_Consolidada_v1.0.docx</t>
        </is>
      </c>
      <c r="P39" s="38" t="inlineStr">
        <is>
          <t>CT-M06-09</t>
        </is>
      </c>
    </row>
    <row r="40" ht="84" customHeight="1">
      <c r="A40" s="39" t="inlineStr">
        <is>
          <t>M06-RGL-036</t>
        </is>
      </c>
      <c r="B40" s="39" t="inlineStr">
        <is>
          <t>Compromisos al día</t>
        </is>
      </c>
      <c r="C40" s="39" t="inlineStr">
        <is>
          <t>Cálculo</t>
        </is>
      </c>
      <c r="D40" s="39" t="inlineStr">
        <is>
          <t>Compromisos al día % = (Confirmados del mes - Vencidos del mes) / Confirmados del mes * 100; si Confirmados=0, mostrar sin dato; backend conserva precisión y UI redondea a entero.
Precision: Ejemplo U=17,V=2 -&gt; 88% al día. U=0 -&gt; sin porcentaje. No usar pagados/U como sustituto.</t>
        </is>
      </c>
      <c r="E40" s="39" t="inlineStr">
        <is>
          <t>Aplicar contrato y casos asociados; no prueba ejecutada.</t>
        </is>
      </c>
      <c r="F40" s="39" t="inlineStr">
        <is>
          <t>Walvy_M06_Documentacion_Funcional_Consolidada_v1.0.docx</t>
        </is>
      </c>
      <c r="G40" s="39" t="inlineStr">
        <is>
          <t>Contrato vigente: CT-M06-09. Fuente: BTR:02_Reglas_Walvy!39-41; PDI:01_Matriz_Maestra!196-201. Backend puede inferir nueva semantica = No. Mecanismos derivados documentados en contrato/BDD.</t>
        </is>
      </c>
      <c r="H40" s="39" t="inlineStr">
        <is>
          <t>TC-M06-013; TC-M06-014; TC-M06-015; TC-M06-030</t>
        </is>
      </c>
      <c r="I40" s="39" t="inlineStr">
        <is>
          <t>M06-TR-012</t>
        </is>
      </c>
      <c r="J40" s="39" t="inlineStr">
        <is>
          <t>CTA segun cobertura y contrato; sin acción nueva.</t>
        </is>
      </c>
      <c r="K40" s="39" t="inlineStr">
        <is>
          <t>M06</t>
        </is>
      </c>
      <c r="L40" s="39" t="inlineStr">
        <is>
          <t>Definido</t>
        </is>
      </c>
      <c r="M40" s="39" t="inlineStr">
        <is>
          <t>D-M06-CALC-02</t>
        </is>
      </c>
      <c r="N40" s="39" t="inlineStr">
        <is>
          <t>Alta</t>
        </is>
      </c>
      <c r="O40" s="39" t="inlineStr">
        <is>
          <t>Walvy_M06_Documentacion_Funcional_Consolidada_v1.0.docx</t>
        </is>
      </c>
      <c r="P40" s="39" t="inlineStr">
        <is>
          <t>CT-M06-09</t>
        </is>
      </c>
    </row>
    <row r="41" ht="56" customHeight="1">
      <c r="A41" s="38" t="inlineStr">
        <is>
          <t>M06-RGL-037</t>
        </is>
      </c>
      <c r="B41" s="38" t="inlineStr">
        <is>
          <t>Detectados por revisar</t>
        </is>
      </c>
      <c r="C41" s="38" t="inlineStr">
        <is>
          <t>Cálculo</t>
        </is>
      </c>
      <c r="D41" s="38" t="inlineStr">
        <is>
          <t>Pagos detectados por revisar cuenta candidatos únicos no resueltos cuya cola primaria sea Detectado/Requiere revisión por detección; excluye manuales, descartados, confirmados y rutas especializadas de duplicado/recurrencia/pago probable.</t>
        </is>
      </c>
      <c r="E41" s="38" t="inlineStr">
        <is>
          <t>Aplicar contrato y casos asociados; no prueba ejecutada.</t>
        </is>
      </c>
      <c r="F41" s="38" t="inlineStr">
        <is>
          <t>Walvy_M06_Documentacion_Funcional_Consolidada_v1.0.docx</t>
        </is>
      </c>
      <c r="G41" s="38" t="inlineStr">
        <is>
          <t>Contrato vigente: CT-M06-09. Fuente: BTR:02_Reglas_Walvy!39-41; PDI:01_Matriz_Maestra!196-201. Backend puede inferir nueva semantica = No. Mecanismos derivados documentados en contrato/BDD.</t>
        </is>
      </c>
      <c r="H41" s="38" t="inlineStr">
        <is>
          <t>TC-M06-016; TC-M06-017; TC-M06-030</t>
        </is>
      </c>
      <c r="I41" s="38" t="inlineStr">
        <is>
          <t>M06-TR-013; M06-TR-015</t>
        </is>
      </c>
      <c r="J41" s="38" t="inlineStr">
        <is>
          <t>CTA segun cobertura y contrato; sin acción nueva.</t>
        </is>
      </c>
      <c r="K41" s="38" t="inlineStr">
        <is>
          <t>M06</t>
        </is>
      </c>
      <c r="L41" s="38" t="inlineStr">
        <is>
          <t>Definido</t>
        </is>
      </c>
      <c r="M41" s="38" t="inlineStr">
        <is>
          <t>D-M06-CALC-03</t>
        </is>
      </c>
      <c r="N41" s="38" t="inlineStr">
        <is>
          <t>Alta</t>
        </is>
      </c>
      <c r="O41" s="38" t="inlineStr">
        <is>
          <t>Walvy_M06_Documentacion_Funcional_Consolidada_v1.0.docx</t>
        </is>
      </c>
      <c r="P41" s="38" t="inlineStr">
        <is>
          <t>CT-M06-09</t>
        </is>
      </c>
    </row>
    <row r="42" ht="56" customHeight="1">
      <c r="A42" s="39" t="inlineStr">
        <is>
          <t>M06-RGL-038</t>
        </is>
      </c>
      <c r="B42" s="39" t="inlineStr">
        <is>
          <t>Parámetro Próximo N=7</t>
        </is>
      </c>
      <c r="C42" s="39" t="inlineStr">
        <is>
          <t>Cálculo / parámetro</t>
        </is>
      </c>
      <c r="D42" s="39" t="inlineStr">
        <is>
          <t>Default MVP N=7 días calendario configurable backend: &lt;0 Vencido; 0..7 Próximo; &gt;7 Pendiente; recalcula diariamente y al editar fecha; no hardcodear en UX.</t>
        </is>
      </c>
      <c r="E42" s="39" t="inlineStr">
        <is>
          <t>Aplicar contrato y casos asociados; no prueba ejecutada.</t>
        </is>
      </c>
      <c r="F42" s="39" t="inlineStr">
        <is>
          <t>Walvy_M06_Documentacion_Funcional_Consolidada_v1.0.docx</t>
        </is>
      </c>
      <c r="G42" s="39" t="inlineStr">
        <is>
          <t>Contrato vigente: CT-M06-07. Fuente: F3:T07-T08; BTR:02_Reglas_Walvy!42; M04BE:T23,T54; PDI:01_Matriz_Maestra!188. Backend puede inferir nueva semantica = No. Mecanismos derivados documentados en contrato/BDD.</t>
        </is>
      </c>
      <c r="H42" s="39" t="inlineStr">
        <is>
          <t>TC-M06-011; TC-M06-019; TC-M06-021; TC-M06-022; TC-M06-024; TC-M06-061; TC-M06-018; TC-M06-023</t>
        </is>
      </c>
      <c r="I42" s="39" t="inlineStr">
        <is>
          <t>M06-TR-017; M06-TR-055</t>
        </is>
      </c>
      <c r="J42" s="39" t="inlineStr">
        <is>
          <t>CTA segun cobertura y contrato; sin acción nueva.</t>
        </is>
      </c>
      <c r="K42" s="39" t="inlineStr">
        <is>
          <t>M06</t>
        </is>
      </c>
      <c r="L42" s="39" t="inlineStr">
        <is>
          <t>Definido</t>
        </is>
      </c>
      <c r="M42" s="39" t="inlineStr">
        <is>
          <t>D-M06-CALC-04</t>
        </is>
      </c>
      <c r="N42" s="39" t="inlineStr">
        <is>
          <t>Alta</t>
        </is>
      </c>
      <c r="O42" s="39" t="inlineStr">
        <is>
          <t>Walvy_M06_Documentacion_Funcional_Consolidada_v1.0.docx</t>
        </is>
      </c>
      <c r="P42" s="39" t="inlineStr">
        <is>
          <t>CT-M06-07</t>
        </is>
      </c>
    </row>
    <row r="43" ht="70" customHeight="1">
      <c r="A43" s="38" t="inlineStr">
        <is>
          <t>M06-RGL-039</t>
        </is>
      </c>
      <c r="B43" s="38" t="inlineStr">
        <is>
          <t>Presión normalizada consumida</t>
        </is>
      </c>
      <c r="C43" s="38" t="inlineStr">
        <is>
          <t>Cálculo / dependencia</t>
        </is>
      </c>
      <c r="D43" s="38" t="inlineStr">
        <is>
          <t>M06 consume ratio/snapshot mensual canónico y señales de deterioro pertinentes; no calcula forecasting paralelo ni usa umbral CLP. Falta/calidad insuficiente -&gt; NO_EVALUABLE. Reconciliación upstream elimina doble conteo y conserva período/versión. CT-M06-10/13/15.</t>
        </is>
      </c>
      <c r="E43" s="38" t="inlineStr">
        <is>
          <t>Aplicar contrato y casos asociados; no prueba ejecutada.</t>
        </is>
      </c>
      <c r="F43" s="38" t="inlineStr">
        <is>
          <t>Walvy_M06_Documentacion_Funcional_Consolidada_v1.0.docx</t>
        </is>
      </c>
      <c r="G43" s="38" t="inlineStr">
        <is>
          <t>Contrato vigente: CT-M06-10. Fuente: F3:T04,T07,T08,T17-T18; BTR:02_Reglas_Walvy!19-20,43; M01:Anexos Producto!108-131; M02II:T79. Backend puede inferir nueva semantica = No. Mecanismos derivados documentados en contrato/BDD.</t>
        </is>
      </c>
      <c r="H43" s="38" t="inlineStr">
        <is>
          <t>TC-M06-024; TC-M06-057; TC-M06-058; TC-M06-059; TC-M06-060; TC-M06-061; TC-M06-062; TC-M06-063; TC-M06-064; TC-M06-065; TC-M06-070</t>
        </is>
      </c>
      <c r="I43" s="38" t="inlineStr">
        <is>
          <t>M06-TR-058</t>
        </is>
      </c>
      <c r="J43" s="38" t="inlineStr">
        <is>
          <t>CTA segun cobertura y contrato; sin acción nueva.</t>
        </is>
      </c>
      <c r="K43" s="38" t="inlineStr">
        <is>
          <t>M05/lectura financiera -&gt; M06</t>
        </is>
      </c>
      <c r="L43" s="38" t="inlineStr">
        <is>
          <t>Definido</t>
        </is>
      </c>
      <c r="M43" s="38" t="inlineStr">
        <is>
          <t>D-M06-CALC-05</t>
        </is>
      </c>
      <c r="N43" s="38" t="inlineStr">
        <is>
          <t>Alta</t>
        </is>
      </c>
      <c r="O43" s="38" t="inlineStr">
        <is>
          <t>Walvy_M06_Documentacion_Funcional_Consolidada_v1.0.docx</t>
        </is>
      </c>
      <c r="P43" s="38" t="inlineStr">
        <is>
          <t>CT-M06-10</t>
        </is>
      </c>
    </row>
    <row r="44" ht="56" customHeight="1">
      <c r="A44" s="39" t="inlineStr">
        <is>
          <t>M06-RGL-040</t>
        </is>
      </c>
      <c r="B44" s="39" t="inlineStr">
        <is>
          <t>Error de ingesta seguro</t>
        </is>
      </c>
      <c r="C44" s="39" t="inlineStr">
        <is>
          <t>Ingesta / error</t>
        </is>
      </c>
      <c r="D44" s="39" t="inlineStr">
        <is>
          <t>Error/lectura parcial preserva dato usable y marca faltante sin consolidación opaca; retry/reemplazo/cancelación versionados con fallback manual. Original externo K-read no se transforma en repositorio Walvy. CT-M06-04/16.</t>
        </is>
      </c>
      <c r="E44" s="39" t="inlineStr">
        <is>
          <t>Aplicar contrato y casos asociados; no prueba ejecutada.</t>
        </is>
      </c>
      <c r="F44" s="39" t="inlineStr">
        <is>
          <t>Walvy_M06_Documentacion_Funcional_Consolidada_v1.0.docx</t>
        </is>
      </c>
      <c r="G44" s="39" t="inlineStr">
        <is>
          <t>Contrato vigente: CT-M06-04, CT-M06-17. Fuente: RECTOR; F5:T17-T20,T23-T25; F3:T06,T13; PDT; BTR:02_Reglas_Walvy. Backend puede inferir nueva semantica = No. Mecanismos derivados documentados en contrato/BDD.</t>
        </is>
      </c>
      <c r="H44" s="39" t="inlineStr">
        <is>
          <t>TC-M06-075</t>
        </is>
      </c>
      <c r="I44" s="39" t="inlineStr">
        <is>
          <t>M06-TR-003</t>
        </is>
      </c>
      <c r="J44" s="39" t="inlineStr">
        <is>
          <t>CTA segun cobertura y contrato; sin acción nueva.</t>
        </is>
      </c>
      <c r="K44" s="39" t="inlineStr">
        <is>
          <t>Capacidad transversal -&gt; M06</t>
        </is>
      </c>
      <c r="L44" s="39" t="inlineStr">
        <is>
          <t>Definido</t>
        </is>
      </c>
      <c r="M44" s="39" t="n"/>
      <c r="N44" s="39" t="inlineStr">
        <is>
          <t>Alta</t>
        </is>
      </c>
      <c r="O44" s="39" t="inlineStr">
        <is>
          <t>Walvy_M06_Documentacion_Funcional_Consolidada_v1.0.docx</t>
        </is>
      </c>
      <c r="P44" s="39" t="inlineStr">
        <is>
          <t>CT-M06-04; CT-M06-17</t>
        </is>
      </c>
    </row>
    <row r="45" ht="70" customHeight="1">
      <c r="A45" s="38" t="inlineStr">
        <is>
          <t>M06-RGL-041</t>
        </is>
      </c>
      <c r="B45" s="38" t="inlineStr">
        <is>
          <t>Historial funcional</t>
        </is>
      </c>
      <c r="C45" s="38" t="inlineStr">
        <is>
          <t>Historial</t>
        </is>
      </c>
      <c r="D45" s="38" t="inlineStr">
        <is>
          <t>Historial funcional muestra acciones/correcciones con provenance, no comprobante ni cartola. No justifica retención indefinida: respeta congelamiento, supresión y limpieza de derivados/cache/colas. CT-M06-06/16.</t>
        </is>
      </c>
      <c r="E45" s="38" t="inlineStr">
        <is>
          <t>Aplicar contrato y casos asociados; no prueba ejecutada.</t>
        </is>
      </c>
      <c r="F45" s="38" t="inlineStr">
        <is>
          <t>Walvy_M06_Documentacion_Funcional_Consolidada_v1.0.docx</t>
        </is>
      </c>
      <c r="G45" s="38" t="inlineStr">
        <is>
          <t>Contrato vigente: CT-M06-02, CT-M06-06, CT-M06-16, CT-M06-17. Fuente: F3:T09,T10,T32,T37; F4:T09-T10; M05BE:T08,P101-P103; PDI:01_Matriz_Maestra!211-217. Backend puede inferir nueva semantica = No. Mecanismos derivados documentados en contrato/BDD.</t>
        </is>
      </c>
      <c r="H45" s="38" t="inlineStr">
        <is>
          <t>TC-M06-026; TC-M06-066; TC-M06-012; TC-M06-025; TC-M06-038; TC-M06-032; TC-M06-035; TC-M06-033; TC-M06-040</t>
        </is>
      </c>
      <c r="I45" s="38" t="inlineStr">
        <is>
          <t>M06-TR-010; M06-TR-021; M06-TR-036; M06-TR-052; M06-TR-053; M06-TR-054</t>
        </is>
      </c>
      <c r="J45" s="38" t="inlineStr">
        <is>
          <t>CTA segun cobertura y contrato; sin acción nueva.</t>
        </is>
      </c>
      <c r="K45" s="38" t="inlineStr">
        <is>
          <t>M06</t>
        </is>
      </c>
      <c r="L45" s="38" t="inlineStr">
        <is>
          <t>Definido</t>
        </is>
      </c>
      <c r="M45" s="38" t="inlineStr">
        <is>
          <t>OBS-M06-FIG-03; D-CL-M06-02</t>
        </is>
      </c>
      <c r="N45" s="38" t="inlineStr">
        <is>
          <t>Alta</t>
        </is>
      </c>
      <c r="O45" s="38" t="inlineStr">
        <is>
          <t>Walvy_M06_Documentacion_Funcional_Consolidada_v1.0.docx</t>
        </is>
      </c>
      <c r="P45" s="38" t="inlineStr">
        <is>
          <t>CT-M06-02; CT-M06-06; CT-M06-16; CT-M06-17</t>
        </is>
      </c>
    </row>
    <row r="46" ht="112" customHeight="1">
      <c r="A46" s="39" t="inlineStr">
        <is>
          <t>M06-RGL-042</t>
        </is>
      </c>
      <c r="B46" s="39" t="inlineStr">
        <is>
          <t>Filtros y búsqueda</t>
        </is>
      </c>
      <c r="C46" s="39" t="inlineStr">
        <is>
          <t>UX / navegación</t>
        </is>
      </c>
      <c r="D46" s="39" t="inlineStr">
        <is>
          <t>Los filtros básicos y los filtros avanzados efectivamente materializados en el Figma vigente forman parte del baseline actual y solo modifican la vista, nunca el estado backend. Guardar filtros aplica la combinación seleccionada y retorna al listado con esos criterios activos; no implica preset nombrado, persistencia entre sesiones/dispositivos ni nuevas familias de filtros sin contrato posterior.
Precision: Filtros: OR intrafamilia, AND interfamilia; Cancelar conserva consulta; no se exige persistencia cross-session.</t>
        </is>
      </c>
      <c r="E46" s="39" t="inlineStr">
        <is>
          <t>Aplicar contrato y casos asociados; no prueba ejecutada.</t>
        </is>
      </c>
      <c r="F46" s="39" t="inlineStr">
        <is>
          <t>Walvy_M06_Documentacion_Funcional_Consolidada_v1.0.docx</t>
        </is>
      </c>
      <c r="G46" s="39" t="inlineStr">
        <is>
          <t>Contrato vigente: CT-M06-15, CT-M06-17. Fuente: HOME; M01:Reglas Walvy!15;Anexos Producto!119-131; M05BE:T02,T08; CAT:03_reglas_clasificación!111;06_enums_catalogos!72. Backend puede inferir nueva semantica = No. Mecanismos derivados documentados en contrato/BDD.</t>
        </is>
      </c>
      <c r="H46" s="39" t="inlineStr">
        <is>
          <t>TC-M06-026; TC-M06-027; TC-M06-030; TC-M06-028; TC-M06-029; TC-M06-031; TC-M06-033</t>
        </is>
      </c>
      <c r="I46" s="39" t="inlineStr">
        <is>
          <t>M06-TR-024; M06-TR-025; M06-TR-026; M06-TR-027; M06-TR-028; M06-TR-053</t>
        </is>
      </c>
      <c r="J46" s="39" t="inlineStr">
        <is>
          <t>CTA segun cobertura y contrato; sin acción nueva.</t>
        </is>
      </c>
      <c r="K46" s="39" t="inlineStr">
        <is>
          <t>M06</t>
        </is>
      </c>
      <c r="L46" s="39" t="inlineStr">
        <is>
          <t>Definido</t>
        </is>
      </c>
      <c r="M46" s="39" t="inlineStr">
        <is>
          <t>D-CL-M06-02</t>
        </is>
      </c>
      <c r="N46" s="39" t="inlineStr">
        <is>
          <t>Media</t>
        </is>
      </c>
      <c r="O46" s="39" t="inlineStr">
        <is>
          <t>Walvy_M06_Documentacion_Funcional_Consolidada_v1.0.docx</t>
        </is>
      </c>
      <c r="P46" s="39" t="inlineStr">
        <is>
          <t>CT-M06-15; CT-M06-17</t>
        </is>
      </c>
    </row>
    <row r="47" ht="140" customHeight="1">
      <c r="A47" s="38" t="inlineStr">
        <is>
          <t>M06-RGL-043</t>
        </is>
      </c>
      <c r="B47" s="38" t="inlineStr">
        <is>
          <t>Subcategoría gobernada</t>
        </is>
      </c>
      <c r="C47" s="38" t="inlineStr">
        <is>
          <t>UX / dato</t>
        </is>
      </c>
      <c r="D47" s="38" t="inlineStr">
        <is>
          <t>M06 invoca categorizacion transversal bajo parent existente, permiso, unicidad normalizada y estado gobernado. No crea categoría maestra ni ID ficticio; la decision/catalogo gobierna disponibilidad. CT-M06-15. TX-007: maximo 5 subcategorias personalizadas activas por categoria/usuario. 4 permite quinta; 5 bloquea sexta; editar no suma cupo; reactivar cuenta. Validación atomica y dedupe transversales; M06 muestra límite sin perder formulario.
Precision: Crear subcategoria reutiliza catalogo y retorna seleccionada tras exito; maximo cinco activas por categoria/usuario; no consumo adicional por editar ni por retry.</t>
        </is>
      </c>
      <c r="E47" s="38" t="inlineStr">
        <is>
          <t>Aplicar contrato y casos asociados; no prueba ejecutada.</t>
        </is>
      </c>
      <c r="F47" s="38" t="inlineStr">
        <is>
          <t>Walvy_M06_Documentacion_Funcional_Consolidada_v1.0.docx</t>
        </is>
      </c>
      <c r="G47" s="38" t="inlineStr">
        <is>
          <t>Contrato vigente: CT-M06-15, CT-M06-17. Fuente: HOME; M01:Reglas Walvy!15;Anexos Producto!119-131; M05BE:T02,T08; CAT:03_reglas_clasificación!111;06_enums_catalogos!72. Backend puede inferir nueva semantica = No. Mecanismos derivados documentados en contrato/BDD. Fuente adicional: CAT:03_reglas_clasificación!11 (TX-007); 05_modelo_bbdd!12/19; 07_mvp_vs_backlog!6</t>
        </is>
      </c>
      <c r="H47" s="38" t="inlineStr">
        <is>
          <t>TC-M06-003</t>
        </is>
      </c>
      <c r="I47" s="38" t="inlineStr">
        <is>
          <t>M06-TR-008</t>
        </is>
      </c>
      <c r="J47" s="38" t="inlineStr">
        <is>
          <t>CTA segun cobertura y contrato; sin acción nueva.</t>
        </is>
      </c>
      <c r="K47" s="38" t="inlineStr">
        <is>
          <t>Capacidad transversal / M05 -&gt; M06</t>
        </is>
      </c>
      <c r="L47" s="38" t="inlineStr">
        <is>
          <t>Definido</t>
        </is>
      </c>
      <c r="M47" s="38" t="inlineStr">
        <is>
          <t>D-CL-M06-03</t>
        </is>
      </c>
      <c r="N47" s="38" t="inlineStr">
        <is>
          <t>Media</t>
        </is>
      </c>
      <c r="O47" s="38" t="inlineStr">
        <is>
          <t>Walvy_M06_Documentacion_Funcional_Consolidada_v1.0.docx</t>
        </is>
      </c>
      <c r="P47" s="38" t="inlineStr">
        <is>
          <t>CT-M06-15; CT-M06-17</t>
        </is>
      </c>
    </row>
    <row r="48" ht="56" customHeight="1">
      <c r="A48" s="39" t="inlineStr">
        <is>
          <t>M06-RGL-044</t>
        </is>
      </c>
      <c r="B48" s="39" t="inlineStr">
        <is>
          <t>N° de cliente no exigible</t>
        </is>
      </c>
      <c r="C48" s="39" t="inlineStr">
        <is>
          <t>Materialización / dato</t>
        </is>
      </c>
      <c r="D48" s="39" t="inlineStr">
        <is>
          <t>Número de cliente excluido del MVP: no solicitar, persistir ni reenviar. No se admite como campo opcional residual. Referencia técnica mínima no contiene ese dato excluido. CT-M06-03/16.</t>
        </is>
      </c>
      <c r="E48" s="39" t="inlineStr">
        <is>
          <t>Aplicar contrato y casos asociados; no prueba ejecutada.</t>
        </is>
      </c>
      <c r="F48" s="39" t="inlineStr">
        <is>
          <t>Walvy_M06_Documentacion_Funcional_Consolidada_v1.0.docx</t>
        </is>
      </c>
      <c r="G48" s="39" t="inlineStr">
        <is>
          <t>Contrato vigente: CT-M06-03, CT-M06-16. Fuente: F1:T23; F3:T03,T05; F5:T18; BTR:02_Reglas_Walvy; PDI:01_Matriz_Maestra. Backend puede inferir nueva semantica = No. Mecanismos derivados documentados en contrato/BDD.</t>
        </is>
      </c>
      <c r="H48" s="39" t="inlineStr">
        <is>
          <t>TC-M06-002</t>
        </is>
      </c>
      <c r="I48" s="39" t="inlineStr">
        <is>
          <t>M06-TR-009</t>
        </is>
      </c>
      <c r="J48" s="39" t="inlineStr">
        <is>
          <t>CTA segun cobertura y contrato; sin acción nueva.</t>
        </is>
      </c>
      <c r="K48" s="39" t="inlineStr">
        <is>
          <t>M06</t>
        </is>
      </c>
      <c r="L48" s="39" t="inlineStr">
        <is>
          <t>Definido</t>
        </is>
      </c>
      <c r="M48" s="39" t="inlineStr">
        <is>
          <t>OBS-M06-FIG-02</t>
        </is>
      </c>
      <c r="N48" s="39" t="inlineStr">
        <is>
          <t>Media</t>
        </is>
      </c>
      <c r="O48" s="39" t="inlineStr">
        <is>
          <t>Walvy_M06_Documentacion_Funcional_Consolidada_v1.0.docx</t>
        </is>
      </c>
      <c r="P48" s="39" t="inlineStr">
        <is>
          <t>CT-M06-03; CT-M06-16</t>
        </is>
      </c>
    </row>
  </sheetData>
  <autoFilter ref="A4:P48"/>
  <mergeCells count="2">
    <mergeCell ref="A1:P1"/>
    <mergeCell ref="A2:P2"/>
  </mergeCells>
  <pageMargins left="0.75" right="0.75" top="1" bottom="1" header="0.5" footer="0.5"/>
  <pageSetup orientation="landscape" paperSize="8" fitToHeight="0" fitToWidth="1"/>
</worksheet>
</file>

<file path=xl/worksheets/walvy_extra_8.xml><?xml version="1.0" encoding="utf-8"?>
<worksheet xmlns="http://schemas.openxmlformats.org/spreadsheetml/2006/main">
  <sheetPr>
    <outlinePr summaryBelow="1" summaryRight="1"/>
    <pageSetUpPr fitToPage="1"/>
  </sheetPr>
  <dimension ref="A1:J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44" customWidth="1" min="2" max="2"/>
    <col width="60" customWidth="1" min="3" max="3"/>
    <col width="100" customWidth="1" min="4" max="4"/>
    <col width="85" customWidth="1" min="5" max="5"/>
    <col width="34" customWidth="1" min="6" max="6"/>
    <col width="40" customWidth="1" min="7" max="7"/>
    <col width="44" customWidth="1" min="8" max="8"/>
    <col width="44" customWidth="1" min="9" max="9"/>
    <col width="70" customWidth="1" min="10" max="10"/>
  </cols>
  <sheetData>
    <row r="1" ht="30" customHeight="1">
      <c r="A1" s="35" t="inlineStr">
        <is>
          <t>M06 | Ajustes Figma ya identificados</t>
        </is>
      </c>
    </row>
    <row r="2" ht="38" customHeight="1">
      <c r="A2" s="36" t="inlineStr">
        <is>
          <t>Estas15 solicitudes son el mismo registro Figma entregado, no15 brechas nuevas ni evidencia de ejecucion.</t>
        </is>
      </c>
    </row>
    <row r="4" ht="38" customHeight="1">
      <c r="A4" s="37" t="inlineStr">
        <is>
          <t>ID existente</t>
        </is>
      </c>
      <c r="B4" s="37" t="inlineStr">
        <is>
          <t>Ajuste</t>
        </is>
      </c>
      <c r="C4" s="37" t="inlineStr">
        <is>
          <t>Ubicacion</t>
        </is>
      </c>
      <c r="D4" s="37" t="inlineStr">
        <is>
          <t>Acción requerida</t>
        </is>
      </c>
      <c r="E4" s="37" t="inlineStr">
        <is>
          <t>Criterios de aceptacion</t>
        </is>
      </c>
      <c r="F4" s="37" t="inlineStr">
        <is>
          <t>Responsable</t>
        </is>
      </c>
      <c r="G4" s="37" t="inlineStr">
        <is>
          <t>Estado</t>
        </is>
      </c>
      <c r="H4" s="37" t="inlineStr">
        <is>
          <t>Impacto</t>
        </is>
      </c>
      <c r="I4" s="37" t="inlineStr">
        <is>
          <t>Contrato</t>
        </is>
      </c>
      <c r="J4" s="37" t="inlineStr">
        <is>
          <t>Fuente visual</t>
        </is>
      </c>
    </row>
    <row r="5" ht="168" customHeight="1">
      <c r="A5" s="38" t="inlineStr">
        <is>
          <t>FG-M06-ING-02</t>
        </is>
      </c>
      <c r="B5" s="38" t="inlineStr">
        <is>
          <t>Carga compartida, errores y avance parcial</t>
        </is>
      </c>
      <c r="C5" s="38" t="inlineStr">
        <is>
          <t>Entrada sin datos; lista de archivos; acciones de cada archivo; pie Siguiente; pantalla de análisis.</t>
        </is>
      </c>
      <c r="D5" s="38" t="inlineStr">
        <is>
          <t>Conectar Cargar compromisos con Carga tus compromisos. Reutilizar el componente transversal; distinguir Subiendo, Procesando, Leído, Requiere clave y No pudimos leer este archivo. Mostrar Corregir clave, Reintentar, Reemplazar o Retirar según causa, preservando los archivos utilizables. Con resultado parcial: Podemos continuar con la información disponible. Los archivos pendientes no se incluirán. El ingreso manual sigue disponible. Mostrar límites reales de la configuración compartida, no convertir 15/30 MB del ejemplo en contrato.</t>
        </is>
      </c>
      <c r="E5" s="38" t="inlineStr">
        <is>
          <t>Un error de un archivo no borra los otros ni confirma compromisos.
Sin insumo utilizable no hay análisis exitoso; con al menos uno, continuar informa exclusiones.
Cancelar/reintentar no duplica resultados y una respuesta tardía no consolida lo cancelado.
La clave no aparece en logs, eventos ni persistencia de M06.</t>
        </is>
      </c>
      <c r="F5" s="38" t="inlineStr">
        <is>
          <t>UX/Kabeli; desarrollo para comportamiento</t>
        </is>
      </c>
      <c r="G5" s="38" t="inlineStr">
        <is>
          <t>Pendiente materializacion; definición cerrada</t>
        </is>
      </c>
      <c r="H5" s="38" t="inlineStr">
        <is>
          <t>Bloquea cierre visual, no define nueva regla</t>
        </is>
      </c>
      <c r="I5" s="38" t="inlineStr">
        <is>
          <t>CT-M06-04; CT-M06-16; CT-M06-17</t>
        </is>
      </c>
      <c r="J5" s="38" t="inlineStr">
        <is>
          <t>ZIP entrada 000: Carga.png; ZIP entrada 007: Onboarding Deudas - 1. Carga de documentos.png; ZIP entrada 008: Onboarding Deudas - 1. Carga de documentos-1.png; ZIP entrada 009: Onboarding Deudas - 1. Carga de documentos-2.png; ZIP entrada 010: Onboarding Deudas - 1. Carga de documentos-3.png; ZIP entrada 011: Onboarding Deudas - 1. Carga de documentos-4.png; ZIP entrada 012: Onboarding Deudas - 1. Carga de documentos-5.png; ZIP entrada 013: Onboarding Deudas - 1. Carga de documentos-6.png; ZIP entrada 014: Onboarding Deudas - 1. Carga de documentos-7.png; ZIP entrada 015: Onboarding Deudas - 1. Carga de documentos-8.png; ZIP entrada 032: Documentación.png; ZIP entrada 036: Onboarding_Analizando.png</t>
        </is>
      </c>
    </row>
    <row r="6" ht="98" customHeight="1">
      <c r="A6" s="39" t="inlineStr">
        <is>
          <t>FG-M06-MANUAL-02</t>
        </is>
      </c>
      <c r="B6" s="39" t="inlineStr">
        <is>
          <t>Guardar borrador y distinguir datos por uso</t>
        </is>
      </c>
      <c r="C6" s="39" t="inlineStr">
        <is>
          <t>Formulario manual, asteriscos y footer; tarjeta de registro incompleto al volver a carga.</t>
        </is>
      </c>
      <c r="D6" s="39" t="inlineStr">
        <is>
          <t>Usar Agregar compromiso manual. Retirar N.º de cliente. Nombre/identificador y fecha aplicable exacta habilitan consolidar, junto con origen asignado por sistema; Monto es opcional, y categoría/subcategoría no son un requisito universal. Diferenciar Guardar pendiente (borrador recuperable) de Guardar (compromiso consolidado). Un formulario vacío no presenta éxito ni crea un compromiso. Guardar y agregar otro conserva el estado del primer registro y limpia solo el nuevo. Mostrar Completar datos en el borrador; no contar borradores en el resumen del mes.</t>
        </is>
      </c>
      <c r="E6" s="39" t="inlineStr">
        <is>
          <t>Guardar un borrador no lo vuelve activo ni temporalmente vencido.
Al reabrir se conservan los datos conocidos; null no se convierte en cero.
Una cuenta con nombre y fecha exacta puede consolidarse sin monto.
Cancelar el segundo formulario no revierte el primero.</t>
        </is>
      </c>
      <c r="F6" s="39" t="inlineStr">
        <is>
          <t>UX/Kabeli; desarrollo para comportamiento</t>
        </is>
      </c>
      <c r="G6" s="39" t="inlineStr">
        <is>
          <t>Pendiente materializacion; definición cerrada</t>
        </is>
      </c>
      <c r="H6" s="39" t="inlineStr">
        <is>
          <t>Bloquea cierre visual, no define nueva regla</t>
        </is>
      </c>
      <c r="I6" s="39" t="inlineStr">
        <is>
          <t>CT-M06-03; CT-M06-09</t>
        </is>
      </c>
      <c r="J6" s="39" t="inlineStr">
        <is>
          <t>ZIP entrada 016: Sheet_Compromiso Manual_Ingresar datos.png; ZIP entrada 017: Sheet_Compromiso Manual_Ingresar datos-1.png; ZIP entrada 018: Sheet_Compromiso Manual_Ingresar datos-2.png; ZIP entrada 007: Onboarding Deudas - 1. Carga de documentos.png; ZIP entrada 014: Onboarding Deudas - 1. Carga de documentos-7.png; ZIP entrada 015: Onboarding Deudas - 1. Carga de documentos-8.png</t>
        </is>
      </c>
    </row>
    <row r="7" ht="84" customHeight="1">
      <c r="A7" s="38" t="inlineStr">
        <is>
          <t>FG-M06-SUBCAT-02</t>
        </is>
      </c>
      <c r="B7" s="38" t="inlineStr">
        <is>
          <t>Crear subcategoría y regresar sin perder datos</t>
        </is>
      </c>
      <c r="C7" s="38" t="inlineStr">
        <is>
          <t>Selector de categoría, opción Crear subcategoría y campo de nombre.</t>
        </is>
      </c>
      <c r="D7" s="38" t="inlineStr">
        <is>
          <t>Con categoría seleccionada, abrir Crear subcategoría mediante el componente compartido. Validar nombre no vacío, unicidad normalizada y cupo de cinco activas por categoría/usuario. Al guardar con éxito volver al formulario con la nueva subcategoría seleccionada y todos sus datos conservados. Cancelar vuelve sin crear. Ante error conservar nombre y formulario; explicar Ya existe esta subcategoría o Alcanzaste el límite de subcategorías. No crear un catálogo propio de M06.</t>
        </is>
      </c>
      <c r="E7" s="38" t="inlineStr">
        <is>
          <t>Con cuatro activas se admite una quinta; con cinco no se admite una sexta.
Reintento o dos altas concurrentes no exceden el cupo ni duplican.
Editar no consume otro cupo; reactivar sí cuenta.
Cambiar categoría invalida solo una subcategoría incompatible, no los otros datos.</t>
        </is>
      </c>
      <c r="F7" s="38" t="inlineStr">
        <is>
          <t>UX/Kabeli; desarrollo para comportamiento</t>
        </is>
      </c>
      <c r="G7" s="38" t="inlineStr">
        <is>
          <t>Pendiente materializacion; definición cerrada</t>
        </is>
      </c>
      <c r="H7" s="38" t="inlineStr">
        <is>
          <t>Bloquea cierre visual, no define nueva regla</t>
        </is>
      </c>
      <c r="I7" s="38" t="inlineStr">
        <is>
          <t>CT-M06-15</t>
        </is>
      </c>
      <c r="J7" s="38" t="inlineStr">
        <is>
          <t>ZIP entrada 016: Sheet_Compromiso Manual_Ingresar datos.png; ZIP entrada 017: Sheet_Compromiso Manual_Ingresar datos-1.png; ZIP entrada 018: Sheet_Compromiso Manual_Ingresar datos-2.png; ZIP entrada 070: Sheet_Revisar pago detectado.png</t>
        </is>
      </c>
    </row>
    <row r="8" ht="112" customHeight="1">
      <c r="A8" s="39" t="inlineStr">
        <is>
          <t>FG-M06-KPI-02</t>
        </is>
      </c>
      <c r="B8" s="39" t="inlineStr">
        <is>
          <t>Resumen mensual y porcentaje coherentes</t>
        </is>
      </c>
      <c r="C8" s="39" t="inlineStr">
        <is>
          <t>Card Tus compromisos: denominador, porcentaje, etiqueta y subcontadores.</t>
        </is>
      </c>
      <c r="D8" s="39" t="inlineStr">
        <is>
          <t>Mantener la semántica Compromisos al día: (total del mes menos vencidos del mes) / total del mes. Para el ejemplo 17/2, mostrar 88%, no 29%. Los valores son ilustrativos; no fijarlos en desarrollo. Con total cero mostrar Sin compromisos confirmados en este período y omitir porcentaje. Usar Compromisos del mes; Confirmados no debe parecer otro estado temporal. Explicar al día como no vencidos, no como pagados. Los subcontadores particionan el mismo universo y no suman candidatos por revisar.</t>
        </is>
      </c>
      <c r="E8" s="39" t="inlineStr">
        <is>
          <t>17=2 vencidos+10 próximos+5 pagados; al día=15/17, redondeado 88%.
Con cero no mostrar 0% ni 100%.
Pagos efectuados y compromisos no vencidos no comparten el mismo numerador.
Cambiar mes, fecha, pago o reversión recalcula desde datos actuales.</t>
        </is>
      </c>
      <c r="F8" s="39" t="inlineStr">
        <is>
          <t>UX/Kabeli; desarrollo para comportamiento</t>
        </is>
      </c>
      <c r="G8" s="39" t="inlineStr">
        <is>
          <t>Pendiente materializacion; definición cerrada</t>
        </is>
      </c>
      <c r="H8" s="39" t="inlineStr">
        <is>
          <t>Bloquea cierre visual, no define nueva regla</t>
        </is>
      </c>
      <c r="I8" s="39" t="inlineStr">
        <is>
          <t>CT-M06-09</t>
        </is>
      </c>
      <c r="J8" s="39" t="inlineStr">
        <is>
          <t>ZIP entrada 050: M6 - Pantalla ppal.png; ZIP entrada 051: Pantalla ppal-1.png; ZIP entrada 052: Pantalla ppal-2.png; ZIP entrada 053: Pantalla ppal-3.png; ZIP entrada 054: Pantalla ppal-4.png; ZIP entrada 055: Pantalla ppal-5.png; ZIP entrada 056: Pantalla ppal-6.png; ZIP entrada 090: datos insuficientes.png; ZIP entrada 092: sin pagos vencidos.png; ZIP entrada 095: Sin pagos vencidos.png; ZIP entrada 098: Datos insuficientes.png</t>
        </is>
      </c>
    </row>
    <row r="9" ht="168" customHeight="1">
      <c r="A9" s="38" t="inlineStr">
        <is>
          <t>FG-M06-STATUS-02</t>
        </is>
      </c>
      <c r="B9" s="38" t="inlineStr">
        <is>
          <t>Estados, badges y avisos sin duplicidad</t>
        </is>
      </c>
      <c r="C9" s="38" t="inlineStr">
        <is>
          <t>Badges y su leyenda; panel de estado; variantes sin datos/sin vencidos; aviso in-app.</t>
        </is>
      </c>
      <c r="D9" s="38" t="inlineStr">
        <is>
          <t>Separar estado (Pendiente, Próximo, Vencido, Pagado, Por revisar), severidad local, origen y calidad. Sin vencidos no significa salud financiera global verde. No derivar color de un 29% ni de un importe ilustrativo. Aplicar tokens visuales de estado/severidad del sistema, con etiqueta textual. Componer variantes sin registros, solo candidatos, sin compromisos del período, sin próximos y sin vencidos. Un banner de esta pantalla debe aportar una necesidad/acción no resuelta ya por el bloque visible equivalente; suprimir esa repetición visual no cierra la situación ni modifica M02/M03.</t>
        </is>
      </c>
      <c r="E9" s="38" t="inlineStr">
        <is>
          <t>Origen Manual/Documento no es un nivel de confianza.
Falta de monto no borra un vencimiento cierto ni genera criticidad por sí sola.
El estado vacío no contiene una obligación ficticia ni un porcentaje.
La misma necesidad no ocupa banner y acción redundante en la superficie actual.</t>
        </is>
      </c>
      <c r="F9" s="38" t="inlineStr">
        <is>
          <t>UX/Kabeli; desarrollo para comportamiento</t>
        </is>
      </c>
      <c r="G9" s="38" t="inlineStr">
        <is>
          <t>Pendiente materializacion; definición cerrada</t>
        </is>
      </c>
      <c r="H9" s="38" t="inlineStr">
        <is>
          <t>Bloquea cierre visual, no define nueva regla</t>
        </is>
      </c>
      <c r="I9" s="38" t="inlineStr">
        <is>
          <t>CT-M06-02; CT-M06-07; CT-M06-09; CT-M06-10; CT-M06-14</t>
        </is>
      </c>
      <c r="J9" s="38" t="inlineStr">
        <is>
          <t>ZIP entrada 001: Pantalla ppal.png; ZIP entrada 002: variantes Pantalla ppal.png; ZIP entrada 050: M6 - Pantalla ppal.png; ZIP entrada 051: Pantalla ppal-1.png; ZIP entrada 052: Pantalla ppal-2.png; ZIP entrada 053: Pantalla ppal-3.png; ZIP entrada 054: Pantalla ppal-4.png; ZIP entrada 055: Pantalla ppal-5.png; ZIP entrada 056: Pantalla ppal-6.png; ZIP entrada 088: Documentación-1.png; ZIP entrada 090: datos insuficientes.png; ZIP entrada 091: sin detectados por revisar.png; ZIP entrada 092: sin pagos vencidos.png; ZIP entrada 093: Documentación-2.png; ZIP entrada 094: Documentación-3.png; ZIP entrada 095: Sin pagos vencidos.png; ZIP entrada 098: Datos insuficientes.png</t>
        </is>
      </c>
    </row>
    <row r="10" ht="126" customHeight="1">
      <c r="A10" s="39" t="inlineStr">
        <is>
          <t>FG-M06-NAV-02</t>
        </is>
      </c>
      <c r="B10" s="39" t="inlineStr">
        <is>
          <t>Conectores, acción Revisar y retornos</t>
        </is>
      </c>
      <c r="C10" s="39" t="inlineStr">
        <is>
          <t>Todos mis compromisos, Ver detalle, Revisar, Ver más, Ver historial y retorno.</t>
        </is>
      </c>
      <c r="D10" s="39" t="inlineStr">
        <is>
          <t>Completar el mapa usando las superficies existentes. Ver detalle abre el compromiso seleccionado; Ver historial abre historial con contexto; Ver más expande o abre la lista del mismo bloque. Revisar enruta por tipo de candidato (dato detectado, duplicado o recurrencia), sin tratar las tres acciones como confirmación genérica. Volver/Cancelar retorna al origen con mes, filtros y selección conservados y estado actualizado. Un registro ya resuelto entre tanto muestra su estado vigente, no una acción obsoleta.</t>
        </is>
      </c>
      <c r="E10" s="39" t="inlineStr">
        <is>
          <t>Cada CTA tiene entrada, destino, cancelación y resultado observable.
Abrir una lista/detalle no confirma ni paga.
Las entradas equivalentes reutilizan el mismo flujo, sin pantallas duplicadas.
La falta de conector en el export se corrige como materialización, no como ausencia demostrada de backend.</t>
        </is>
      </c>
      <c r="F10" s="39" t="inlineStr">
        <is>
          <t>UX/Kabeli; desarrollo para comportamiento</t>
        </is>
      </c>
      <c r="G10" s="39" t="inlineStr">
        <is>
          <t>Pendiente materializacion; definición cerrada</t>
        </is>
      </c>
      <c r="H10" s="39" t="inlineStr">
        <is>
          <t>Bloquea cierre visual, no define nueva regla</t>
        </is>
      </c>
      <c r="I10" s="39" t="inlineStr">
        <is>
          <t>CT-M06-05; CT-M06-15; CT-M06-17</t>
        </is>
      </c>
      <c r="J10" s="39" t="inlineStr">
        <is>
          <t>ZIP entrada 001: Pantalla ppal.png; ZIP entrada 003: Historial de pagos y estados.png; ZIP entrada 004: Todos mis compromisos.png; ZIP entrada 005: detalle de compromiso.png; ZIP entrada 006: pagos.png; ZIP entrada 044: Filtro_ todos.png; ZIP entrada 048: Filtro_ vencidos.png; ZIP entrada 049: Filtro_ por revisar.png; ZIP entrada 050: M6 - Pantalla ppal.png; ZIP entrada 105: Historial de pagos y estados-1.png; ZIP entrada 109: Historial de pagos y estados-2.png</t>
        </is>
      </c>
    </row>
    <row r="11" ht="84" customHeight="1">
      <c r="A11" s="38" t="inlineStr">
        <is>
          <t>FG-M06-PARCIAL-01</t>
        </is>
      </c>
      <c r="B11" s="38" t="inlineStr">
        <is>
          <t>Pago completo, parcial y múltiples abonos</t>
        </is>
      </c>
      <c r="C11" s="38" t="inlineStr">
        <is>
          <t>Sheet Registrar pago realizado; importe y confirmación; detalle de abonos.</t>
        </is>
      </c>
      <c r="D11" s="38" t="inlineStr">
        <is>
          <t>Reutilizar Registrar pago realizado para elegir pago completo o ingresar el abono conocido realizado fuera de Walvy. Mostrar total/saldo cuando sean calculables y listar los abonos vigentes con su fecha/origen. No forzar un total inventado. El parcial mantiene saldo y estado temporal mientras falte liquidación suficiente. Registrar nuevos abonos, corregir y revertir usan el mismo flujo, con efectos una sola vez. Copy recomendado de acción: Registrar pago realizado.</t>
        </is>
      </c>
      <c r="E11" s="38" t="inlineStr">
        <is>
          <t>100 de total y 30 de abono deja 70; no muestra Pagado ni cierra aviso vencido.
Abonos 30+70 producen saldo cero, sin duplicarse por reintento.
Total desconocido permite guardar hecho conocido, no calcular saldo ficticio.
No se ejecuta pago bancario ni se crea doble gasto M05 por pago de cartola.</t>
        </is>
      </c>
      <c r="F11" s="38" t="inlineStr">
        <is>
          <t>UX/Kabeli; desarrollo para comportamiento</t>
        </is>
      </c>
      <c r="G11" s="38" t="inlineStr">
        <is>
          <t>Pendiente materializacion; definición cerrada</t>
        </is>
      </c>
      <c r="H11" s="38" t="inlineStr">
        <is>
          <t>Bloquea cierre visual, no define nueva regla</t>
        </is>
      </c>
      <c r="I11" s="38" t="inlineStr">
        <is>
          <t>CT-M06-06; CT-M06-12; CT-M06-13</t>
        </is>
      </c>
      <c r="J11" s="38" t="inlineStr">
        <is>
          <t>ZIP entrada 071: Sheet - Registrar pago realizado.png; ZIP entrada 072: Sheet - Detalle del pago realizado.png; ZIP entrada 075: Snackbar_success.png; ZIP entrada 076: Snackbar_success-1.png; ZIP entrada 077: Detalle del pago realizado.png; ZIP entrada 078: Registrar pago realizado.png</t>
        </is>
      </c>
    </row>
    <row r="12" ht="112" customHeight="1">
      <c r="A12" s="39" t="inlineStr">
        <is>
          <t>FG-M06-PAY-POST-02</t>
        </is>
      </c>
      <c r="B12" s="39" t="inlineStr">
        <is>
          <t>Resultado del pago y reversibilidad visibles</t>
        </is>
      </c>
      <c r="C12" s="39" t="inlineStr">
        <is>
          <t>Snackbar y detalle/lista inmediatamente después de confirmar, editar o descartar pago.</t>
        </is>
      </c>
      <c r="D12" s="39" t="inlineStr">
        <is>
          <t>Mostrar Pago registrado junto con el detalle/lista efectivamente actualizado. Solo liquidación suficiente cambia a Pagado; un abono parcial conserva el saldo y la acción pendiente. Desde Ver detalle del pago, conectar Editar datos y Descartar pago, con confirmación del efecto y retorno. Revertir recalcula con la fecha actual; no restaura un color guardado. Ante fallo no mostrar éxito ni limpiar el formulario.</t>
        </is>
      </c>
      <c r="E12" s="39" t="inlineStr">
        <is>
          <t>El postestado coincide con la persistencia; no depende de recargar manualmente.
Al resolver el último vencido se actualiza el resumen/variante.
Descartar un registro propio revierte su asignación, no borra el movimiento bancario real.
Una reversión puede reactivar necesidad de revisión/vencimiento.</t>
        </is>
      </c>
      <c r="F12" s="39" t="inlineStr">
        <is>
          <t>UX/Kabeli; desarrollo para comportamiento</t>
        </is>
      </c>
      <c r="G12" s="39" t="inlineStr">
        <is>
          <t>Pendiente materializacion; definición cerrada</t>
        </is>
      </c>
      <c r="H12" s="39" t="inlineStr">
        <is>
          <t>Bloquea cierre visual, no define nueva regla</t>
        </is>
      </c>
      <c r="I12" s="39" t="inlineStr">
        <is>
          <t>CT-M06-06; CT-M06-09; CT-M06-14; CT-M06-17</t>
        </is>
      </c>
      <c r="J12" s="39" t="inlineStr">
        <is>
          <t>ZIP entrada 045: vencido desplegado.png; ZIP entrada 046: vencido colapsado.png; ZIP entrada 047: pagado.png; ZIP entrada 071: Sheet - Registrar pago realizado.png; ZIP entrada 072: Sheet - Detalle del pago realizado.png; ZIP entrada 075: Snackbar_success.png; ZIP entrada 076: Snackbar_success-1.png; ZIP entrada 077: Detalle del pago realizado.png; ZIP entrada 078: Registrar pago realizado.png; ZIP entrada 082: Editar datos de pago realizado.png</t>
        </is>
      </c>
    </row>
    <row r="13" ht="112" customHeight="1">
      <c r="A13" s="38" t="inlineStr">
        <is>
          <t>FG-M06-REVIEW-02</t>
        </is>
      </c>
      <c r="B13" s="38" t="inlineStr">
        <is>
          <t>Confirmar, corregir y descartar detectados</t>
        </is>
      </c>
      <c r="C13" s="38" t="inlineStr">
        <is>
          <t>Sheet Revisar pago detectado: campos faltantes, origen y footer.</t>
        </is>
      </c>
      <c r="D13" s="38" t="inlineStr">
        <is>
          <t>Conservar la corrección en los campos existentes; no es obligatorio agregar otro boton Corregir si la edicion inline resuelve la acción. Ofrecer Descartar candidato ademas de Confirmar. Retirar N. de cliente; validar los mínimos segun el objeto y no exigir categoria, subcategoria o frecuencia como requisitos universales. Distinguir Fecha del pago de Fecha de vencimiento. Confirmar aplica el resultado al compromiso o pago correspondiente solo con base suficiente. Cancelar no decide. Un candidato no cuenta como compromiso del mes hasta consolidarse; conservar origen y valores detectados.</t>
        </is>
      </c>
      <c r="E13" s="38" t="inlineStr">
        <is>
          <t>Mientras el candidato no esté consolidado no entra al denominador mensual.
Cancelar no confirma; Corregir conserva origen; Descartar no revive por retry.
La ausencia de datos mantiene revisión y orienta a completar lo necesario.
Las colas de duplicado y recurrencia no inflan el contador genérico de detectados.</t>
        </is>
      </c>
      <c r="F13" s="38" t="inlineStr">
        <is>
          <t>UX/Kabeli; desarrollo para comportamiento</t>
        </is>
      </c>
      <c r="G13" s="38" t="inlineStr">
        <is>
          <t>Pendiente materializacion; definición cerrada</t>
        </is>
      </c>
      <c r="H13" s="38" t="inlineStr">
        <is>
          <t>Bloquea cierre visual, no define nueva regla</t>
        </is>
      </c>
      <c r="I13" s="38" t="inlineStr">
        <is>
          <t>CT-M06-03; CT-M06-05; CT-M06-09; CT-M06-17</t>
        </is>
      </c>
      <c r="J13" s="38" t="inlineStr">
        <is>
          <t>ZIP entrada 049: Filtro_ por revisar.png; ZIP entrada 070: Sheet_Revisar pago detectado.png; ZIP entrada 079: Revisar pago detectado.png</t>
        </is>
      </c>
    </row>
    <row r="14" ht="70" customHeight="1">
      <c r="A14" s="39" t="inlineStr">
        <is>
          <t>FG-M06-DUP-02</t>
        </is>
      </c>
      <c r="B14" s="39" t="inlineStr">
        <is>
          <t>Duplicados: mismo, distintos o descartar candidato</t>
        </is>
      </c>
      <c r="C14" s="39" t="inlineStr">
        <is>
          <t>Comparación de las dos fuentes y acciones inferiores.</t>
        </is>
      </c>
      <c r="D14" s="39" t="inlineStr">
        <is>
          <t>Conservar Es el mismo pago y Son pagos distintos. Agregar Descartar candidato mediante el menú reutilizable y explicitar cuál propuesta se descarta. No usar Eliminar pago como sinónimo. Mostrar origen/diferencias de cada elemento y retornar a la cola actualizada. Mantener separado el caso cancelar, que no toma decisión.</t>
        </is>
      </c>
      <c r="E14" s="39" t="inlineStr">
        <is>
          <t>Vincular cuenta un solo hecho y conserva las referencias de ambas fuentes.
Distintos conserva ambos; descartar afecta solo la propuesta elegida.
Ninguna opción elimina un movimiento real de otra fuente.
Reintento devuelve la misma resolución.</t>
        </is>
      </c>
      <c r="F14" s="39" t="inlineStr">
        <is>
          <t>UX/Kabeli; desarrollo para comportamiento</t>
        </is>
      </c>
      <c r="G14" s="39" t="inlineStr">
        <is>
          <t>Pendiente materializacion; definición cerrada</t>
        </is>
      </c>
      <c r="H14" s="39" t="inlineStr">
        <is>
          <t>Bloquea cierre visual, no define nueva regla</t>
        </is>
      </c>
      <c r="I14" s="39" t="inlineStr">
        <is>
          <t>CT-M06-05</t>
        </is>
      </c>
      <c r="J14" s="39" t="inlineStr">
        <is>
          <t>ZIP entrada 073: Sheet - Revisar posible pago duplicado.png; ZIP entrada 080: Revisar posible duplicado.png</t>
        </is>
      </c>
    </row>
    <row r="15" ht="98" customHeight="1">
      <c r="A15" s="38" t="inlineStr">
        <is>
          <t>FG-M06-REC-01</t>
        </is>
      </c>
      <c r="B15" s="38" t="inlineStr">
        <is>
          <t>Recurrencia, ancla y fecha pendiente</t>
        </is>
      </c>
      <c r="C15" s="38" t="inlineStr">
        <is>
          <t>Posible pago recurrente: frecuencia, fecha y confirmación.</t>
        </is>
      </c>
      <c r="D15" s="38" t="inlineStr">
        <is>
          <t>Mostrar el día/ancla propuesto y su calidad antes de confirmar. Si se conoce el día pero no existe en el mes, mostrar la fecha ajustada al último día válido, conservando el ancla (31 vuelve a 31 en marzo). Si falta fecha/ancla, ofrecer Confirmar fecha o Completar fecha; no usar fin de mes por defecto. Explicar Pago único: No se repetirá. Esta opción rechaza la recurrencia, no elimina el compromiso. Corregir datos/Descartar candidato se resuelven en el editor/menú común cuando la propuesta no corresponde.</t>
        </is>
      </c>
      <c r="E15" s="38" t="inlineStr">
        <is>
          <t>31 enero -&gt;28/29 febrero -&gt;31 marzo sin cambiar ancla.
Ancla desconocida no produce vencimiento firme ni mora.
Una sola ocurrencia detectada no confirma recurrencia.
Confirmar recurrencia no crea pago automático.</t>
        </is>
      </c>
      <c r="F15" s="38" t="inlineStr">
        <is>
          <t>UX/Kabeli; desarrollo para comportamiento</t>
        </is>
      </c>
      <c r="G15" s="38" t="inlineStr">
        <is>
          <t>Pendiente materializacion; definición cerrada</t>
        </is>
      </c>
      <c r="H15" s="38" t="inlineStr">
        <is>
          <t>Bloquea cierre visual, no define nueva regla</t>
        </is>
      </c>
      <c r="I15" s="38" t="inlineStr">
        <is>
          <t>CT-M06-05; CT-M06-08</t>
        </is>
      </c>
      <c r="J15" s="38" t="inlineStr">
        <is>
          <t>ZIP entrada 074: Sheet - Posible pago recurrente.png; ZIP entrada 081: Revisar posible recurrente.png; ZIP entrada 016: Sheet_Compromiso Manual_Ingresar datos.png; ZIP entrada 017: Sheet_Compromiso Manual_Ingresar datos-1.png; ZIP entrada 018: Sheet_Compromiso Manual_Ingresar datos-2.png</t>
        </is>
      </c>
    </row>
    <row r="16" ht="70" customHeight="1">
      <c r="A16" s="39" t="inlineStr">
        <is>
          <t>FG-M06-MANUAL-EDIT-02</t>
        </is>
      </c>
      <c r="B16" s="39" t="inlineStr">
        <is>
          <t>Editar compromiso manual desde su detalle</t>
        </is>
      </c>
      <c r="C16" s="39" t="inlineStr">
        <is>
          <t>Detalle de compromiso, Editar datos y retorno al origen.</t>
        </is>
      </c>
      <c r="D16" s="39" t="inlineStr">
        <is>
          <t>Reutilizar el patrón de edición existente diferenciando el objeto: Editar compromiso no edita el pago realizado. Cargar campos y versión del compromiso actual, aplicar los mismos mínimos de alta y conservar el contexto. Guardar valida y recalcula; Cancelar no cambia; conflicto de versión muestra información vigente y evita sobrescribir silenciosamente.</t>
        </is>
      </c>
      <c r="E16" s="39" t="inlineStr">
        <is>
          <t>El usuario sabe si edita compromiso, pago o candidato.
Destino y retorno quedan conectados, con estado de error.
Un cambio de fecha actualiza estado/mes sin alterar la fuente original.
No hay nuevo formulario duplicado ni transacción bancaria.</t>
        </is>
      </c>
      <c r="F16" s="39" t="inlineStr">
        <is>
          <t>UX/Kabeli; desarrollo para comportamiento</t>
        </is>
      </c>
      <c r="G16" s="39" t="inlineStr">
        <is>
          <t>Pendiente materializacion; definición cerrada</t>
        </is>
      </c>
      <c r="H16" s="39" t="inlineStr">
        <is>
          <t>Bloquea cierre visual, no define nueva regla</t>
        </is>
      </c>
      <c r="I16" s="39" t="inlineStr">
        <is>
          <t>CT-M06-03; CT-M06-06; CT-M06-17</t>
        </is>
      </c>
      <c r="J16" s="39" t="inlineStr">
        <is>
          <t>ZIP entrada 005: detalle de compromiso.png; ZIP entrada 045: vencido desplegado.png; ZIP entrada 046: vencido colapsado.png; ZIP entrada 069: Sheet_Editar datos del pago realizado.png; ZIP entrada 082: Editar datos de pago realizado.png</t>
        </is>
      </c>
    </row>
    <row r="17" ht="84" customHeight="1">
      <c r="A17" s="38" t="inlineStr">
        <is>
          <t>FG-M06-RUTA-02</t>
        </is>
      </c>
      <c r="B17" s="38" t="inlineStr">
        <is>
          <t>Ruta: separar vínculo activo y entrada elegible</t>
        </is>
      </c>
      <c r="C17" s="38" t="inlineStr">
        <is>
          <t>Banner Compromiso vinculado a Ruta Despeje e Ir a Ruta.</t>
        </is>
      </c>
      <c r="D17" s="38" t="inlineStr">
        <is>
          <t>Mostrar Compromiso vinculado a Ruta Despeje e Ir a mi Ruta solo si M04 confirma Ruta activa y relación vigente con este compromiso. Si M04 devuelve una entrada elegible pero no hay Ruta activa, no mostrar Vinculado: usar exclusivamente la acción de entrada autorizada por M04. Si no es elegible, no existe relación o falta información vigente, ocultar ese bloque; conservar acciones M06. Nunca deducir Ruta desde mora, color, monto o porcentaje local.</t>
        </is>
      </c>
      <c r="E17" s="38" t="inlineStr">
        <is>
          <t>Ruta activa sin relación con este compromiso no genera badge Vinculado.
Elegible no equivale a activa.
Abrir el CTA no activa por sí solo una Ruta.
Volver de M04 conserva contexto y consulta estado actual.</t>
        </is>
      </c>
      <c r="F17" s="38" t="inlineStr">
        <is>
          <t>UX/Kabeli; desarrollo para comportamiento</t>
        </is>
      </c>
      <c r="G17" s="38" t="inlineStr">
        <is>
          <t>Pendiente materializacion; definición cerrada</t>
        </is>
      </c>
      <c r="H17" s="38" t="inlineStr">
        <is>
          <t>Bloquea cierre visual, no define nueva regla</t>
        </is>
      </c>
      <c r="I17" s="38" t="inlineStr">
        <is>
          <t>CT-M06-10; CT-M06-13; CT-M06-17</t>
        </is>
      </c>
      <c r="J17" s="38" t="inlineStr">
        <is>
          <t>ZIP entrada 005: detalle de compromiso.png; ZIP entrada 045: vencido desplegado.png; ZIP entrada 046: vencido colapsado.png; ZIP entrada 047: pagado.png</t>
        </is>
      </c>
    </row>
    <row r="18" ht="140" customHeight="1">
      <c r="A18" s="39" t="inlineStr">
        <is>
          <t>FG-M06-FILTER-02</t>
        </is>
      </c>
      <c r="B18" s="39" t="inlineStr">
        <is>
          <t>Filtros rápidos, avanzados y resultados</t>
        </is>
      </c>
      <c r="C18" s="39" t="inlineStr">
        <is>
          <t>Todos mis compromisos e Historial: chips, panel avanzado, guardar/cancelar y vacío.</t>
        </is>
      </c>
      <c r="D18" s="39" t="inlineStr">
        <is>
          <t>Mostrar Todos, estados disponibles, selección activa, Limpiar filtros, Cancelar y resultado sin coincidencias. En una familia seleccionada usar OR; entre familias, AND. Período inclusivo y coherente con el dato temporal de la vista. Guardar filtros aplica a la consulta actual; no promete persistencia entre sesiones/dispositivos. Cancelar conserva la consulta anterior. Reutilizar el mismo componente y dibujar variantes representativas, no todas las combinaciones.</t>
        </is>
      </c>
      <c r="E18" s="39" t="inlineStr">
        <is>
          <t>Filtrar nunca modifica estado ni borra registros.
Sin coincidencias no equivale a no tener datos.
Volver del detalle conserva filtros/mes de origen.
Los badges de estado y los chips de filtro no mezclan severidad con categoría.</t>
        </is>
      </c>
      <c r="F18" s="39" t="inlineStr">
        <is>
          <t>UX/Kabeli; desarrollo para comportamiento</t>
        </is>
      </c>
      <c r="G18" s="39" t="inlineStr">
        <is>
          <t>Pendiente materializacion; definición cerrada</t>
        </is>
      </c>
      <c r="H18" s="39" t="inlineStr">
        <is>
          <t>Bloquea cierre visual, no define nueva regla</t>
        </is>
      </c>
      <c r="I18" s="39" t="inlineStr">
        <is>
          <t>CT-M06-15; CT-M06-17</t>
        </is>
      </c>
      <c r="J18" s="39" t="inlineStr">
        <is>
          <t>ZIP entrada 044: Filtro_ todos.png; ZIP entrada 048: Filtro_ vencidos.png; ZIP entrada 049: Filtro_ por revisar.png; ZIP entrada 096: Desplegados.png; ZIP entrada 097: Colapsados.png; ZIP entrada 104: Todos mis compromisos-4.png; ZIP entrada 105: Historial de pagos y estados-1.png; ZIP entrada 107: ejemplo filtro de búsqueda avanzada.png; ZIP entrada 108: Lista Desplegada.png; ZIP entrada 109: Historial de pagos y estados-2.png; ZIP entrada 110: Sheet - Búsqueda avanzada.png; ZIP entrada 116: Preview de lista.png; ZIP entrada 043: Estados de subcategorías.png</t>
        </is>
      </c>
    </row>
    <row r="19" ht="70" customHeight="1">
      <c r="A19" s="38" t="inlineStr">
        <is>
          <t>FG-M06-ALERTA-01</t>
        </is>
      </c>
      <c r="B19" s="38" t="inlineStr">
        <is>
          <t>Retirar el control local de alerta del MVP</t>
        </is>
      </c>
      <c r="C19" s="38" t="inlineStr">
        <is>
          <t>Detalle de compromiso y todas sus variantes: Activar alerta.</t>
        </is>
      </c>
      <c r="D19" s="38" t="inlineStr">
        <is>
          <t>Ocultar/retirar Activar alerta y su ayuda en todas las variantes del MVP. No reemplazar por Recordarme este pago ni crear un ajuste individual equivalente. Los avisos automáticos permanecen según M02/M03. Recordarme este pago se conserva exclusivamente en backlog.</t>
        </is>
      </c>
      <c r="E19" s="38" t="inlineStr">
        <is>
          <t>Control ausente en todas las variantes, no solo en la card comentada.
No hay campo activo local_alert requerido en el contrato MVP.
Ausencia del control no desactiva los avisos automáticos.
No se solicita nuevamente la decisión aprobada B.</t>
        </is>
      </c>
      <c r="F19" s="38" t="inlineStr">
        <is>
          <t>UX/Kabeli; desarrollo para comportamiento</t>
        </is>
      </c>
      <c r="G19" s="38" t="inlineStr">
        <is>
          <t>Pendiente materializacion; definición cerrada</t>
        </is>
      </c>
      <c r="H19" s="38" t="inlineStr">
        <is>
          <t>Bloquea cierre visual, no define nueva regla</t>
        </is>
      </c>
      <c r="I19" s="38" t="inlineStr">
        <is>
          <t>CT-M06-14</t>
        </is>
      </c>
      <c r="J19" s="38" t="inlineStr">
        <is>
          <t>ZIP entrada 005: detalle de compromiso.png; ZIP entrada 045: vencido desplegado.png; ZIP entrada 046: vencido colapsado.png; ZIP entrada 047: pagado.png</t>
        </is>
      </c>
    </row>
  </sheetData>
  <autoFilter ref="A4:J19"/>
  <mergeCells count="2">
    <mergeCell ref="A1:J1"/>
    <mergeCell ref="A2:J2"/>
  </mergeCells>
  <pageMargins left="0.75" right="0.75" top="1" bottom="1" header="0.5" footer="0.5"/>
  <pageSetup orientation="landscape" paperSize="8" fitToHeight="0" fitToWidth="1"/>
</worksheet>
</file>

<file path=xl/worksheets/walvy_extra_9.xml><?xml version="1.0" encoding="utf-8"?>
<worksheet xmlns="http://schemas.openxmlformats.org/spreadsheetml/2006/main">
  <sheetPr>
    <outlinePr summaryBelow="1" summaryRight="1"/>
    <pageSetUpPr fitToPage="1"/>
  </sheetPr>
  <dimension ref="A1:V7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s>
  <sheetData>
    <row r="1" ht="30" customHeight="1">
      <c r="A1" s="35" t="inlineStr">
        <is>
          <t>M06 | Cobertura de referencia del contrato</t>
        </is>
      </c>
    </row>
    <row r="2" ht="38" customHeight="1">
      <c r="A2" s="36" t="inlineStr">
        <is>
          <t>73 entradas internas preservadas como referencia. La devolución a Kabeli se opera sobre59 M6-Vxx de la hoja principal. Validación en esta hoja es evidencia futura, no otra decision solicitada.</t>
        </is>
      </c>
    </row>
    <row r="4" ht="38" customHeight="1">
      <c r="A4" s="37" t="inlineStr">
        <is>
          <t>Trace ID</t>
        </is>
      </c>
      <c r="B4" s="37" t="inlineStr">
        <is>
          <t>Flujo / Subflujo</t>
        </is>
      </c>
      <c r="C4" s="37" t="inlineStr">
        <is>
          <t>Variante / Escenario</t>
        </is>
      </c>
      <c r="D4" s="37" t="inlineStr">
        <is>
          <t>Condición / Disparador</t>
        </is>
      </c>
      <c r="E4" s="37" t="inlineStr">
        <is>
          <t>Estado inicial</t>
        </is>
      </c>
      <c r="F4" s="37" t="inlineStr">
        <is>
          <t>Comportamiento esperado</t>
        </is>
      </c>
      <c r="G4" s="37" t="inlineStr">
        <is>
          <t>HU / CA</t>
        </is>
      </c>
      <c r="H4" s="37" t="inlineStr">
        <is>
          <t>RN / BDD origen</t>
        </is>
      </c>
      <c r="I4" s="37" t="inlineStr">
        <is>
          <t>Regla Walvy</t>
        </is>
      </c>
      <c r="J4" s="37" t="inlineStr">
        <is>
          <t>Dato / Cálculo</t>
        </is>
      </c>
      <c r="K4" s="37" t="inlineStr">
        <is>
          <t>CTA / Acción</t>
        </is>
      </c>
      <c r="L4" s="37" t="inlineStr">
        <is>
          <t>Destino</t>
        </is>
      </c>
      <c r="M4" s="37" t="inlineStr">
        <is>
          <t>Retorno / Continuación</t>
        </is>
      </c>
      <c r="N4" s="37" t="inlineStr">
        <is>
          <t>Consumidor</t>
        </is>
      </c>
      <c r="O4" s="37" t="inlineStr">
        <is>
          <t>Dependencia / Owner</t>
        </is>
      </c>
      <c r="P4" s="37" t="inlineStr">
        <is>
          <t>Criterio de aceptación</t>
        </is>
      </c>
      <c r="Q4" s="37" t="inlineStr">
        <is>
          <t>Figma / Frame</t>
        </is>
      </c>
      <c r="R4" s="37" t="inlineStr">
        <is>
          <t>Materialización actual</t>
        </is>
      </c>
      <c r="S4" s="37" t="inlineStr">
        <is>
          <t>Caso(s) de validación</t>
        </is>
      </c>
      <c r="T4" s="37" t="inlineStr">
        <is>
          <t>Validación Cliente</t>
        </is>
      </c>
      <c r="U4" s="37" t="inlineStr">
        <is>
          <t>Decisión / Comentario Walvy</t>
        </is>
      </c>
      <c r="V4" s="37" t="inlineStr">
        <is>
          <t>ID Pendiente / Dependencia</t>
        </is>
      </c>
    </row>
    <row r="5" ht="84" customHeight="1">
      <c r="A5" s="38" t="inlineStr">
        <is>
          <t>M06-TR-001</t>
        </is>
      </c>
      <c r="B5" s="38" t="inlineStr">
        <is>
          <t>R00 · Carga de información · Entrada</t>
        </is>
      </c>
      <c r="C5" s="38" t="inlineStr">
        <is>
          <t>Acceso a carga de compromisos</t>
        </is>
      </c>
      <c r="D5" s="38" t="inlineStr">
        <is>
          <t>Usuario abre carga/importación</t>
        </is>
      </c>
      <c r="E5" s="38" t="inlineStr">
        <is>
          <t>Sin carga</t>
        </is>
      </c>
      <c r="F5" s="38" t="inlineStr">
        <is>
          <t>Carga lista para recibir fuente</t>
        </is>
      </c>
      <c r="G5" s="38" t="inlineStr">
        <is>
          <t>CA-M6-04; CA-M6-15</t>
        </is>
      </c>
      <c r="H5" s="38" t="inlineStr">
        <is>
          <t>RN: R-M6-010; PR-02; PR-07</t>
        </is>
      </c>
      <c r="I5" s="38" t="inlineStr">
        <is>
          <t>M06-RGL-006</t>
        </is>
      </c>
      <c r="J5" s="38" t="n"/>
      <c r="K5" s="38" t="inlineStr">
        <is>
          <t>Adjuntar/cargar fuente</t>
        </is>
      </c>
      <c r="L5" s="38" t="inlineStr">
        <is>
          <t>Procesamiento</t>
        </is>
      </c>
      <c r="M5" s="38" t="inlineStr">
        <is>
          <t>Continuar</t>
        </is>
      </c>
      <c r="N5" s="38" t="inlineStr">
        <is>
          <t>M06</t>
        </is>
      </c>
      <c r="O5" s="38" t="inlineStr">
        <is>
          <t>Capacidad transversal de ingesta</t>
        </is>
      </c>
      <c r="P5" s="38" t="inlineStr">
        <is>
          <t>La carga no confirma pagos ni compromisos por sí sola.</t>
        </is>
      </c>
      <c r="Q5" s="38" t="inlineStr">
        <is>
          <t>Flujo completo 3.0 + Flujo D_M06 - Carga.png</t>
        </is>
      </c>
      <c r="R5" s="38" t="inlineStr">
        <is>
          <t>Revisado en export exacto; ajuste de materializacion pendiente: FG-M06-ING-02</t>
        </is>
      </c>
      <c r="S5" s="38" t="inlineStr">
        <is>
          <t>TC-M06-001</t>
        </is>
      </c>
      <c r="T5" s="38" t="inlineStr">
        <is>
          <t>Pendiente de validación</t>
        </is>
      </c>
      <c r="U5" s="38" t="inlineStr">
        <is>
          <t>Contrato v1.0: CT-M06-02, CT-M06-04. Ver 06_Contrato_Vigente para BDD y fuentes; evidencia runtime pendiente.
Precision post recorrido: Carga compartida, errores y avance parcial [FG-M06-ING-02]</t>
        </is>
      </c>
      <c r="V5" s="38" t="n"/>
    </row>
    <row r="6" ht="84" customHeight="1">
      <c r="A6" s="39" t="inlineStr">
        <is>
          <t>M06-TR-002</t>
        </is>
      </c>
      <c r="B6" s="39" t="inlineStr">
        <is>
          <t>R00 · Carga de información · Procesamiento</t>
        </is>
      </c>
      <c r="C6" s="39" t="inlineStr">
        <is>
          <t>Fuente interpretable genera candidatos</t>
        </is>
      </c>
      <c r="D6" s="39" t="inlineStr">
        <is>
          <t>Archivo/documento autorizado con datos interpretables</t>
        </is>
      </c>
      <c r="E6" s="39" t="inlineStr">
        <is>
          <t>Fuente recibida</t>
        </is>
      </c>
      <c r="F6" s="39" t="inlineStr">
        <is>
          <t>Candidato(s) detectado(s)</t>
        </is>
      </c>
      <c r="G6" s="39" t="inlineStr">
        <is>
          <t>CA-M6-04; CA-M6-15</t>
        </is>
      </c>
      <c r="H6" s="39" t="inlineStr">
        <is>
          <t>RN: GR-04; GR-17; R-M6-05; R-M6-06; R-M6-010; R-M6-011; PR-02; PR-03; PR-07; PR-08 | BDD: BDD-M6-003</t>
        </is>
      </c>
      <c r="I6" s="39" t="inlineStr">
        <is>
          <t>M06-RGL-006; M06-RGL-007</t>
        </is>
      </c>
      <c r="J6" s="39" t="n"/>
      <c r="K6" s="39" t="inlineStr">
        <is>
          <t>Continuar</t>
        </is>
      </c>
      <c r="L6" s="39" t="inlineStr">
        <is>
          <t>Revisión / Pantalla principal</t>
        </is>
      </c>
      <c r="M6" s="39" t="inlineStr">
        <is>
          <t>M06-SCR-01/M6-SCR-04</t>
        </is>
      </c>
      <c r="N6" s="39" t="inlineStr">
        <is>
          <t>M06</t>
        </is>
      </c>
      <c r="O6" s="39" t="inlineStr">
        <is>
          <t>Capacidad transversal de ingesta</t>
        </is>
      </c>
      <c r="P6" s="39" t="inlineStr">
        <is>
          <t>El resultado es candidato con origen/confianza, no consolidación automática.</t>
        </is>
      </c>
      <c r="Q6" s="39" t="inlineStr">
        <is>
          <t>Flujo D_M06 - Carga.png</t>
        </is>
      </c>
      <c r="R6" s="39" t="inlineStr">
        <is>
          <t>Revisado en export exacto; ajuste de materializacion pendiente: FG-M06-ING-02</t>
        </is>
      </c>
      <c r="S6" s="39" t="inlineStr">
        <is>
          <t>TC-M06-001</t>
        </is>
      </c>
      <c r="T6" s="39" t="inlineStr">
        <is>
          <t>Pendiente de validación</t>
        </is>
      </c>
      <c r="U6" s="39" t="inlineStr">
        <is>
          <t>Contrato v1.0: CT-M06-02, CT-M06-04, CT-M06-05, CT-M06-11, CT-M06-16. Ver 06_Contrato_Vigente para BDD y fuentes; evidencia runtime pendiente.
Precision post recorrido: Carga compartida, errores y avance parcial [FG-M06-ING-02]</t>
        </is>
      </c>
      <c r="V6" s="39" t="n"/>
    </row>
    <row r="7" ht="84" customHeight="1">
      <c r="A7" s="38" t="inlineStr">
        <is>
          <t>M06-TR-003</t>
        </is>
      </c>
      <c r="B7" s="38" t="inlineStr">
        <is>
          <t>R00 · Carga de información · Error</t>
        </is>
      </c>
      <c r="C7" s="38" t="inlineStr">
        <is>
          <t>Fuente no interpretable / procesamiento fallido</t>
        </is>
      </c>
      <c r="D7" s="38" t="inlineStr">
        <is>
          <t>Lectura falla o dato es ilegible/ambiguo</t>
        </is>
      </c>
      <c r="E7" s="38" t="inlineStr">
        <is>
          <t>Procesamiento</t>
        </is>
      </c>
      <c r="F7" s="38" t="inlineStr">
        <is>
          <t>Error / Requiere revisión</t>
        </is>
      </c>
      <c r="G7" s="38" t="inlineStr">
        <is>
          <t>CA-M6-04; CA-F2-08; F4-D15</t>
        </is>
      </c>
      <c r="H7" s="38" t="inlineStr">
        <is>
          <t>RN: R-M6-012; R-M6-053; R-M6-083 | BDD: BDD-M6-006; BDD-M6-016</t>
        </is>
      </c>
      <c r="I7" s="38" t="inlineStr">
        <is>
          <t>M06-RGL-008; M06-RGL-040</t>
        </is>
      </c>
      <c r="J7" s="38" t="n"/>
      <c r="K7" s="38" t="inlineStr">
        <is>
          <t>Reintentar / reemplazar / ingresar manualmente</t>
        </is>
      </c>
      <c r="L7" s="38" t="inlineStr">
        <is>
          <t>Carga o M6-SCR-03</t>
        </is>
      </c>
      <c r="M7" s="38" t="inlineStr">
        <is>
          <t>M6-SCR-01/M6-SCR-10</t>
        </is>
      </c>
      <c r="N7" s="38" t="inlineStr">
        <is>
          <t>M06</t>
        </is>
      </c>
      <c r="O7" s="38" t="inlineStr">
        <is>
          <t>Capacidad transversal de ingesta</t>
        </is>
      </c>
      <c r="P7" s="38" t="inlineStr">
        <is>
          <t>No consolidar; ofrecer recuperación y fallback manual.</t>
        </is>
      </c>
      <c r="Q7" s="38" t="inlineStr">
        <is>
          <t>Flujo D_M06 - Carga.png</t>
        </is>
      </c>
      <c r="R7" s="38" t="inlineStr">
        <is>
          <t>Revisado en export exacto; ajuste de materializacion pendiente: FG-M06-ING-02</t>
        </is>
      </c>
      <c r="S7" s="38" t="inlineStr">
        <is>
          <t>TC-M06-075</t>
        </is>
      </c>
      <c r="T7" s="38" t="inlineStr">
        <is>
          <t>Pendiente de validación</t>
        </is>
      </c>
      <c r="U7" s="38" t="inlineStr">
        <is>
          <t>Contrato v1.0: CT-M06-02, CT-M06-04, CT-M06-05, CT-M06-17. Ver 06_Contrato_Vigente para BDD y fuentes; evidencia runtime pendiente.
Precision post recorrido: Carga compartida, errores y avance parcial [FG-M06-ING-02]</t>
        </is>
      </c>
      <c r="V7" s="38" t="n"/>
    </row>
    <row r="8" ht="84" customHeight="1">
      <c r="A8" s="39" t="inlineStr">
        <is>
          <t>M06-TR-004</t>
        </is>
      </c>
      <c r="B8" s="39" t="inlineStr">
        <is>
          <t>R00 · Registro manual · Abrir formulario</t>
        </is>
      </c>
      <c r="C8" s="39" t="inlineStr">
        <is>
          <t>Ingreso manual desde carga o hub</t>
        </is>
      </c>
      <c r="D8" s="39" t="inlineStr">
        <is>
          <t>Usuario elige ingreso manual</t>
        </is>
      </c>
      <c r="E8" s="39" t="inlineStr">
        <is>
          <t>Sin compromiso</t>
        </is>
      </c>
      <c r="F8" s="39" t="inlineStr">
        <is>
          <t>Formulario manual</t>
        </is>
      </c>
      <c r="G8" s="39" t="inlineStr">
        <is>
          <t>CA-M6-01</t>
        </is>
      </c>
      <c r="H8" s="39" t="inlineStr">
        <is>
          <t>RN: R-M6-01; R-M6-001; R-M6-002 | BDD: BDD-M6-001</t>
        </is>
      </c>
      <c r="I8" s="39" t="inlineStr">
        <is>
          <t>M06-RGL-002</t>
        </is>
      </c>
      <c r="J8" s="39" t="n"/>
      <c r="K8" s="39" t="inlineStr">
        <is>
          <t>Ingresar compromiso manualmente</t>
        </is>
      </c>
      <c r="L8" s="39" t="inlineStr">
        <is>
          <t>M6-SCR-03</t>
        </is>
      </c>
      <c r="M8" s="39" t="inlineStr">
        <is>
          <t>M6-SCR-01</t>
        </is>
      </c>
      <c r="N8" s="39" t="inlineStr">
        <is>
          <t>M06</t>
        </is>
      </c>
      <c r="O8" s="39" t="inlineStr">
        <is>
          <t>M06</t>
        </is>
      </c>
      <c r="P8" s="39" t="inlineStr">
        <is>
          <t>Debe existir ruta manual independiente de integraciones externas.</t>
        </is>
      </c>
      <c r="Q8" s="39" t="inlineStr">
        <is>
          <t>Flujo D_M06 - Carga.png + Sheet_Compromiso Manual_Ingresar datos</t>
        </is>
      </c>
      <c r="R8" s="39" t="inlineStr">
        <is>
          <t>Revisado en export exacto; ajuste de materializacion pendiente: FG-M06-MANUAL-02</t>
        </is>
      </c>
      <c r="S8" s="39" t="inlineStr">
        <is>
          <t>TC-M06-002</t>
        </is>
      </c>
      <c r="T8" s="39" t="inlineStr">
        <is>
          <t>Pendiente de validación</t>
        </is>
      </c>
      <c r="U8" s="39" t="inlineStr">
        <is>
          <t>Contrato v1.0: CT-M06-02, CT-M06-03. Ver 06_Contrato_Vigente para BDD y fuentes; evidencia runtime pendiente.
Precision post recorrido: Guardar borrador y distinguir datos por uso [FG-M06-MANUAL-02]</t>
        </is>
      </c>
      <c r="V8" s="39" t="n"/>
    </row>
    <row r="9" ht="84" customHeight="1">
      <c r="A9" s="38" t="inlineStr">
        <is>
          <t>M06-TR-005</t>
        </is>
      </c>
      <c r="B9" s="38" t="inlineStr">
        <is>
          <t>R00 · Registro manual · Datos mínimos</t>
        </is>
      </c>
      <c r="C9" s="38" t="inlineStr">
        <is>
          <t>Alta con descripción + fecha</t>
        </is>
      </c>
      <c r="D9" s="38" t="inlineStr">
        <is>
          <t>Datos mínimos completos</t>
        </is>
      </c>
      <c r="E9" s="38" t="inlineStr">
        <is>
          <t>Formulario</t>
        </is>
      </c>
      <c r="F9" s="38" t="inlineStr">
        <is>
          <t>Con datos mínimos, consolidar y clasificar Pendiente/Próximo/Vencido por fecha vigente; monto opcional. No Pagado sin confirmación completa.</t>
        </is>
      </c>
      <c r="G9" s="38" t="inlineStr">
        <is>
          <t>CA-M6-01</t>
        </is>
      </c>
      <c r="H9" s="38" t="inlineStr">
        <is>
          <t>RN: R-M6-01; R-M6-03; R-M6-001; R-M6-002 | BDD: BDD-M6-001; BDD-M6-002</t>
        </is>
      </c>
      <c r="I9" s="38" t="inlineStr">
        <is>
          <t>M06-RGL-002; M06-RGL-012</t>
        </is>
      </c>
      <c r="J9" s="38" t="n"/>
      <c r="K9" s="38" t="inlineStr">
        <is>
          <t>Registrar / Guardar</t>
        </is>
      </c>
      <c r="L9" s="38" t="inlineStr">
        <is>
          <t>Pantalla principal</t>
        </is>
      </c>
      <c r="M9" s="38" t="inlineStr">
        <is>
          <t>M6-SCR-01</t>
        </is>
      </c>
      <c r="N9" s="38" t="inlineStr">
        <is>
          <t>M06</t>
        </is>
      </c>
      <c r="O9" s="38" t="inlineStr">
        <is>
          <t>M06</t>
        </is>
      </c>
      <c r="P9" s="38" t="inlineStr">
        <is>
          <t>Descripción y fecha suficientes; monto null no bloquea; número de cliente excluido. CT-M06-03/07.</t>
        </is>
      </c>
      <c r="Q9" s="38" t="inlineStr">
        <is>
          <t>Sheet_Compromiso Manual_Ingresar datos</t>
        </is>
      </c>
      <c r="R9" s="38" t="inlineStr">
        <is>
          <t>Revisado en export exacto; ajuste de materializacion pendiente: FG-M06-MANUAL-02</t>
        </is>
      </c>
      <c r="S9" s="38" t="inlineStr">
        <is>
          <t>TC-M06-002</t>
        </is>
      </c>
      <c r="T9" s="38" t="inlineStr">
        <is>
          <t>Pendiente de validación</t>
        </is>
      </c>
      <c r="U9" s="38" t="inlineStr">
        <is>
          <t>Contrato v1.0: CT-M06-02, CT-M06-03, CT-M06-07. Ver 06_Contrato_Vigente para BDD y fuentes; evidencia runtime pendiente.
Precision post recorrido: Guardar borrador y distinguir datos por uso [FG-M06-MANUAL-02]</t>
        </is>
      </c>
      <c r="V9" s="38" t="n"/>
    </row>
    <row r="10" ht="70" customHeight="1">
      <c r="A10" s="39" t="inlineStr">
        <is>
          <t>M06-TR-006</t>
        </is>
      </c>
      <c r="B10" s="39" t="inlineStr">
        <is>
          <t>R00 · Registro manual · Monto</t>
        </is>
      </c>
      <c r="C10" s="39" t="inlineStr">
        <is>
          <t>Alta sin monto</t>
        </is>
      </c>
      <c r="D10" s="39" t="inlineStr">
        <is>
          <t>Descripción + fecha válidas; monto ausente</t>
        </is>
      </c>
      <c r="E10" s="39" t="inlineStr">
        <is>
          <t>Formulario</t>
        </is>
      </c>
      <c r="F10" s="39" t="inlineStr">
        <is>
          <t>Compromiso válido con impacto limitado</t>
        </is>
      </c>
      <c r="G10" s="39" t="n"/>
      <c r="H10" s="39" t="inlineStr">
        <is>
          <t>RN: R-M6-04; R-M6-003; R-M6-082</t>
        </is>
      </c>
      <c r="I10" s="39" t="inlineStr">
        <is>
          <t>M06-RGL-003</t>
        </is>
      </c>
      <c r="J10" s="39" t="n"/>
      <c r="K10" s="39" t="inlineStr">
        <is>
          <t>Registrar / Guardar</t>
        </is>
      </c>
      <c r="L10" s="39" t="inlineStr">
        <is>
          <t>Pantalla principal</t>
        </is>
      </c>
      <c r="M10" s="39" t="inlineStr">
        <is>
          <t>M6-SCR-01</t>
        </is>
      </c>
      <c r="N10" s="39" t="inlineStr">
        <is>
          <t>M06</t>
        </is>
      </c>
      <c r="O10" s="39" t="inlineStr">
        <is>
          <t>M06</t>
        </is>
      </c>
      <c r="P10" s="39" t="inlineStr">
        <is>
          <t>La ausencia de monto no bloquea el compromiso ni habilita severidad económica fuerte.</t>
        </is>
      </c>
      <c r="Q10" s="39" t="inlineStr">
        <is>
          <t>Sheet_Compromiso Manual_Ingresar datos</t>
        </is>
      </c>
      <c r="R10" s="39" t="inlineStr">
        <is>
          <t>Revisado en export exacto; ajuste de materializacion pendiente: FG-M06-MANUAL-02</t>
        </is>
      </c>
      <c r="S10" s="39" t="inlineStr">
        <is>
          <t>TC-M06-006</t>
        </is>
      </c>
      <c r="T10" s="39" t="inlineStr">
        <is>
          <t>Pendiente de validación</t>
        </is>
      </c>
      <c r="U10" s="39" t="inlineStr">
        <is>
          <t>Contrato v1.0: CT-M06-03. Ver 06_Contrato_Vigente para BDD y fuentes; evidencia runtime pendiente.
Precision post recorrido: Guardar borrador y distinguir datos por uso [FG-M06-MANUAL-02]</t>
        </is>
      </c>
      <c r="V10" s="39" t="inlineStr">
        <is>
          <t>OBS-M06-FIG-01</t>
        </is>
      </c>
    </row>
    <row r="11" ht="84" customHeight="1">
      <c r="A11" s="38" t="inlineStr">
        <is>
          <t>M06-TR-007</t>
        </is>
      </c>
      <c r="B11" s="38" t="inlineStr">
        <is>
          <t>R00 · Registro manual · Origen</t>
        </is>
      </c>
      <c r="C11" s="38" t="inlineStr">
        <is>
          <t>Persistencia de origen manual</t>
        </is>
      </c>
      <c r="D11" s="38" t="inlineStr">
        <is>
          <t>Cuenta creada manualmente</t>
        </is>
      </c>
      <c r="E11" s="38" t="inlineStr">
        <is>
          <t>Manual</t>
        </is>
      </c>
      <c r="F11" s="38" t="inlineStr">
        <is>
          <t>Manual trazable</t>
        </is>
      </c>
      <c r="G11" s="38" t="inlineStr">
        <is>
          <t>CA-M6-12; CA-M6-VIS-026</t>
        </is>
      </c>
      <c r="H11" s="38" t="inlineStr">
        <is>
          <t>RN: R-M6-004</t>
        </is>
      </c>
      <c r="I11" s="38" t="inlineStr">
        <is>
          <t>M06-RGL-004</t>
        </is>
      </c>
      <c r="J11" s="38" t="n"/>
      <c r="K11" s="38" t="inlineStr">
        <is>
          <t>Guardar</t>
        </is>
      </c>
      <c r="L11" s="38" t="inlineStr">
        <is>
          <t>Pantalla principal</t>
        </is>
      </c>
      <c r="M11" s="38" t="inlineStr">
        <is>
          <t>M6-SCR-01</t>
        </is>
      </c>
      <c r="N11" s="38" t="inlineStr">
        <is>
          <t>M06</t>
        </is>
      </c>
      <c r="O11" s="38" t="inlineStr">
        <is>
          <t>M06</t>
        </is>
      </c>
      <c r="P11" s="38" t="inlineStr">
        <is>
          <t>El origen manual queda conservado.</t>
        </is>
      </c>
      <c r="Q11" s="38" t="inlineStr">
        <is>
          <t>Sheet_Compromiso Manual_Ingresar datos</t>
        </is>
      </c>
      <c r="R11" s="38" t="inlineStr">
        <is>
          <t>Revisado en export exacto; ajuste de materializacion pendiente: FG-M06-MANUAL-02</t>
        </is>
      </c>
      <c r="S11" s="38" t="inlineStr">
        <is>
          <t>TC-M06-007</t>
        </is>
      </c>
      <c r="T11" s="38" t="inlineStr">
        <is>
          <t>Pendiente de validación</t>
        </is>
      </c>
      <c r="U11" s="38" t="inlineStr">
        <is>
          <t>Contrato v1.0: CT-M06-03, CT-M06-16. Ver 06_Contrato_Vigente para BDD y fuentes; evidencia runtime pendiente.
Precision post recorrido: Guardar borrador y distinguir datos por uso [FG-M06-MANUAL-02]</t>
        </is>
      </c>
      <c r="V11" s="38" t="n"/>
    </row>
    <row r="12" ht="126" customHeight="1">
      <c r="A12" s="39" t="inlineStr">
        <is>
          <t>M06-TR-008</t>
        </is>
      </c>
      <c r="B12" s="39" t="inlineStr">
        <is>
          <t>R00 · Registro manual · Categoría</t>
        </is>
      </c>
      <c r="C12" s="39" t="inlineStr">
        <is>
          <t>Crear nueva subcategoría visible</t>
        </is>
      </c>
      <c r="D12" s="39" t="inlineStr">
        <is>
          <t>Usuario usa la opción visible</t>
        </is>
      </c>
      <c r="E12" s="39" t="inlineStr">
        <is>
          <t>Formulario</t>
        </is>
      </c>
      <c r="F12" s="39" t="inlineStr">
        <is>
          <t>Nueva subcategoría disponible para asignación bajo categoría padre gobernada</t>
        </is>
      </c>
      <c r="G12" s="39" t="n"/>
      <c r="H12" s="39" t="inlineStr">
        <is>
          <t>RN: D-CL-M06-03</t>
        </is>
      </c>
      <c r="I12" s="39" t="inlineStr">
        <is>
          <t>M06-RGL-043</t>
        </is>
      </c>
      <c r="J12" s="39" t="n"/>
      <c r="K12" s="39" t="inlineStr">
        <is>
          <t>Crear nueva subcategoría</t>
        </is>
      </c>
      <c r="L12" s="39" t="inlineStr">
        <is>
          <t>Capacidad transversal de categorización</t>
        </is>
      </c>
      <c r="M12" s="39" t="inlineStr">
        <is>
          <t>Retorno al formulario con subcategoría disponible</t>
        </is>
      </c>
      <c r="N12" s="39" t="inlineStr">
        <is>
          <t>M06 consumidor</t>
        </is>
      </c>
      <c r="O12" s="39" t="inlineStr">
        <is>
          <t>Capacidad transversal de categorización / BBDD</t>
        </is>
      </c>
      <c r="P12" s="39" t="inlineStr">
        <is>
          <t>M06 invoca la capacidad bajo categoría padre existente; no se apropia de la taxonomía; validación/deduplicación/persistencia son transversales. TX-007: maximo 5 subcategorias personalizadas activas por categoria/usuario. 4 permite quinta; 5 bloquea sexta; editar no suma cupo; reactivar cuenta. Validación atomica y dedupe transversales; M06 muestra límite sin perder formulario.</t>
        </is>
      </c>
      <c r="Q12" s="39" t="inlineStr">
        <is>
          <t>Sheet_Compromiso Manual_Ingresar datos / export</t>
        </is>
      </c>
      <c r="R12" s="39" t="inlineStr">
        <is>
          <t>Revisado en export exacto; ajuste de materializacion pendiente: FG-M06-SUBCAT-02</t>
        </is>
      </c>
      <c r="S12" s="39" t="inlineStr">
        <is>
          <t>TC-M06-003</t>
        </is>
      </c>
      <c r="T12" s="39" t="inlineStr">
        <is>
          <t>Pendiente de validación</t>
        </is>
      </c>
      <c r="U12" s="39" t="inlineStr">
        <is>
          <t>Contrato v1.0: CT-M06-15, CT-M06-17. Ver 06_Contrato_Vigente para BDD y fuentes; evidencia runtime pendiente.
Precision post recorrido: Crear subcategoría y regresar sin perder datos [FG-M06-SUBCAT-02]</t>
        </is>
      </c>
      <c r="V12" s="39" t="inlineStr">
        <is>
          <t>D-CL-M06-03</t>
        </is>
      </c>
    </row>
    <row r="13" ht="84" customHeight="1">
      <c r="A13" s="38" t="inlineStr">
        <is>
          <t>M06-TR-009</t>
        </is>
      </c>
      <c r="B13" s="38" t="inlineStr">
        <is>
          <t>R00 · Registro manual · Dato no exigible</t>
        </is>
      </c>
      <c r="C13" s="38" t="inlineStr">
        <is>
          <t>N° de cliente visible</t>
        </is>
      </c>
      <c r="D13" s="38" t="inlineStr">
        <is>
          <t>UI solicita o muestra N° de cliente</t>
        </is>
      </c>
      <c r="E13" s="38" t="inlineStr">
        <is>
          <t>Formulario</t>
        </is>
      </c>
      <c r="F13" s="38" t="inlineStr">
        <is>
          <t>Número de cliente excluido: no solicitar, no persistir ni reenviar; no dejar campo opcional residual.</t>
        </is>
      </c>
      <c r="G13" s="38" t="n"/>
      <c r="H13" s="38" t="n"/>
      <c r="I13" s="38" t="inlineStr">
        <is>
          <t>M06-RGL-044</t>
        </is>
      </c>
      <c r="J13" s="38" t="n"/>
      <c r="K13" s="38" t="inlineStr">
        <is>
          <t>Continuar sin N° cliente</t>
        </is>
      </c>
      <c r="L13" s="38" t="inlineStr">
        <is>
          <t>Pantalla principal</t>
        </is>
      </c>
      <c r="M13" s="38" t="inlineStr">
        <is>
          <t>M6-SCR-01</t>
        </is>
      </c>
      <c r="N13" s="38" t="inlineStr">
        <is>
          <t>M06</t>
        </is>
      </c>
      <c r="O13" s="38" t="inlineStr">
        <is>
          <t>M06</t>
        </is>
      </c>
      <c r="P13" s="38" t="inlineStr">
        <is>
          <t>Formulario, API, storage y eventos no contienen el dato excluido. M06-RGL-044 / PD M06-DAT-006.</t>
        </is>
      </c>
      <c r="Q13" s="38" t="inlineStr">
        <is>
          <t>Sheet_Compromiso Manual_Ingresar datos / export</t>
        </is>
      </c>
      <c r="R13" s="38" t="inlineStr">
        <is>
          <t>Revisado en export exacto; ajuste de materializacion pendiente: FG-M06-MANUAL-02</t>
        </is>
      </c>
      <c r="S13" s="38" t="inlineStr">
        <is>
          <t>TC-M06-002</t>
        </is>
      </c>
      <c r="T13" s="38" t="inlineStr">
        <is>
          <t>Pendiente de validación</t>
        </is>
      </c>
      <c r="U13" s="38" t="inlineStr">
        <is>
          <t>Contrato v1.0: CT-M06-03, CT-M06-16. Ver 06_Contrato_Vigente para BDD y fuentes; evidencia runtime pendiente.
Precision post recorrido: Guardar borrador y distinguir datos por uso [FG-M06-MANUAL-02]</t>
        </is>
      </c>
      <c r="V13" s="38" t="inlineStr">
        <is>
          <t>OBS-M06-FIG-02</t>
        </is>
      </c>
    </row>
    <row r="14" ht="70" customHeight="1">
      <c r="A14" s="39" t="inlineStr">
        <is>
          <t>M06-TR-010</t>
        </is>
      </c>
      <c r="B14" s="39" t="inlineStr">
        <is>
          <t>R01 · Pantalla principal · Hub</t>
        </is>
      </c>
      <c r="C14" s="39" t="inlineStr">
        <is>
          <t>Consolidado de compromisos</t>
        </is>
      </c>
      <c r="D14" s="39" t="inlineStr">
        <is>
          <t>Entrada a M06</t>
        </is>
      </c>
      <c r="E14" s="39" t="inlineStr">
        <is>
          <t>Datos vigentes</t>
        </is>
      </c>
      <c r="F14" s="39" t="inlineStr">
        <is>
          <t>Resumen + secciones operativas</t>
        </is>
      </c>
      <c r="G14" s="39" t="inlineStr">
        <is>
          <t>CA-F2-02; CA-F2-03; CA-F2-09; CA-F4-02; CA-F5-05; CA-F5-06; CA-F5-11; CA-M6-VIS-025; CA-M6-VIS-026; CA-M6-VIS-031; F2-D01; F2-D03; F5-D01; F5-D02; F5-D12</t>
        </is>
      </c>
      <c r="H14" s="39" t="inlineStr">
        <is>
          <t>RN: GR-01; GR-02; R-M6-18; PR-01</t>
        </is>
      </c>
      <c r="I14" s="39" t="inlineStr">
        <is>
          <t>M06-RGL-001; M06-RGL-041</t>
        </is>
      </c>
      <c r="J14" s="39" t="n"/>
      <c r="K14" s="39" t="inlineStr">
        <is>
          <t>Ver todos mis compromisos</t>
        </is>
      </c>
      <c r="L14" s="39" t="inlineStr">
        <is>
          <t>Todos mis compromisos</t>
        </is>
      </c>
      <c r="M14" s="39" t="inlineStr">
        <is>
          <t>Pantalla principal</t>
        </is>
      </c>
      <c r="N14" s="39" t="inlineStr">
        <is>
          <t>M06</t>
        </is>
      </c>
      <c r="O14" s="39" t="inlineStr">
        <is>
          <t>M06</t>
        </is>
      </c>
      <c r="P14" s="39" t="inlineStr">
        <is>
          <t>M06 concentra compromisos; Home/M5/M4 no reemplazan su gestión.</t>
        </is>
      </c>
      <c r="Q14" s="39" t="inlineStr">
        <is>
          <t>M6 - Pantalla ppal.png + Flujo completo 3.0</t>
        </is>
      </c>
      <c r="R14" s="39" t="inlineStr">
        <is>
          <t>Visible</t>
        </is>
      </c>
      <c r="S14" s="39" t="inlineStr">
        <is>
          <t>TC-M06-026; TC-M06-066</t>
        </is>
      </c>
      <c r="T14" s="39" t="inlineStr">
        <is>
          <t>Pendiente de validación</t>
        </is>
      </c>
      <c r="U14" s="39" t="inlineStr">
        <is>
          <t>Contrato v1.0: CT-M06-01, CT-M06-17, CT-M06-02, CT-M06-06, CT-M06-16. Ver 06_Contrato_Vigente para BDD y fuentes; evidencia runtime pendiente.</t>
        </is>
      </c>
      <c r="V14" s="39" t="n"/>
    </row>
    <row r="15" ht="70" customHeight="1">
      <c r="A15" s="38" t="inlineStr">
        <is>
          <t>M06-TR-011</t>
        </is>
      </c>
      <c r="B15" s="38" t="inlineStr">
        <is>
          <t>R01 · Pantalla principal · Resumen</t>
        </is>
      </c>
      <c r="C15" s="38" t="inlineStr">
        <is>
          <t>Confirmados del mes</t>
        </is>
      </c>
      <c r="D15" s="38" t="inlineStr">
        <is>
          <t>Carga del mes activo</t>
        </is>
      </c>
      <c r="E15" s="38" t="inlineStr">
        <is>
          <t>Compromisos canónicos</t>
        </is>
      </c>
      <c r="F15" s="38" t="inlineStr">
        <is>
          <t>Contador Confirmados</t>
        </is>
      </c>
      <c r="G15" s="38" t="n"/>
      <c r="H15" s="38" t="inlineStr">
        <is>
          <t>RN: D-M06-CALC-01</t>
        </is>
      </c>
      <c r="I15" s="38" t="inlineStr">
        <is>
          <t>M06-RGL-035</t>
        </is>
      </c>
      <c r="J15" s="38" t="inlineStr">
        <is>
          <t>Confirmados del mes</t>
        </is>
      </c>
      <c r="K15" s="38" t="inlineStr">
        <is>
          <t>N/A</t>
        </is>
      </c>
      <c r="L15" s="38" t="inlineStr">
        <is>
          <t>Resumen</t>
        </is>
      </c>
      <c r="M15" s="38" t="inlineStr">
        <is>
          <t>N/A</t>
        </is>
      </c>
      <c r="N15" s="38" t="inlineStr">
        <is>
          <t>M06</t>
        </is>
      </c>
      <c r="O15" s="38" t="inlineStr">
        <is>
          <t>M06</t>
        </is>
      </c>
      <c r="P15" s="38" t="inlineStr">
        <is>
          <t>COUNT DISTINCT de compromisos consolidados del mes activo según D-M06-CALC-01.</t>
        </is>
      </c>
      <c r="Q15" s="38" t="inlineStr">
        <is>
          <t>M6 - Pantalla ppal.png</t>
        </is>
      </c>
      <c r="R15" s="38" t="inlineStr">
        <is>
          <t>Revisado en export exacto; ajuste de materializacion pendiente: FG-M06-KPI-02</t>
        </is>
      </c>
      <c r="S15" s="38" t="inlineStr">
        <is>
          <t>TC-M06-008; TC-M06-009; TC-M06-010; TC-M06-011; TC-M06-012; TC-M06-030</t>
        </is>
      </c>
      <c r="T15" s="38" t="inlineStr">
        <is>
          <t>Pendiente de validación</t>
        </is>
      </c>
      <c r="U15" s="38" t="inlineStr">
        <is>
          <t>Contrato v1.0: CT-M06-09. Ver 06_Contrato_Vigente para BDD y fuentes; evidencia runtime pendiente.
Precision post recorrido: Resumen mensual y porcentaje coherentes [FG-M06-KPI-02]</t>
        </is>
      </c>
      <c r="V15" s="38" t="inlineStr">
        <is>
          <t>D-M06-CALC-01</t>
        </is>
      </c>
    </row>
    <row r="16" ht="70" customHeight="1">
      <c r="A16" s="39" t="inlineStr">
        <is>
          <t>M06-TR-012</t>
        </is>
      </c>
      <c r="B16" s="39" t="inlineStr">
        <is>
          <t>R01 · Pantalla principal · Resumen</t>
        </is>
      </c>
      <c r="C16" s="39" t="inlineStr">
        <is>
          <t>Compromisos al día %</t>
        </is>
      </c>
      <c r="D16" s="39" t="inlineStr">
        <is>
          <t>Existen confirmados del mes</t>
        </is>
      </c>
      <c r="E16" s="39" t="inlineStr">
        <is>
          <t>Confirmados/Vencidos</t>
        </is>
      </c>
      <c r="F16" s="39" t="inlineStr">
        <is>
          <t>Porcentaje al día</t>
        </is>
      </c>
      <c r="G16" s="39" t="n"/>
      <c r="H16" s="39" t="inlineStr">
        <is>
          <t>RN: D-M06-CALC-02</t>
        </is>
      </c>
      <c r="I16" s="39" t="inlineStr">
        <is>
          <t>M06-RGL-036</t>
        </is>
      </c>
      <c r="J16" s="39" t="inlineStr">
        <is>
          <t>Compromisos al día %</t>
        </is>
      </c>
      <c r="K16" s="39" t="inlineStr">
        <is>
          <t>N/A</t>
        </is>
      </c>
      <c r="L16" s="39" t="inlineStr">
        <is>
          <t>Resumen</t>
        </is>
      </c>
      <c r="M16" s="39" t="inlineStr">
        <is>
          <t>N/A</t>
        </is>
      </c>
      <c r="N16" s="39" t="inlineStr">
        <is>
          <t>M06</t>
        </is>
      </c>
      <c r="O16" s="39" t="inlineStr">
        <is>
          <t>M06</t>
        </is>
      </c>
      <c r="P16" s="39" t="inlineStr">
        <is>
          <t>(Confirmados - Vencidos)/Confirmados*100; sin dato si denominador 0.</t>
        </is>
      </c>
      <c r="Q16" s="39" t="inlineStr">
        <is>
          <t>M6 - Pantalla ppal.png</t>
        </is>
      </c>
      <c r="R16" s="39" t="inlineStr">
        <is>
          <t>Revisado en export exacto; ajuste de materializacion pendiente: FG-M06-KPI-02</t>
        </is>
      </c>
      <c r="S16" s="39" t="inlineStr">
        <is>
          <t>TC-M06-013; TC-M06-014; TC-M06-015; TC-M06-030</t>
        </is>
      </c>
      <c r="T16" s="39" t="inlineStr">
        <is>
          <t>Pendiente de validación</t>
        </is>
      </c>
      <c r="U16" s="39" t="inlineStr">
        <is>
          <t>Contrato v1.0: CT-M06-09. Ver 06_Contrato_Vigente para BDD y fuentes; evidencia runtime pendiente.
Precision post recorrido: Resumen mensual y porcentaje coherentes [FG-M06-KPI-02]</t>
        </is>
      </c>
      <c r="V16" s="39" t="inlineStr">
        <is>
          <t>D-M06-CALC-02</t>
        </is>
      </c>
    </row>
    <row r="17" ht="70" customHeight="1">
      <c r="A17" s="38" t="inlineStr">
        <is>
          <t>M06-TR-013</t>
        </is>
      </c>
      <c r="B17" s="38" t="inlineStr">
        <is>
          <t>R01 · Pantalla principal · Resumen</t>
        </is>
      </c>
      <c r="C17" s="38" t="inlineStr">
        <is>
          <t>Detectados por revisar</t>
        </is>
      </c>
      <c r="D17" s="38" t="inlineStr">
        <is>
          <t>Existen candidatos detectados no resueltos</t>
        </is>
      </c>
      <c r="E17" s="38" t="inlineStr">
        <is>
          <t>Detectados/revisión</t>
        </is>
      </c>
      <c r="F17" s="38" t="inlineStr">
        <is>
          <t>Contador cola viva</t>
        </is>
      </c>
      <c r="G17" s="38" t="n"/>
      <c r="H17" s="38" t="inlineStr">
        <is>
          <t>RN: D-M06-CALC-03</t>
        </is>
      </c>
      <c r="I17" s="38" t="inlineStr">
        <is>
          <t>M06-RGL-037</t>
        </is>
      </c>
      <c r="J17" s="38" t="inlineStr">
        <is>
          <t>Pagos detectados por revisar</t>
        </is>
      </c>
      <c r="K17" s="38" t="inlineStr">
        <is>
          <t>Revisar</t>
        </is>
      </c>
      <c r="L17" s="38" t="inlineStr">
        <is>
          <t>Revisión detectado</t>
        </is>
      </c>
      <c r="M17" s="38" t="inlineStr">
        <is>
          <t>N/A</t>
        </is>
      </c>
      <c r="N17" s="38" t="inlineStr">
        <is>
          <t>M06</t>
        </is>
      </c>
      <c r="O17" s="38" t="inlineStr">
        <is>
          <t>M06 + ingesta</t>
        </is>
      </c>
      <c r="P17" s="38" t="inlineStr">
        <is>
          <t>Cuenta candidatos únicos de cola Detectado/Requiere revisión; no duplica rutas especializadas.</t>
        </is>
      </c>
      <c r="Q17" s="38" t="inlineStr">
        <is>
          <t>M6 - Pantalla ppal.png</t>
        </is>
      </c>
      <c r="R17" s="38" t="inlineStr">
        <is>
          <t>Revisado en export exacto; ajuste de materializacion pendiente: FG-M06-STATUS-02</t>
        </is>
      </c>
      <c r="S17" s="38" t="inlineStr">
        <is>
          <t>TC-M06-016; TC-M06-017; TC-M06-030</t>
        </is>
      </c>
      <c r="T17" s="38" t="inlineStr">
        <is>
          <t>Pendiente de validación</t>
        </is>
      </c>
      <c r="U17" s="38" t="inlineStr">
        <is>
          <t>Contrato v1.0: CT-M06-09. Ver 06_Contrato_Vigente para BDD y fuentes; evidencia runtime pendiente.
Precision post recorrido: Estados, badges y avisos sin duplicidad [FG-M06-STATUS-02]</t>
        </is>
      </c>
      <c r="V17" s="38" t="inlineStr">
        <is>
          <t>D-M06-CALC-03</t>
        </is>
      </c>
    </row>
    <row r="18" ht="112" customHeight="1">
      <c r="A18" s="39" t="inlineStr">
        <is>
          <t>M06-TR-014</t>
        </is>
      </c>
      <c r="B18" s="39" t="inlineStr">
        <is>
          <t>R01 · Pantalla principal · Variante</t>
        </is>
      </c>
      <c r="C18" s="39" t="inlineStr">
        <is>
          <t>Datos insuficientes</t>
        </is>
      </c>
      <c r="D18" s="39" t="inlineStr">
        <is>
          <t>Compromiso sin fecha/descripción/confianza suficiente</t>
        </is>
      </c>
      <c r="E18" s="39" t="inlineStr">
        <is>
          <t>Incompleto</t>
        </is>
      </c>
      <c r="F18" s="39" t="inlineStr">
        <is>
          <t>Requiere revisión / Sin datos</t>
        </is>
      </c>
      <c r="G18" s="39" t="inlineStr">
        <is>
          <t>CA-F2-07; CA-F2-08; CA-F3-01; CA-F3-07; CA-F4-09; CA-F5-14; CA-M6-VIS-030; M6-D02; F2-D02; F4-D05; F4-D15; F5-D08</t>
        </is>
      </c>
      <c r="H18" s="39" t="inlineStr">
        <is>
          <t>RN: GR-12; GR-15; R-M6-02; R-M6-08; R-M6-002; R-M6-012; R-M6-024; R-M6-032; R-M6-081; R-M6-083; R-M6-084 | BDD: BDD-M6-002; BDD-M6-006; BDD-M6-016</t>
        </is>
      </c>
      <c r="I18" s="39" t="inlineStr">
        <is>
          <t>M06-RGL-002; M06-RGL-008; M06-RGL-013; M06-RGL-014</t>
        </is>
      </c>
      <c r="J18" s="39" t="n"/>
      <c r="K18" s="39" t="inlineStr">
        <is>
          <t>Completar datos / Revisar dato</t>
        </is>
      </c>
      <c r="L18" s="39" t="inlineStr">
        <is>
          <t>M6-SCR-03 / M6-SCR-07</t>
        </is>
      </c>
      <c r="M18" s="39" t="inlineStr">
        <is>
          <t>Pantalla principal</t>
        </is>
      </c>
      <c r="N18" s="39" t="inlineStr">
        <is>
          <t>M06</t>
        </is>
      </c>
      <c r="O18" s="39" t="inlineStr">
        <is>
          <t>M06</t>
        </is>
      </c>
      <c r="P18" s="39" t="inlineStr">
        <is>
          <t>No calcular vencimiento ni escalar severidad sin datos suficientes.</t>
        </is>
      </c>
      <c r="Q18" s="39" t="inlineStr">
        <is>
          <t>datos insuficientes.png / Datos insuficientes.png</t>
        </is>
      </c>
      <c r="R18" s="39" t="inlineStr">
        <is>
          <t>Revisado en export exacto; ajuste de materializacion pendiente: FG-M06-MANUAL-02, FG-M06-STATUS-02</t>
        </is>
      </c>
      <c r="S18" s="39" t="inlineStr">
        <is>
          <t>TC-M06-004; TC-M06-005; TC-M06-020; TC-M06-045; TC-M06-063</t>
        </is>
      </c>
      <c r="T18" s="39" t="inlineStr">
        <is>
          <t>Pendiente de validación</t>
        </is>
      </c>
      <c r="U18" s="39" t="inlineStr">
        <is>
          <t>Contrato v1.0: CT-M06-02, CT-M06-03, CT-M06-04, CT-M06-05, CT-M06-07, CT-M06-10. Ver 06_Contrato_Vigente para BDD y fuentes; evidencia runtime pendiente.
Precision post recorrido: Guardar borrador y distinguir datos por uso [FG-M06-MANUAL-02]; Estados, badges y avisos sin duplicidad [FG-M06-STATUS-02]</t>
        </is>
      </c>
      <c r="V18" s="39" t="n"/>
    </row>
    <row r="19" ht="70" customHeight="1">
      <c r="A19" s="38" t="inlineStr">
        <is>
          <t>M06-TR-015</t>
        </is>
      </c>
      <c r="B19" s="38" t="inlineStr">
        <is>
          <t>R01 · Pantalla principal · Variante</t>
        </is>
      </c>
      <c r="C19" s="38" t="inlineStr">
        <is>
          <t>Sin detectados por revisar</t>
        </is>
      </c>
      <c r="D19" s="38" t="inlineStr">
        <is>
          <t>No hay candidatos abiertos</t>
        </is>
      </c>
      <c r="E19" s="38" t="inlineStr">
        <is>
          <t>0 detectados</t>
        </is>
      </c>
      <c r="F19" s="38" t="inlineStr">
        <is>
          <t>Empty de detectados</t>
        </is>
      </c>
      <c r="G19" s="38" t="inlineStr">
        <is>
          <t>CA-F2-08; F4-D14</t>
        </is>
      </c>
      <c r="H19" s="38" t="inlineStr">
        <is>
          <t>RN: D-M06-CALC-03</t>
        </is>
      </c>
      <c r="I19" s="38" t="inlineStr">
        <is>
          <t>M06-RGL-037</t>
        </is>
      </c>
      <c r="J19" s="38" t="n"/>
      <c r="K19" s="38" t="inlineStr">
        <is>
          <t>N/A</t>
        </is>
      </c>
      <c r="L19" s="38" t="inlineStr">
        <is>
          <t>Pantalla principal</t>
        </is>
      </c>
      <c r="M19" s="38" t="inlineStr">
        <is>
          <t>N/A</t>
        </is>
      </c>
      <c r="N19" s="38" t="inlineStr">
        <is>
          <t>M06</t>
        </is>
      </c>
      <c r="O19" s="38" t="inlineStr">
        <is>
          <t>M06</t>
        </is>
      </c>
      <c r="P19" s="38" t="inlineStr">
        <is>
          <t>Mostrar ausencia sin inventar urgencia.</t>
        </is>
      </c>
      <c r="Q19" s="38" t="inlineStr">
        <is>
          <t>sin detectados por revisar.png</t>
        </is>
      </c>
      <c r="R19" s="38" t="inlineStr">
        <is>
          <t>Revisado en export exacto; ajuste de materializacion pendiente: FG-M06-STATUS-02</t>
        </is>
      </c>
      <c r="S19" s="38" t="inlineStr">
        <is>
          <t>TC-M06-016</t>
        </is>
      </c>
      <c r="T19" s="38" t="inlineStr">
        <is>
          <t>Pendiente de validación</t>
        </is>
      </c>
      <c r="U19" s="38" t="inlineStr">
        <is>
          <t>Contrato v1.0: CT-M06-09. Ver 06_Contrato_Vigente para BDD y fuentes; evidencia runtime pendiente.
Precision post recorrido: Estados, badges y avisos sin duplicidad [FG-M06-STATUS-02]</t>
        </is>
      </c>
      <c r="V19" s="38" t="inlineStr">
        <is>
          <t>D-M06-CALC-03</t>
        </is>
      </c>
    </row>
    <row r="20" ht="70" customHeight="1">
      <c r="A20" s="39" t="inlineStr">
        <is>
          <t>M06-TR-016</t>
        </is>
      </c>
      <c r="B20" s="39" t="inlineStr">
        <is>
          <t>R01 · Pantalla principal · Variante</t>
        </is>
      </c>
      <c r="C20" s="39" t="inlineStr">
        <is>
          <t>Sin pagos vencidos</t>
        </is>
      </c>
      <c r="D20" s="39" t="inlineStr">
        <is>
          <t>No hay vencidos</t>
        </is>
      </c>
      <c r="E20" s="39" t="inlineStr">
        <is>
          <t>0 vencidos</t>
        </is>
      </c>
      <c r="F20" s="39" t="inlineStr">
        <is>
          <t>Empty de vencidos</t>
        </is>
      </c>
      <c r="G20" s="39" t="inlineStr">
        <is>
          <t>CA-F2-08; F4-D14</t>
        </is>
      </c>
      <c r="H20" s="39" t="n"/>
      <c r="I20" s="39" t="inlineStr">
        <is>
          <t>M06-RGL-015</t>
        </is>
      </c>
      <c r="J20" s="39" t="n"/>
      <c r="K20" s="39" t="inlineStr">
        <is>
          <t>Revisar pagos registrados</t>
        </is>
      </c>
      <c r="L20" s="39" t="inlineStr">
        <is>
          <t>Pantalla principal</t>
        </is>
      </c>
      <c r="M20" s="39" t="inlineStr">
        <is>
          <t>N/A</t>
        </is>
      </c>
      <c r="N20" s="39" t="inlineStr">
        <is>
          <t>M06</t>
        </is>
      </c>
      <c r="O20" s="39" t="inlineStr">
        <is>
          <t>M06</t>
        </is>
      </c>
      <c r="P20" s="39" t="inlineStr">
        <is>
          <t>Mostrar ausencia de vencidos sin alterar otros estados.</t>
        </is>
      </c>
      <c r="Q20" s="39" t="inlineStr">
        <is>
          <t>Sin pagos vencidos.png / sin pagos vencidos.png</t>
        </is>
      </c>
      <c r="R20" s="39" t="inlineStr">
        <is>
          <t>Revisado en export exacto; ajuste de materializacion pendiente: FG-M06-STATUS-02</t>
        </is>
      </c>
      <c r="S20" s="39" t="inlineStr">
        <is>
          <t>TC-M06-025</t>
        </is>
      </c>
      <c r="T20" s="39" t="inlineStr">
        <is>
          <t>Pendiente de validación</t>
        </is>
      </c>
      <c r="U20" s="39" t="inlineStr">
        <is>
          <t>Contrato v1.0: CT-M06-10. Ver 06_Contrato_Vigente para BDD y fuentes; evidencia runtime pendiente.
Precision post recorrido: Estados, badges y avisos sin duplicidad [FG-M06-STATUS-02]</t>
        </is>
      </c>
      <c r="V20" s="39" t="n"/>
    </row>
    <row r="21" ht="84" customHeight="1">
      <c r="A21" s="38" t="inlineStr">
        <is>
          <t>M06-TR-068</t>
        </is>
      </c>
      <c r="B21" s="38" t="inlineStr">
        <is>
          <t>R01 · Pantalla principal · Empty state</t>
        </is>
      </c>
      <c r="C21" s="38" t="inlineStr">
        <is>
          <t>Sin pagos registrados</t>
        </is>
      </c>
      <c r="D21" s="38" t="inlineStr">
        <is>
          <t>No existen compromisos registrados</t>
        </is>
      </c>
      <c r="E21" s="38" t="inlineStr">
        <is>
          <t>0 compromisos</t>
        </is>
      </c>
      <c r="F21" s="38" t="inlineStr">
        <is>
          <t>Estado vacío orientativo sin presión artificial</t>
        </is>
      </c>
      <c r="G21" s="38" t="inlineStr">
        <is>
          <t>CA-F2-08; F4-D14; F5-D02</t>
        </is>
      </c>
      <c r="H21" s="38" t="inlineStr">
        <is>
          <t>BDD: BDD-M6-024</t>
        </is>
      </c>
      <c r="I21" s="38" t="inlineStr">
        <is>
          <t>M06-RGL-001</t>
        </is>
      </c>
      <c r="J21" s="38" t="n"/>
      <c r="K21" s="38" t="inlineStr">
        <is>
          <t>Registrar cuenta por pagar</t>
        </is>
      </c>
      <c r="L21" s="38" t="inlineStr">
        <is>
          <t>Registro manual</t>
        </is>
      </c>
      <c r="M21" s="38" t="inlineStr">
        <is>
          <t>Pantalla principal</t>
        </is>
      </c>
      <c r="N21" s="38" t="inlineStr">
        <is>
          <t>M06</t>
        </is>
      </c>
      <c r="O21" s="38" t="inlineStr">
        <is>
          <t>M06</t>
        </is>
      </c>
      <c r="P21" s="38" t="inlineStr">
        <is>
          <t>Si existe superficie de gestión y no hay pagos registrados, debe mostrarse empty state con CTA seguro de alta manual, sin presión artificial.</t>
        </is>
      </c>
      <c r="Q21" s="38" t="inlineStr">
        <is>
          <t>Figma vigente M06</t>
        </is>
      </c>
      <c r="R21" s="38" t="inlineStr">
        <is>
          <t>Revisado en export exacto; ajuste de materializacion pendiente: FG-M06-STATUS-02</t>
        </is>
      </c>
      <c r="S21" s="38" t="inlineStr">
        <is>
          <t>TC-M06-026</t>
        </is>
      </c>
      <c r="T21" s="38" t="inlineStr">
        <is>
          <t>Pendiente de validación</t>
        </is>
      </c>
      <c r="U21" s="38" t="inlineStr">
        <is>
          <t>Contrato v1.0: CT-M06-01, CT-M06-17. Ver 06_Contrato_Vigente para BDD y fuentes; evidencia runtime pendiente.
Precision post recorrido: Estados, badges y avisos sin duplicidad [FG-M06-STATUS-02]</t>
        </is>
      </c>
      <c r="V21" s="38" t="inlineStr">
        <is>
          <t>OBS-M06-FIG-05</t>
        </is>
      </c>
    </row>
    <row r="22" ht="84" customHeight="1">
      <c r="A22" s="39" t="inlineStr">
        <is>
          <t>M06-TR-069</t>
        </is>
      </c>
      <c r="B22" s="39" t="inlineStr">
        <is>
          <t>R01 · Pantalla principal · Empty state condicionado</t>
        </is>
      </c>
      <c r="C22" s="39" t="inlineStr">
        <is>
          <t>Sin pagos próximos</t>
        </is>
      </c>
      <c r="D22" s="39" t="inlineStr">
        <is>
          <t>No existen compromisos en ventana Próximo</t>
        </is>
      </c>
      <c r="E22" s="39" t="inlineStr">
        <is>
          <t>0 próximos</t>
        </is>
      </c>
      <c r="F22" s="39" t="inlineStr">
        <is>
          <t>Estado vacío de próximos</t>
        </is>
      </c>
      <c r="G22" s="39" t="inlineStr">
        <is>
          <t>CA-F2-08; F4-D14</t>
        </is>
      </c>
      <c r="H22" s="39" t="n"/>
      <c r="I22" s="39" t="inlineStr">
        <is>
          <t>M06-RGL-001; M06-RGL-012</t>
        </is>
      </c>
      <c r="J22" s="39" t="n"/>
      <c r="K22" s="39" t="inlineStr">
        <is>
          <t>Revisar pagos registrados</t>
        </is>
      </c>
      <c r="L22" s="39" t="inlineStr">
        <is>
          <t>Todos mis compromisos</t>
        </is>
      </c>
      <c r="M22" s="39" t="inlineStr">
        <is>
          <t>Pantalla principal</t>
        </is>
      </c>
      <c r="N22" s="39" t="inlineStr">
        <is>
          <t>M06</t>
        </is>
      </c>
      <c r="O22" s="39" t="inlineStr">
        <is>
          <t>M06</t>
        </is>
      </c>
      <c r="P22" s="39" t="inlineStr">
        <is>
          <t>Cuando la superficie incluya bloque de próximos y no existan próximos, puede mostrar estado vacío sin inventar compromiso ni alerta.</t>
        </is>
      </c>
      <c r="Q22" s="39" t="inlineStr">
        <is>
          <t>Fase 5 / Figma vigente M06</t>
        </is>
      </c>
      <c r="R22" s="39" t="inlineStr">
        <is>
          <t>Revisado en export exacto; ajuste de materializacion pendiente: FG-M06-STATUS-02</t>
        </is>
      </c>
      <c r="S22" s="39" t="inlineStr">
        <is>
          <t>TC-M06-023</t>
        </is>
      </c>
      <c r="T22" s="39" t="inlineStr">
        <is>
          <t>Pendiente de validación</t>
        </is>
      </c>
      <c r="U22" s="39" t="inlineStr">
        <is>
          <t>Contrato v1.0: CT-M06-01, CT-M06-17, CT-M06-02, CT-M06-07. Ver 06_Contrato_Vigente para BDD y fuentes; evidencia runtime pendiente.
Precision post recorrido: Estados, badges y avisos sin duplicidad [FG-M06-STATUS-02]</t>
        </is>
      </c>
      <c r="V22" s="39" t="n"/>
    </row>
    <row r="23" ht="84" customHeight="1">
      <c r="A23" s="38" t="inlineStr">
        <is>
          <t>M06-TR-017</t>
        </is>
      </c>
      <c r="B23" s="38" t="inlineStr">
        <is>
          <t>R01 · Pantalla principal · Card</t>
        </is>
      </c>
      <c r="C23" s="38" t="inlineStr">
        <is>
          <t>Pago próximo</t>
        </is>
      </c>
      <c r="D23" s="38" t="inlineStr">
        <is>
          <t>days_to_due entre 0 y N y datos confiables</t>
        </is>
      </c>
      <c r="E23" s="38" t="inlineStr">
        <is>
          <t>Pendiente</t>
        </is>
      </c>
      <c r="F23" s="38" t="inlineStr">
        <is>
          <t>Próximo / Atención</t>
        </is>
      </c>
      <c r="G23" s="38" t="inlineStr">
        <is>
          <t>CA-M6-02; CA-F2-07; CA-F3-01; CA-F3-02; CA-F3-03; CA-F4-01; CA-F5-07; M6-D01; M6-D02; F2-D02; F2-D03; F3-D01; F3-D04; F5-D02</t>
        </is>
      </c>
      <c r="H23" s="38" t="inlineStr">
        <is>
          <t>RN: D-M06-CALC-04; R-M6-11; R-M6-12; R-M6-020; R-M6-021; R-M6-022; R-M6-023; R-M6-090 | BDD: BDD-M6-007; BDD-M6-017</t>
        </is>
      </c>
      <c r="I23" s="38" t="inlineStr">
        <is>
          <t>M06-RGL-012; M06-RGL-015; M06-RGL-028; M06-RGL-038</t>
        </is>
      </c>
      <c r="J23" s="38" t="inlineStr">
        <is>
          <t>days_to_due / N</t>
        </is>
      </c>
      <c r="K23" s="38" t="inlineStr">
        <is>
          <t>Revisar pago</t>
        </is>
      </c>
      <c r="L23" s="38" t="inlineStr">
        <is>
          <t>Detalle</t>
        </is>
      </c>
      <c r="M23" s="38" t="inlineStr">
        <is>
          <t>Pantalla principal</t>
        </is>
      </c>
      <c r="N23" s="38" t="inlineStr">
        <is>
          <t>M06</t>
        </is>
      </c>
      <c r="O23" s="38" t="inlineStr">
        <is>
          <t>M06</t>
        </is>
      </c>
      <c r="P23" s="38" t="inlineStr">
        <is>
          <t>Estado Próximo visible con CTA seguro; N no se deriva de Figma.</t>
        </is>
      </c>
      <c r="Q23" s="38" t="inlineStr">
        <is>
          <t>Pantalla ppal.png</t>
        </is>
      </c>
      <c r="R23" s="38" t="inlineStr">
        <is>
          <t>Revisado en export exacto; ajuste de materializacion pendiente: FG-M06-STATUS-02</t>
        </is>
      </c>
      <c r="S23" s="38" t="inlineStr">
        <is>
          <t>TC-M06-011; TC-M06-019; TC-M06-021; TC-M06-022; TC-M06-024; TC-M06-061</t>
        </is>
      </c>
      <c r="T23" s="38" t="inlineStr">
        <is>
          <t>Pendiente de validación</t>
        </is>
      </c>
      <c r="U23" s="38" t="inlineStr">
        <is>
          <t>Contrato v1.0: CT-M06-02, CT-M06-07, CT-M06-10, CT-M06-14. Ver 06_Contrato_Vigente para BDD y fuentes; evidencia runtime pendiente.
Precision post recorrido: Estados, badges y avisos sin duplicidad [FG-M06-STATUS-02]</t>
        </is>
      </c>
      <c r="V23" s="38" t="inlineStr">
        <is>
          <t>D-M06-CALC-04</t>
        </is>
      </c>
    </row>
    <row r="24" ht="84" customHeight="1">
      <c r="A24" s="39" t="inlineStr">
        <is>
          <t>M06-TR-018</t>
        </is>
      </c>
      <c r="B24" s="39" t="inlineStr">
        <is>
          <t>R01 · Pantalla principal · Card</t>
        </is>
      </c>
      <c r="C24" s="39" t="inlineStr">
        <is>
          <t>Pago vencido</t>
        </is>
      </c>
      <c r="D24" s="39" t="inlineStr">
        <is>
          <t>days_to_due &lt; 0 y no pagado</t>
        </is>
      </c>
      <c r="E24" s="39" t="inlineStr">
        <is>
          <t>Pendiente/Próximo</t>
        </is>
      </c>
      <c r="F24" s="39" t="inlineStr">
        <is>
          <t>Vencido / Urgente</t>
        </is>
      </c>
      <c r="G24" s="39" t="inlineStr">
        <is>
          <t>CA-M6-02; CA-M6-06; CA-F2-07; CA-F3-01; CA-F3-02; CA-F4-01; CA-F4-04; CA-F4-05; CA-F4-06; CA-F5-07; CA-M6-VIS-026; M6-D02; F2-D02; F2-D03; F2-D04; F3-D04; F4-D02; F4-D03; F5-D02</t>
        </is>
      </c>
      <c r="H24" s="39" t="inlineStr">
        <is>
          <t>RN: R-M6-13; R-M6-19; R-M6-030; R-M6-031; R-M6-033; R-M6-091 | BDD: BDD-M6-008; BDD-M6-018</t>
        </is>
      </c>
      <c r="I24" s="39" t="inlineStr">
        <is>
          <t>M06-RGL-012; M06-RGL-015; M06-RGL-028</t>
        </is>
      </c>
      <c r="J24" s="39" t="n"/>
      <c r="K24" s="39" t="inlineStr">
        <is>
          <t>Registrar pago realizado / Revisar pago</t>
        </is>
      </c>
      <c r="L24" s="39" t="inlineStr">
        <is>
          <t>Detalle / Registrar pago</t>
        </is>
      </c>
      <c r="M24" s="39" t="inlineStr">
        <is>
          <t>Pantalla principal</t>
        </is>
      </c>
      <c r="N24" s="39" t="inlineStr">
        <is>
          <t>M06</t>
        </is>
      </c>
      <c r="O24" s="39" t="inlineStr">
        <is>
          <t>M06</t>
        </is>
      </c>
      <c r="P24" s="39" t="inlineStr">
        <is>
          <t>Vencido es visible y no induce pago transaccional.</t>
        </is>
      </c>
      <c r="Q24" s="39" t="inlineStr">
        <is>
          <t>Pantalla ppal.png</t>
        </is>
      </c>
      <c r="R24" s="39" t="inlineStr">
        <is>
          <t>Revisado en export exacto; ajuste de materializacion pendiente: FG-M06-STATUS-02</t>
        </is>
      </c>
      <c r="S24" s="39" t="inlineStr">
        <is>
          <t>TC-M06-010; TC-M06-018; TC-M06-024</t>
        </is>
      </c>
      <c r="T24" s="39" t="inlineStr">
        <is>
          <t>Pendiente de validación</t>
        </is>
      </c>
      <c r="U24" s="39" t="inlineStr">
        <is>
          <t>Contrato v1.0: CT-M06-02, CT-M06-07, CT-M06-10, CT-M06-14. Ver 06_Contrato_Vigente para BDD y fuentes; evidencia runtime pendiente.
Precision post recorrido: Estados, badges y avisos sin duplicidad [FG-M06-STATUS-02]</t>
        </is>
      </c>
      <c r="V24" s="39" t="n"/>
    </row>
    <row r="25" ht="98" customHeight="1">
      <c r="A25" s="38" t="inlineStr">
        <is>
          <t>M06-TR-019</t>
        </is>
      </c>
      <c r="B25" s="38" t="inlineStr">
        <is>
          <t>R01 · Pantalla principal · Card</t>
        </is>
      </c>
      <c r="C25" s="38" t="inlineStr">
        <is>
          <t>Pendiente</t>
        </is>
      </c>
      <c r="D25" s="38" t="inlineStr">
        <is>
          <t>Compromiso consolidado con fecha &gt; N</t>
        </is>
      </c>
      <c r="E25" s="38" t="inlineStr">
        <is>
          <t>Pendiente</t>
        </is>
      </c>
      <c r="F25" s="38" t="inlineStr">
        <is>
          <t>Pendiente</t>
        </is>
      </c>
      <c r="G25" s="38" t="inlineStr">
        <is>
          <t>CA-M6-02; CA-M6-13; CA-F2-07; CA-F2-09; CA-F3-01; CA-F3-04; CA-F4-02; CA-F4-03; CA-F5-10; CA-F5-11; CA-M6-VIS-026; M6-D02; M6-D08; F2-D02; F2-D04; F4-D01; F5-D10; F5-D12</t>
        </is>
      </c>
      <c r="H25" s="38" t="inlineStr">
        <is>
          <t>RN: R-M6-18</t>
        </is>
      </c>
      <c r="I25" s="38" t="inlineStr">
        <is>
          <t>M06-RGL-012; M06-RGL-017</t>
        </is>
      </c>
      <c r="J25" s="38" t="n"/>
      <c r="K25" s="38" t="inlineStr">
        <is>
          <t>Registrar pago realizado</t>
        </is>
      </c>
      <c r="L25" s="38" t="inlineStr">
        <is>
          <t>Registrar pago realizado</t>
        </is>
      </c>
      <c r="M25" s="38" t="inlineStr">
        <is>
          <t>Pantalla principal</t>
        </is>
      </c>
      <c r="N25" s="38" t="inlineStr">
        <is>
          <t>M06</t>
        </is>
      </c>
      <c r="O25" s="38" t="inlineStr">
        <is>
          <t>M06</t>
        </is>
      </c>
      <c r="P25" s="38" t="inlineStr">
        <is>
          <t>Permite declarar pago externo sin checkout.</t>
        </is>
      </c>
      <c r="Q25" s="38" t="inlineStr">
        <is>
          <t>Pantalla ppal.png</t>
        </is>
      </c>
      <c r="R25" s="38" t="inlineStr">
        <is>
          <t>Revisado en export exacto; ajuste de materializacion pendiente: FG-M06-STATUS-02</t>
        </is>
      </c>
      <c r="S25" s="38" t="inlineStr">
        <is>
          <t>TC-M06-023</t>
        </is>
      </c>
      <c r="T25" s="38" t="inlineStr">
        <is>
          <t>Pendiente de validación</t>
        </is>
      </c>
      <c r="U25" s="38" t="inlineStr">
        <is>
          <t>Contrato v1.0: CT-M06-02, CT-M06-07, CT-M06-06, CT-M06-12, CT-M06-13, CT-M06-17. Ver 06_Contrato_Vigente para BDD y fuentes; evidencia runtime pendiente.
Precision post recorrido: Estados, badges y avisos sin duplicidad [FG-M06-STATUS-02]</t>
        </is>
      </c>
      <c r="V25" s="38" t="inlineStr">
        <is>
          <t>OBS-M06-FIG-03</t>
        </is>
      </c>
    </row>
    <row r="26" ht="84" customHeight="1">
      <c r="A26" s="39" t="inlineStr">
        <is>
          <t>M06-TR-020</t>
        </is>
      </c>
      <c r="B26" s="39" t="inlineStr">
        <is>
          <t>R01 · Pantalla principal · Card</t>
        </is>
      </c>
      <c r="C26" s="39" t="inlineStr">
        <is>
          <t>Recurrente probable</t>
        </is>
      </c>
      <c r="D26" s="39" t="inlineStr">
        <is>
          <t>Patrón recurrente detectado</t>
        </is>
      </c>
      <c r="E26" s="39" t="inlineStr">
        <is>
          <t>Patrón</t>
        </is>
      </c>
      <c r="F26" s="39" t="inlineStr">
        <is>
          <t>Recurrente probable</t>
        </is>
      </c>
      <c r="G26" s="39" t="inlineStr">
        <is>
          <t>CA-M6-13</t>
        </is>
      </c>
      <c r="H26" s="39" t="inlineStr">
        <is>
          <t>RN: R-M6-093</t>
        </is>
      </c>
      <c r="I26" s="39" t="inlineStr">
        <is>
          <t>M06-RGL-025; M06-RGL-028</t>
        </is>
      </c>
      <c r="J26" s="39" t="n"/>
      <c r="K26" s="39" t="inlineStr">
        <is>
          <t>Confirmar recurrencia</t>
        </is>
      </c>
      <c r="L26" s="39" t="inlineStr">
        <is>
          <t>M6-SCR-09</t>
        </is>
      </c>
      <c r="M26" s="39" t="inlineStr">
        <is>
          <t>Pantalla principal</t>
        </is>
      </c>
      <c r="N26" s="39" t="inlineStr">
        <is>
          <t>M06</t>
        </is>
      </c>
      <c r="O26" s="39" t="inlineStr">
        <is>
          <t>M06 + capacidad transversal</t>
        </is>
      </c>
      <c r="P26" s="39" t="inlineStr">
        <is>
          <t>No crea futuros compromisos sin confirmación/regla suficiente.</t>
        </is>
      </c>
      <c r="Q26" s="39" t="inlineStr">
        <is>
          <t>Revisar posible recurrente.png</t>
        </is>
      </c>
      <c r="R26" s="39" t="inlineStr">
        <is>
          <t>Revisado en export exacto; ajuste de materializacion pendiente: FG-M06-STATUS-02</t>
        </is>
      </c>
      <c r="S26" s="39" t="inlineStr">
        <is>
          <t>TC-M06-054</t>
        </is>
      </c>
      <c r="T26" s="39" t="inlineStr">
        <is>
          <t>Pendiente de validación</t>
        </is>
      </c>
      <c r="U26" s="39" t="inlineStr">
        <is>
          <t>Contrato v1.0: CT-M06-02, CT-M06-08, CT-M06-14. Ver 06_Contrato_Vigente para BDD y fuentes; evidencia runtime pendiente.
Precision post recorrido: Estados, badges y avisos sin duplicidad [FG-M06-STATUS-02]</t>
        </is>
      </c>
      <c r="V26" s="39" t="n"/>
    </row>
    <row r="27" ht="98" customHeight="1">
      <c r="A27" s="38" t="inlineStr">
        <is>
          <t>M06-TR-021</t>
        </is>
      </c>
      <c r="B27" s="38" t="inlineStr">
        <is>
          <t>R01 · Pantalla principal · Card</t>
        </is>
      </c>
      <c r="C27" s="38" t="inlineStr">
        <is>
          <t>Realizado fuera de Walvy</t>
        </is>
      </c>
      <c r="D27" s="38" t="inlineStr">
        <is>
          <t>Pago registrado realizado</t>
        </is>
      </c>
      <c r="E27" s="38" t="inlineStr">
        <is>
          <t>Pagado</t>
        </is>
      </c>
      <c r="F27" s="38" t="inlineStr">
        <is>
          <t>Pagado</t>
        </is>
      </c>
      <c r="G27" s="38" t="inlineStr">
        <is>
          <t>CA-M6-02</t>
        </is>
      </c>
      <c r="H27" s="38" t="n"/>
      <c r="I27" s="38" t="inlineStr">
        <is>
          <t>M06-RGL-017; M06-RGL-041</t>
        </is>
      </c>
      <c r="J27" s="38" t="n"/>
      <c r="K27" s="38" t="inlineStr">
        <is>
          <t>Ver detalle</t>
        </is>
      </c>
      <c r="L27" s="38" t="inlineStr">
        <is>
          <t>Detalle de pago realizado</t>
        </is>
      </c>
      <c r="M27" s="38" t="inlineStr">
        <is>
          <t>Pantalla principal</t>
        </is>
      </c>
      <c r="N27" s="38" t="inlineStr">
        <is>
          <t>M06</t>
        </is>
      </c>
      <c r="O27" s="38" t="inlineStr">
        <is>
          <t>M06</t>
        </is>
      </c>
      <c r="P27" s="38" t="inlineStr">
        <is>
          <t>El estado comunica hecho externo y conserva historial.</t>
        </is>
      </c>
      <c r="Q27" s="38" t="inlineStr">
        <is>
          <t>pagado.png</t>
        </is>
      </c>
      <c r="R27" s="38" t="inlineStr">
        <is>
          <t>Revisado en export exacto; ajuste de materializacion pendiente: FG-M06-STATUS-02</t>
        </is>
      </c>
      <c r="S27" s="38" t="inlineStr">
        <is>
          <t>TC-M06-012; TC-M06-025</t>
        </is>
      </c>
      <c r="T27" s="38" t="inlineStr">
        <is>
          <t>Pendiente de validación</t>
        </is>
      </c>
      <c r="U27" s="38" t="inlineStr">
        <is>
          <t>Contrato v1.0: CT-M06-02, CT-M06-06, CT-M06-12, CT-M06-13, CT-M06-17, CT-M06-16. Ver 06_Contrato_Vigente para BDD y fuentes; evidencia runtime pendiente.
Precision post recorrido: Estados, badges y avisos sin duplicidad [FG-M06-STATUS-02]</t>
        </is>
      </c>
      <c r="V27" s="38" t="inlineStr">
        <is>
          <t>OBS-M06-FIG-03</t>
        </is>
      </c>
    </row>
    <row r="28" ht="84" customHeight="1">
      <c r="A28" s="39" t="inlineStr">
        <is>
          <t>M06-TR-022</t>
        </is>
      </c>
      <c r="B28" s="39" t="inlineStr">
        <is>
          <t>R01 · Pantalla principal · Card</t>
        </is>
      </c>
      <c r="C28" s="39" t="inlineStr">
        <is>
          <t>Duplicado probable</t>
        </is>
      </c>
      <c r="D28" s="39" t="inlineStr">
        <is>
          <t>Coincidencia con compromiso existente</t>
        </is>
      </c>
      <c r="E28" s="39" t="inlineStr">
        <is>
          <t>Detectado/Pendiente</t>
        </is>
      </c>
      <c r="F28" s="39" t="inlineStr">
        <is>
          <t>Duplicado probable</t>
        </is>
      </c>
      <c r="G28" s="39" t="n"/>
      <c r="H28" s="39" t="n"/>
      <c r="I28" s="39" t="inlineStr">
        <is>
          <t>M06-RGL-023</t>
        </is>
      </c>
      <c r="J28" s="39" t="n"/>
      <c r="K28" s="39" t="inlineStr">
        <is>
          <t>Revisar duplicado</t>
        </is>
      </c>
      <c r="L28" s="39" t="inlineStr">
        <is>
          <t>M6-SCR-08</t>
        </is>
      </c>
      <c r="M28" s="39" t="inlineStr">
        <is>
          <t>Pantalla principal</t>
        </is>
      </c>
      <c r="N28" s="39" t="inlineStr">
        <is>
          <t>M06</t>
        </is>
      </c>
      <c r="O28" s="39" t="inlineStr">
        <is>
          <t>M06</t>
        </is>
      </c>
      <c r="P28" s="39" t="inlineStr">
        <is>
          <t>No fusionar automáticamente.</t>
        </is>
      </c>
      <c r="Q28" s="39" t="inlineStr">
        <is>
          <t>Revisar posible duplicado.png</t>
        </is>
      </c>
      <c r="R28" s="39" t="inlineStr">
        <is>
          <t>Revisado en export exacto; ajuste de materializacion pendiente: FG-M06-STATUS-02</t>
        </is>
      </c>
      <c r="S28" s="39" t="inlineStr">
        <is>
          <t>TC-M06-051</t>
        </is>
      </c>
      <c r="T28" s="39" t="inlineStr">
        <is>
          <t>Pendiente de validación</t>
        </is>
      </c>
      <c r="U28" s="39" t="inlineStr">
        <is>
          <t>Contrato v1.0: CT-M06-02, CT-M06-05. Ver 06_Contrato_Vigente para BDD y fuentes; evidencia runtime pendiente.
Precision post recorrido: Estados, badges y avisos sin duplicidad [FG-M06-STATUS-02]</t>
        </is>
      </c>
      <c r="V28" s="39" t="n"/>
    </row>
    <row r="29" ht="84" customHeight="1">
      <c r="A29" s="38" t="inlineStr">
        <is>
          <t>M06-TR-023</t>
        </is>
      </c>
      <c r="B29" s="38" t="inlineStr">
        <is>
          <t>R01 · Pantalla principal · Card</t>
        </is>
      </c>
      <c r="C29" s="38" t="inlineStr">
        <is>
          <t>Pago realizado probable</t>
        </is>
      </c>
      <c r="D29" s="38" t="inlineStr">
        <is>
          <t>Fuente sugiere pago ya realizado</t>
        </is>
      </c>
      <c r="E29" s="38" t="inlineStr">
        <is>
          <t>Dato detectado</t>
        </is>
      </c>
      <c r="F29" s="38" t="inlineStr">
        <is>
          <t>Pago probable / revisión</t>
        </is>
      </c>
      <c r="G29" s="38" t="n"/>
      <c r="H29" s="38" t="inlineStr">
        <is>
          <t>RN: PR-08</t>
        </is>
      </c>
      <c r="I29" s="38" t="inlineStr">
        <is>
          <t>M06-RGL-020; M06-RGL-022</t>
        </is>
      </c>
      <c r="J29" s="38" t="n"/>
      <c r="K29" s="38" t="inlineStr">
        <is>
          <t>Revisar vínculo / dato</t>
        </is>
      </c>
      <c r="L29" s="38" t="inlineStr">
        <is>
          <t>M6-SCR-07</t>
        </is>
      </c>
      <c r="M29" s="38" t="inlineStr">
        <is>
          <t>Pantalla principal</t>
        </is>
      </c>
      <c r="N29" s="38" t="inlineStr">
        <is>
          <t>M06</t>
        </is>
      </c>
      <c r="O29" s="38" t="inlineStr">
        <is>
          <t>M06 + ingesta</t>
        </is>
      </c>
      <c r="P29" s="38" t="inlineStr">
        <is>
          <t>No marcar Pagado sin confianza/condición suficiente.</t>
        </is>
      </c>
      <c r="Q29" s="38" t="inlineStr">
        <is>
          <t>Revisar pago detectado.png</t>
        </is>
      </c>
      <c r="R29" s="38" t="inlineStr">
        <is>
          <t>Revisado en export exacto; ajuste de materializacion pendiente: FG-M06-STATUS-02</t>
        </is>
      </c>
      <c r="S29" s="38" t="inlineStr">
        <is>
          <t>TC-M06-049; TC-M06-050</t>
        </is>
      </c>
      <c r="T29" s="38" t="inlineStr">
        <is>
          <t>Pendiente de validación</t>
        </is>
      </c>
      <c r="U29" s="38" t="inlineStr">
        <is>
          <t>Contrato v1.0: CT-M06-04, CT-M06-05, CT-M06-06, CT-M06-11, CT-M06-16. Ver 06_Contrato_Vigente para BDD y fuentes; evidencia runtime pendiente.
Precision post recorrido: Estados, badges y avisos sin duplicidad [FG-M06-STATUS-02]</t>
        </is>
      </c>
      <c r="V29" s="38" t="n"/>
    </row>
    <row r="30" ht="98" customHeight="1">
      <c r="A30" s="39" t="inlineStr">
        <is>
          <t>M06-TR-024</t>
        </is>
      </c>
      <c r="B30" s="39" t="inlineStr">
        <is>
          <t>R02 · Todos mis compromisos · Listado</t>
        </is>
      </c>
      <c r="C30" s="39" t="inlineStr">
        <is>
          <t>Filtro Todos</t>
        </is>
      </c>
      <c r="D30" s="39" t="inlineStr">
        <is>
          <t>Usuario abre consolidado</t>
        </is>
      </c>
      <c r="E30" s="39" t="inlineStr">
        <is>
          <t>Todos</t>
        </is>
      </c>
      <c r="F30" s="39" t="inlineStr">
        <is>
          <t>Listado filtrable</t>
        </is>
      </c>
      <c r="G30" s="39" t="inlineStr">
        <is>
          <t>CA-F5-08; F5-D03</t>
        </is>
      </c>
      <c r="H30" s="39" t="inlineStr">
        <is>
          <t>RN: D-CL-M06-02</t>
        </is>
      </c>
      <c r="I30" s="39" t="inlineStr">
        <is>
          <t>M06-RGL-042</t>
        </is>
      </c>
      <c r="J30" s="39" t="n"/>
      <c r="K30" s="39" t="inlineStr">
        <is>
          <t>Ver detalle</t>
        </is>
      </c>
      <c r="L30" s="39" t="inlineStr">
        <is>
          <t>Detalle</t>
        </is>
      </c>
      <c r="M30" s="39" t="inlineStr">
        <is>
          <t>Lista</t>
        </is>
      </c>
      <c r="N30" s="39" t="inlineStr">
        <is>
          <t>M06</t>
        </is>
      </c>
      <c r="O30" s="39" t="inlineStr">
        <is>
          <t>M06</t>
        </is>
      </c>
      <c r="P30" s="39" t="inlineStr">
        <is>
          <t>Filtro no altera estado ni lógica del compromiso.</t>
        </is>
      </c>
      <c r="Q30" s="39" t="inlineStr">
        <is>
          <t>Todos mis compromisos.png / Filtro_ todos.png</t>
        </is>
      </c>
      <c r="R30" s="39" t="inlineStr">
        <is>
          <t>Revisado en export exacto; ajuste de materializacion pendiente: FG-M06-NAV-02, FG-M06-FILTER-02</t>
        </is>
      </c>
      <c r="S30" s="39" t="inlineStr">
        <is>
          <t>TC-M06-026; TC-M06-027; TC-M06-030</t>
        </is>
      </c>
      <c r="T30" s="39" t="inlineStr">
        <is>
          <t>Pendiente de validación</t>
        </is>
      </c>
      <c r="U30" s="39" t="inlineStr">
        <is>
          <t>Contrato v1.0: CT-M06-15, CT-M06-17. Ver 06_Contrato_Vigente para BDD y fuentes; evidencia runtime pendiente.
Precision post recorrido: Conectores, acción Revisar y retornos [FG-M06-NAV-02]; Filtros rápidos, avanzados y resultados [FG-M06-FILTER-02]</t>
        </is>
      </c>
      <c r="V30" s="39" t="inlineStr">
        <is>
          <t>D-CL-M06-02</t>
        </is>
      </c>
    </row>
    <row r="31" ht="98" customHeight="1">
      <c r="A31" s="38" t="inlineStr">
        <is>
          <t>M06-TR-025</t>
        </is>
      </c>
      <c r="B31" s="38" t="inlineStr">
        <is>
          <t>R02 · Todos mis compromisos · Filtro</t>
        </is>
      </c>
      <c r="C31" s="38" t="inlineStr">
        <is>
          <t>Vencidos</t>
        </is>
      </c>
      <c r="D31" s="38" t="inlineStr">
        <is>
          <t>Usuario selecciona Vencidos</t>
        </is>
      </c>
      <c r="E31" s="38" t="inlineStr">
        <is>
          <t>Todos</t>
        </is>
      </c>
      <c r="F31" s="38" t="inlineStr">
        <is>
          <t>Solo Vencido</t>
        </is>
      </c>
      <c r="G31" s="38" t="inlineStr">
        <is>
          <t>CA-F5-08; F5-D03</t>
        </is>
      </c>
      <c r="H31" s="38" t="inlineStr">
        <is>
          <t>RN: D-CL-M06-02</t>
        </is>
      </c>
      <c r="I31" s="38" t="inlineStr">
        <is>
          <t>M06-RGL-015; M06-RGL-042</t>
        </is>
      </c>
      <c r="J31" s="38" t="n"/>
      <c r="K31" s="38" t="inlineStr">
        <is>
          <t>Ver detalle</t>
        </is>
      </c>
      <c r="L31" s="38" t="inlineStr">
        <is>
          <t>Detalle</t>
        </is>
      </c>
      <c r="M31" s="38" t="inlineStr">
        <is>
          <t>Lista</t>
        </is>
      </c>
      <c r="N31" s="38" t="inlineStr">
        <is>
          <t>M06</t>
        </is>
      </c>
      <c r="O31" s="38" t="inlineStr">
        <is>
          <t>M06</t>
        </is>
      </c>
      <c r="P31" s="38" t="inlineStr">
        <is>
          <t>El filtro representa estado backend; no recalcula por UI.</t>
        </is>
      </c>
      <c r="Q31" s="38" t="inlineStr">
        <is>
          <t>Filtro_ vencidos.png</t>
        </is>
      </c>
      <c r="R31" s="38" t="inlineStr">
        <is>
          <t>Revisado en export exacto; ajuste de materializacion pendiente: FG-M06-NAV-02, FG-M06-FILTER-02</t>
        </is>
      </c>
      <c r="S31" s="38" t="inlineStr">
        <is>
          <t>TC-M06-028</t>
        </is>
      </c>
      <c r="T31" s="38" t="inlineStr">
        <is>
          <t>Pendiente de validación</t>
        </is>
      </c>
      <c r="U31" s="38" t="inlineStr">
        <is>
          <t>Contrato v1.0: CT-M06-10, CT-M06-15, CT-M06-17. Ver 06_Contrato_Vigente para BDD y fuentes; evidencia runtime pendiente.
Precision post recorrido: Conectores, acción Revisar y retornos [FG-M06-NAV-02]; Filtros rápidos, avanzados y resultados [FG-M06-FILTER-02]</t>
        </is>
      </c>
      <c r="V31" s="38" t="inlineStr">
        <is>
          <t>D-CL-M06-02</t>
        </is>
      </c>
    </row>
    <row r="32" ht="112" customHeight="1">
      <c r="A32" s="39" t="inlineStr">
        <is>
          <t>M06-TR-026</t>
        </is>
      </c>
      <c r="B32" s="39" t="inlineStr">
        <is>
          <t>R02 · Todos mis compromisos · Filtro</t>
        </is>
      </c>
      <c r="C32" s="39" t="inlineStr">
        <is>
          <t>Por revisar</t>
        </is>
      </c>
      <c r="D32" s="39" t="inlineStr">
        <is>
          <t>Usuario selecciona Por revisar</t>
        </is>
      </c>
      <c r="E32" s="39" t="inlineStr">
        <is>
          <t>Todos</t>
        </is>
      </c>
      <c r="F32" s="39" t="inlineStr">
        <is>
          <t>Detectado/Revisión/colas aplicables</t>
        </is>
      </c>
      <c r="G32" s="39" t="inlineStr">
        <is>
          <t>CA-F5-08; F5-D03</t>
        </is>
      </c>
      <c r="H32" s="39" t="inlineStr">
        <is>
          <t>RN: D-CL-M06-02</t>
        </is>
      </c>
      <c r="I32" s="39" t="inlineStr">
        <is>
          <t>M06-RGL-008; M06-RGL-023; M06-RGL-025; M06-RGL-042</t>
        </is>
      </c>
      <c r="J32" s="39" t="n"/>
      <c r="K32" s="39" t="inlineStr">
        <is>
          <t>Revisar</t>
        </is>
      </c>
      <c r="L32" s="39" t="inlineStr">
        <is>
          <t>Ruta especializada</t>
        </is>
      </c>
      <c r="M32" s="39" t="inlineStr">
        <is>
          <t>Lista</t>
        </is>
      </c>
      <c r="N32" s="39" t="inlineStr">
        <is>
          <t>M06</t>
        </is>
      </c>
      <c r="O32" s="39" t="inlineStr">
        <is>
          <t>M06</t>
        </is>
      </c>
      <c r="P32" s="39" t="inlineStr">
        <is>
          <t>No mezclar semánticamente duplicado/recurrencia con contador Detectados por revisar.</t>
        </is>
      </c>
      <c r="Q32" s="39" t="inlineStr">
        <is>
          <t>Filtro_ por revisar.png</t>
        </is>
      </c>
      <c r="R32" s="39" t="inlineStr">
        <is>
          <t>Revisado en export exacto; ajuste de materializacion pendiente: FG-M06-NAV-02, FG-M06-FILTER-02</t>
        </is>
      </c>
      <c r="S32" s="39" t="inlineStr">
        <is>
          <t>TC-M06-029</t>
        </is>
      </c>
      <c r="T32" s="39" t="inlineStr">
        <is>
          <t>Pendiente de validación</t>
        </is>
      </c>
      <c r="U32" s="39" t="inlineStr">
        <is>
          <t>Contrato v1.0: CT-M06-02, CT-M06-04, CT-M06-05, CT-M06-08, CT-M06-15, CT-M06-17. Ver 06_Contrato_Vigente para BDD y fuentes; evidencia runtime pendiente.
Precision post recorrido: Conectores, acción Revisar y retornos [FG-M06-NAV-02]; Filtros rápidos, avanzados y resultados [FG-M06-FILTER-02]</t>
        </is>
      </c>
      <c r="V32" s="39" t="inlineStr">
        <is>
          <t>D-CL-M06-02</t>
        </is>
      </c>
    </row>
    <row r="33" ht="84" customHeight="1">
      <c r="A33" s="38" t="inlineStr">
        <is>
          <t>M06-TR-027</t>
        </is>
      </c>
      <c r="B33" s="38" t="inlineStr">
        <is>
          <t>R02 · Todos mis compromisos · Búsqueda avanzada</t>
        </is>
      </c>
      <c r="C33" s="38" t="inlineStr">
        <is>
          <t>Aplicar criterios</t>
        </is>
      </c>
      <c r="D33" s="38" t="inlineStr">
        <is>
          <t>Usuario abre búsqueda avanzada</t>
        </is>
      </c>
      <c r="E33" s="38" t="inlineStr">
        <is>
          <t>Lista</t>
        </is>
      </c>
      <c r="F33" s="38" t="inlineStr">
        <is>
          <t>Resultados filtrados</t>
        </is>
      </c>
      <c r="G33" s="38" t="inlineStr">
        <is>
          <t>CA-F5-08; F5-D03</t>
        </is>
      </c>
      <c r="H33" s="38" t="inlineStr">
        <is>
          <t>RN: D-CL-M06-02</t>
        </is>
      </c>
      <c r="I33" s="38" t="inlineStr">
        <is>
          <t>M06-RGL-042</t>
        </is>
      </c>
      <c r="J33" s="38" t="n"/>
      <c r="K33" s="38" t="inlineStr">
        <is>
          <t>Aplicar filtros</t>
        </is>
      </c>
      <c r="L33" s="38" t="inlineStr">
        <is>
          <t>Todos mis compromisos</t>
        </is>
      </c>
      <c r="M33" s="38" t="inlineStr">
        <is>
          <t>Lista</t>
        </is>
      </c>
      <c r="N33" s="38" t="inlineStr">
        <is>
          <t>M06</t>
        </is>
      </c>
      <c r="O33" s="38" t="inlineStr">
        <is>
          <t>M06</t>
        </is>
      </c>
      <c r="P33" s="38" t="inlineStr">
        <is>
          <t>Filtros afectan vista, no estado ni cálculo backend.</t>
        </is>
      </c>
      <c r="Q33" s="38" t="inlineStr">
        <is>
          <t>Sheet - Búsqueda avanzada.png / ejemplo filtro de búsqueda avanzada.png</t>
        </is>
      </c>
      <c r="R33" s="38" t="inlineStr">
        <is>
          <t>Revisado en export exacto; ajuste de materializacion pendiente: FG-M06-FILTER-02</t>
        </is>
      </c>
      <c r="S33" s="38" t="inlineStr">
        <is>
          <t>TC-M06-031</t>
        </is>
      </c>
      <c r="T33" s="38" t="inlineStr">
        <is>
          <t>Pendiente de validación</t>
        </is>
      </c>
      <c r="U33" s="38" t="inlineStr">
        <is>
          <t>Contrato v1.0: CT-M06-15, CT-M06-17. Ver 06_Contrato_Vigente para BDD y fuentes; evidencia runtime pendiente.
Precision post recorrido: Filtros rápidos, avanzados y resultados [FG-M06-FILTER-02]</t>
        </is>
      </c>
      <c r="V33" s="38" t="inlineStr">
        <is>
          <t>D-CL-M06-02</t>
        </is>
      </c>
    </row>
    <row r="34" ht="84" customHeight="1">
      <c r="A34" s="39" t="inlineStr">
        <is>
          <t>M06-TR-028</t>
        </is>
      </c>
      <c r="B34" s="39" t="inlineStr">
        <is>
          <t>R02 · Todos mis compromisos · Búsqueda avanzada</t>
        </is>
      </c>
      <c r="C34" s="39" t="inlineStr">
        <is>
          <t>Guardar filtros</t>
        </is>
      </c>
      <c r="D34" s="39" t="inlineStr">
        <is>
          <t>Usuario guarda combinación</t>
        </is>
      </c>
      <c r="E34" s="39" t="inlineStr">
        <is>
          <t>Filtro aplicado</t>
        </is>
      </c>
      <c r="F34" s="39" t="inlineStr">
        <is>
          <t>Listado con combinación seleccionada aplicada</t>
        </is>
      </c>
      <c r="G34" s="39" t="inlineStr">
        <is>
          <t>CA-F5-08; F5-D03</t>
        </is>
      </c>
      <c r="H34" s="39" t="inlineStr">
        <is>
          <t>RN: D-CL-M06-02</t>
        </is>
      </c>
      <c r="I34" s="39" t="inlineStr">
        <is>
          <t>M06-RGL-042</t>
        </is>
      </c>
      <c r="J34" s="39" t="n"/>
      <c r="K34" s="39" t="inlineStr">
        <is>
          <t>Guardar filtros</t>
        </is>
      </c>
      <c r="L34" s="39" t="inlineStr">
        <is>
          <t>Todos mis compromisos</t>
        </is>
      </c>
      <c r="M34" s="39" t="inlineStr">
        <is>
          <t>Todos mis compromisos con criterios activos</t>
        </is>
      </c>
      <c r="N34" s="39" t="inlineStr">
        <is>
          <t>M06</t>
        </is>
      </c>
      <c r="O34" s="39" t="inlineStr">
        <is>
          <t>M06</t>
        </is>
      </c>
      <c r="P34" s="39" t="inlineStr">
        <is>
          <t>Guardar filtros aplica los criterios actuales y retorna al listado; no crea preset nombrado ni garantiza persistencia entre sesiones/dispositivos.</t>
        </is>
      </c>
      <c r="Q34" s="39" t="inlineStr">
        <is>
          <t>Sheet - Búsqueda avanzada.png</t>
        </is>
      </c>
      <c r="R34" s="39" t="inlineStr">
        <is>
          <t>Revisado en export exacto; ajuste de materializacion pendiente: FG-M06-FILTER-02</t>
        </is>
      </c>
      <c r="S34" s="39" t="inlineStr">
        <is>
          <t>TC-M06-031</t>
        </is>
      </c>
      <c r="T34" s="39" t="inlineStr">
        <is>
          <t>Pendiente de validación</t>
        </is>
      </c>
      <c r="U34" s="39" t="inlineStr">
        <is>
          <t>Contrato v1.0: CT-M06-15, CT-M06-17. Ver 06_Contrato_Vigente para BDD y fuentes; evidencia runtime pendiente.
Precision post recorrido: Filtros rápidos, avanzados y resultados [FG-M06-FILTER-02]</t>
        </is>
      </c>
      <c r="V34" s="39" t="inlineStr">
        <is>
          <t>D-CL-M06-02</t>
        </is>
      </c>
    </row>
    <row r="35" ht="84" customHeight="1">
      <c r="A35" s="38" t="inlineStr">
        <is>
          <t>M06-TR-029</t>
        </is>
      </c>
      <c r="B35" s="38" t="inlineStr">
        <is>
          <t>R02 · Todos mis compromisos · Navegación</t>
        </is>
      </c>
      <c r="C35" s="38" t="inlineStr">
        <is>
          <t>Abrir compromiso</t>
        </is>
      </c>
      <c r="D35" s="38" t="inlineStr">
        <is>
          <t>Usuario toca fila/card</t>
        </is>
      </c>
      <c r="E35" s="38" t="inlineStr">
        <is>
          <t>Listado</t>
        </is>
      </c>
      <c r="F35" s="38" t="inlineStr">
        <is>
          <t>Detalle</t>
        </is>
      </c>
      <c r="G35" s="38" t="n"/>
      <c r="H35" s="38" t="n"/>
      <c r="I35" s="38" t="inlineStr">
        <is>
          <t>M06-RGL-001</t>
        </is>
      </c>
      <c r="J35" s="38" t="n"/>
      <c r="K35" s="38" t="inlineStr">
        <is>
          <t>Ver detalle</t>
        </is>
      </c>
      <c r="L35" s="38" t="inlineStr">
        <is>
          <t>M6-SCR-02</t>
        </is>
      </c>
      <c r="M35" s="38" t="inlineStr">
        <is>
          <t>Todos mis compromisos</t>
        </is>
      </c>
      <c r="N35" s="38" t="inlineStr">
        <is>
          <t>M06</t>
        </is>
      </c>
      <c r="O35" s="38" t="inlineStr">
        <is>
          <t>M06</t>
        </is>
      </c>
      <c r="P35" s="38" t="inlineStr">
        <is>
          <t>Toda fila relevante permite revisar el compromiso en su contexto.</t>
        </is>
      </c>
      <c r="Q35" s="38" t="inlineStr">
        <is>
          <t>Todos mis compromisos-*.png</t>
        </is>
      </c>
      <c r="R35" s="38" t="inlineStr">
        <is>
          <t>Revisado en export exacto; ajuste de materializacion pendiente: FG-M06-NAV-02</t>
        </is>
      </c>
      <c r="S35" s="38" t="inlineStr">
        <is>
          <t>TC-M06-034; TC-M06-066</t>
        </is>
      </c>
      <c r="T35" s="38" t="inlineStr">
        <is>
          <t>Pendiente de validación</t>
        </is>
      </c>
      <c r="U35" s="38" t="inlineStr">
        <is>
          <t>Contrato v1.0: CT-M06-01, CT-M06-17. Ver 06_Contrato_Vigente para BDD y fuentes; evidencia runtime pendiente.
Precision post recorrido: Conectores, acción Revisar y retornos [FG-M06-NAV-02]</t>
        </is>
      </c>
      <c r="V35" s="38" t="n"/>
    </row>
    <row r="36" ht="98" customHeight="1">
      <c r="A36" s="39" t="inlineStr">
        <is>
          <t>M06-TR-030</t>
        </is>
      </c>
      <c r="B36" s="39" t="inlineStr">
        <is>
          <t>R03 · Detalle de compromiso · Estado</t>
        </is>
      </c>
      <c r="C36" s="39" t="inlineStr">
        <is>
          <t>Detalle Pendiente/Próximo/Vencido</t>
        </is>
      </c>
      <c r="D36" s="39" t="inlineStr">
        <is>
          <t>Usuario abre compromiso</t>
        </is>
      </c>
      <c r="E36" s="39" t="inlineStr">
        <is>
          <t>Estado operativo</t>
        </is>
      </c>
      <c r="F36" s="39" t="inlineStr">
        <is>
          <t>Detalle con datos/origen/acciones</t>
        </is>
      </c>
      <c r="G36" s="39" t="n"/>
      <c r="H36" s="39" t="n"/>
      <c r="I36" s="39" t="inlineStr">
        <is>
          <t>M06-RGL-012; M06-RGL-020; M06-RGL-021</t>
        </is>
      </c>
      <c r="J36" s="39" t="n"/>
      <c r="K36" s="39" t="inlineStr">
        <is>
          <t>Revisar / Registrar pago realizado</t>
        </is>
      </c>
      <c r="L36" s="39" t="inlineStr">
        <is>
          <t>Ruta correspondiente</t>
        </is>
      </c>
      <c r="M36" s="39" t="inlineStr">
        <is>
          <t>Pantalla principal/lista</t>
        </is>
      </c>
      <c r="N36" s="39" t="inlineStr">
        <is>
          <t>M06</t>
        </is>
      </c>
      <c r="O36" s="39" t="inlineStr">
        <is>
          <t>M06</t>
        </is>
      </c>
      <c r="P36" s="39" t="inlineStr">
        <is>
          <t>Detalle no convierte origen en comprobante ni cambia estado por sí solo.</t>
        </is>
      </c>
      <c r="Q36" s="39" t="inlineStr">
        <is>
          <t>detalle de compromiso.png / M6-SCR-02</t>
        </is>
      </c>
      <c r="R36" s="39" t="inlineStr">
        <is>
          <t>Revisado en export exacto; ajuste de materializacion pendiente: FG-M06-NAV-02</t>
        </is>
      </c>
      <c r="S36" s="39" t="inlineStr">
        <is>
          <t>TC-M06-034</t>
        </is>
      </c>
      <c r="T36" s="39" t="inlineStr">
        <is>
          <t>Pendiente de validación</t>
        </is>
      </c>
      <c r="U36" s="39" t="inlineStr">
        <is>
          <t>Contrato v1.0: CT-M06-02, CT-M06-07, CT-M06-04, CT-M06-05, CT-M06-06, CT-M06-11, CT-M06-16, CT-M06-12, CT-M06-13. Ver 06_Contrato_Vigente para BDD y fuentes; evidencia runtime pendiente.
Precision post recorrido: Conectores, acción Revisar y retornos [FG-M06-NAV-02]</t>
        </is>
      </c>
      <c r="V36" s="39" t="n"/>
    </row>
    <row r="37" ht="70" customHeight="1">
      <c r="A37" s="38" t="inlineStr">
        <is>
          <t>M06-TR-031</t>
        </is>
      </c>
      <c r="B37" s="38" t="inlineStr">
        <is>
          <t>R03 · Detalle de compromiso · Presentación</t>
        </is>
      </c>
      <c r="C37" s="38" t="inlineStr">
        <is>
          <t>Vencido colapsado/desplegado</t>
        </is>
      </c>
      <c r="D37" s="38" t="inlineStr">
        <is>
          <t>Usuario expande información</t>
        </is>
      </c>
      <c r="E37" s="38" t="inlineStr">
        <is>
          <t>Vencido</t>
        </is>
      </c>
      <c r="F37" s="38" t="inlineStr">
        <is>
          <t>Mismo estado con detalle expandido</t>
        </is>
      </c>
      <c r="G37" s="38" t="n"/>
      <c r="H37" s="38" t="n"/>
      <c r="I37" s="38" t="inlineStr">
        <is>
          <t>M06-RGL-015</t>
        </is>
      </c>
      <c r="J37" s="38" t="n"/>
      <c r="K37" s="38" t="inlineStr">
        <is>
          <t>N/A</t>
        </is>
      </c>
      <c r="L37" s="38" t="inlineStr">
        <is>
          <t>Detalle</t>
        </is>
      </c>
      <c r="M37" s="38" t="inlineStr">
        <is>
          <t>Detalle</t>
        </is>
      </c>
      <c r="N37" s="38" t="inlineStr">
        <is>
          <t>M06</t>
        </is>
      </c>
      <c r="O37" s="38" t="inlineStr">
        <is>
          <t>M06</t>
        </is>
      </c>
      <c r="P37" s="38" t="inlineStr">
        <is>
          <t>Expandir/colapsar no cambia estado ni severidad.</t>
        </is>
      </c>
      <c r="Q37" s="38" t="inlineStr">
        <is>
          <t>vencido colapsado.png / vencido desplegado.png</t>
        </is>
      </c>
      <c r="R37" s="38" t="inlineStr">
        <is>
          <t>Revisado en export exacto; ajuste de materializacion pendiente: FG-M06-NAV-02</t>
        </is>
      </c>
      <c r="S37" s="38" t="inlineStr">
        <is>
          <t>TC-M06-034</t>
        </is>
      </c>
      <c r="T37" s="38" t="inlineStr">
        <is>
          <t>Pendiente de validación</t>
        </is>
      </c>
      <c r="U37" s="38" t="inlineStr">
        <is>
          <t>Contrato v1.0: CT-M06-10. Ver 06_Contrato_Vigente para BDD y fuentes; evidencia runtime pendiente.
Precision post recorrido: Conectores, acción Revisar y retornos [FG-M06-NAV-02]</t>
        </is>
      </c>
      <c r="V37" s="38" t="n"/>
    </row>
    <row r="38" ht="112" customHeight="1">
      <c r="A38" s="39" t="inlineStr">
        <is>
          <t>M06-TR-032</t>
        </is>
      </c>
      <c r="B38" s="39" t="inlineStr">
        <is>
          <t>R03 · Detalle de compromiso · CTA</t>
        </is>
      </c>
      <c r="C38" s="39" t="inlineStr">
        <is>
          <t>Registrar pago realizado</t>
        </is>
      </c>
      <c r="D38" s="39" t="inlineStr">
        <is>
          <t>Compromiso activo no pagado</t>
        </is>
      </c>
      <c r="E38" s="39" t="inlineStr">
        <is>
          <t>Pendiente/Próximo/Vencido</t>
        </is>
      </c>
      <c r="F38" s="39" t="inlineStr">
        <is>
          <t>Abre registro de pago externo</t>
        </is>
      </c>
      <c r="G38" s="39" t="inlineStr">
        <is>
          <t>CA-M6-01; CA-M6-03; CA-M6-14; CA-F2-09; CA-F3-04; CA-F4-01; CA-F4-02; CA-F4-03; CA-F5-10; CA-F5-11; M6-D08; F4-D01; F5-D10; F5-D12</t>
        </is>
      </c>
      <c r="H38" s="39" t="inlineStr">
        <is>
          <t>RN: GR-01; GR-02; GR-13; GR-14; R-M6-17; R-M6-18; R-M6-21; R-M6-040; PR-01 | BDD: BDD-M6-009</t>
        </is>
      </c>
      <c r="I38" s="39" t="inlineStr">
        <is>
          <t>M06-RGL-001; M06-RGL-017</t>
        </is>
      </c>
      <c r="J38" s="39" t="n"/>
      <c r="K38" s="39" t="inlineStr">
        <is>
          <t>Registrar pago realizado</t>
        </is>
      </c>
      <c r="L38" s="39" t="inlineStr">
        <is>
          <t>M6-SCR-05</t>
        </is>
      </c>
      <c r="M38" s="39" t="inlineStr">
        <is>
          <t>Detalle</t>
        </is>
      </c>
      <c r="N38" s="39" t="inlineStr">
        <is>
          <t>M06</t>
        </is>
      </c>
      <c r="O38" s="39" t="inlineStr">
        <is>
          <t>M06</t>
        </is>
      </c>
      <c r="P38" s="39" t="inlineStr">
        <is>
          <t>Copy/acción debe mantener semántica no transaccional aunque Figma use variante “Marcar pagado”.</t>
        </is>
      </c>
      <c r="Q38" s="39" t="inlineStr">
        <is>
          <t>detalle de compromiso.png</t>
        </is>
      </c>
      <c r="R38" s="39" t="inlineStr">
        <is>
          <t>Revisado en export exacto; ajuste de materializacion pendiente: FG-M06-NAV-02, FG-M06-PARCIAL-01</t>
        </is>
      </c>
      <c r="S38" s="39" t="inlineStr">
        <is>
          <t>TC-M06-036; TC-M06-037; TC-M06-066</t>
        </is>
      </c>
      <c r="T38" s="39" t="inlineStr">
        <is>
          <t>Pendiente de validación</t>
        </is>
      </c>
      <c r="U38" s="39" t="inlineStr">
        <is>
          <t>Contrato v1.0: CT-M06-01, CT-M06-17, CT-M06-02, CT-M06-06, CT-M06-12, CT-M06-13. Ver 06_Contrato_Vigente para BDD y fuentes; evidencia runtime pendiente.
Precision post recorrido: Conectores, acción Revisar y retornos [FG-M06-NAV-02]; Pago completo, parcial y múltiples abonos [FG-M06-PARCIAL-01]</t>
        </is>
      </c>
      <c r="V38" s="39" t="inlineStr">
        <is>
          <t>OBS-M06-FIG-03</t>
        </is>
      </c>
    </row>
    <row r="39" ht="98" customHeight="1">
      <c r="A39" s="38" t="inlineStr">
        <is>
          <t>M06-TR-033</t>
        </is>
      </c>
      <c r="B39" s="38" t="inlineStr">
        <is>
          <t>R03 · Detalle de compromiso · Dato</t>
        </is>
      </c>
      <c r="C39" s="38" t="inlineStr">
        <is>
          <t>Origen del dato</t>
        </is>
      </c>
      <c r="D39" s="38" t="inlineStr">
        <is>
          <t>Existe fuente/detección asociada</t>
        </is>
      </c>
      <c r="E39" s="38" t="inlineStr">
        <is>
          <t>Con origen</t>
        </is>
      </c>
      <c r="F39" s="38" t="inlineStr">
        <is>
          <t>Origen consultable</t>
        </is>
      </c>
      <c r="G39" s="38" t="inlineStr">
        <is>
          <t>CA-M6-12; CA-F2-11; CA-F3-05; CA-F4-18; M6-D05; M6-D06; F2-D07; F3-D02; F4-D06; F4-D18; F5-D07</t>
        </is>
      </c>
      <c r="H39" s="38" t="inlineStr">
        <is>
          <t>RN: GR-05; GR-14; GR-16; R-M6-06; R-M6-09; R-M6-20; R-M6-21; R-M6-22; R-M6-050; R-M6-051; R-M6-052; R-M6-054; PR-07 | BDD: BDD-M6-015; BDD-M6-027</t>
        </is>
      </c>
      <c r="I39" s="38" t="inlineStr">
        <is>
          <t>M06-RGL-020; M06-RGL-021</t>
        </is>
      </c>
      <c r="J39" s="38" t="n"/>
      <c r="K39" s="38" t="inlineStr">
        <is>
          <t>Ver origen / revisar dato</t>
        </is>
      </c>
      <c r="L39" s="38" t="inlineStr">
        <is>
          <t>M6-SCR-07</t>
        </is>
      </c>
      <c r="M39" s="38" t="inlineStr">
        <is>
          <t>Detalle</t>
        </is>
      </c>
      <c r="N39" s="38" t="inlineStr">
        <is>
          <t>M06</t>
        </is>
      </c>
      <c r="O39" s="38" t="inlineStr">
        <is>
          <t>M06 + ingesta</t>
        </is>
      </c>
      <c r="P39" s="38" t="inlineStr">
        <is>
          <t>Mostrar origen acotado sin flujo de comprobantes obligatorio.</t>
        </is>
      </c>
      <c r="Q39" s="38" t="inlineStr">
        <is>
          <t>Detalle de compromiso / Revisar pago detectado</t>
        </is>
      </c>
      <c r="R39" s="38" t="inlineStr">
        <is>
          <t>Revisado en export exacto; ajuste de materializacion pendiente: FG-M06-NAV-02</t>
        </is>
      </c>
      <c r="S39" s="38" t="inlineStr">
        <is>
          <t>TC-M06-034; TC-M06-043</t>
        </is>
      </c>
      <c r="T39" s="38" t="inlineStr">
        <is>
          <t>Pendiente de validación</t>
        </is>
      </c>
      <c r="U39" s="38" t="inlineStr">
        <is>
          <t>Contrato v1.0: CT-M06-04, CT-M06-05, CT-M06-06, CT-M06-11, CT-M06-16, CT-M06-12, CT-M06-13. Ver 06_Contrato_Vigente para BDD y fuentes; evidencia runtime pendiente.
Precision post recorrido: Conectores, acción Revisar y retornos [FG-M06-NAV-02]</t>
        </is>
      </c>
      <c r="V39" s="38" t="n"/>
    </row>
    <row r="40" ht="84" customHeight="1">
      <c r="A40" s="39" t="inlineStr">
        <is>
          <t>M06-TR-066</t>
        </is>
      </c>
      <c r="B40" s="39" t="inlineStr">
        <is>
          <t>R03 · Detalle de compromiso · Edición</t>
        </is>
      </c>
      <c r="C40" s="39" t="inlineStr">
        <is>
          <t>Corregir / editar cuenta manual existente</t>
        </is>
      </c>
      <c r="D40" s="39" t="inlineStr">
        <is>
          <t>Usuario abre un compromiso de origen manual ya registrado y elige editar o completar información</t>
        </is>
      </c>
      <c r="E40" s="39" t="inlineStr">
        <is>
          <t>Cuenta manual registrada</t>
        </is>
      </c>
      <c r="F40" s="39" t="inlineStr">
        <is>
          <t>Editar cuenta manual válida delta sin duplicar; conserva origen/historial, recalcula y retorna a contexto vigente. W verifica representacion, no mecanismo.</t>
        </is>
      </c>
      <c r="G40" s="39" t="inlineStr">
        <is>
          <t>CA-M6-12</t>
        </is>
      </c>
      <c r="H40" s="39" t="inlineStr">
        <is>
          <t>RN: R-M6-005</t>
        </is>
      </c>
      <c r="I40" s="39" t="inlineStr">
        <is>
          <t>M06-RGL-005</t>
        </is>
      </c>
      <c r="J40" s="39" t="inlineStr">
        <is>
          <t>Datos editados del compromiso; estado recalculado si cambia fecha u otro dato gobernante</t>
        </is>
      </c>
      <c r="K40" s="39" t="inlineStr">
        <is>
          <t>Editar datos</t>
        </is>
      </c>
      <c r="L40" s="39" t="inlineStr">
        <is>
          <t>Editor reutilizado en modo compromiso manual; destino contractual, conector pendiente de materializar.</t>
        </is>
      </c>
      <c r="M40" s="39" t="inlineStr">
        <is>
          <t>Detalle/lista de origen, preservando período y filtros y recargando la version vigente; pendiente visual.</t>
        </is>
      </c>
      <c r="N40" s="39" t="inlineStr">
        <is>
          <t>M06</t>
        </is>
      </c>
      <c r="O40" s="39" t="inlineStr">
        <is>
          <t>M06</t>
        </is>
      </c>
      <c r="P40" s="39" t="inlineStr">
        <is>
          <t>Guardar la corrección actualiza el compromiso existente sin crear un duplicado, conserva el origen manual y mantiene historial funcional de la modificación.</t>
        </is>
      </c>
      <c r="Q40" s="39" t="inlineStr">
        <is>
          <t>Detalle de compromiso · CTA Editar datos visible</t>
        </is>
      </c>
      <c r="R40" s="39" t="inlineStr">
        <is>
          <t>Revisado en export exacto; ajuste de materializacion pendiente: FG-M06-MANUAL-EDIT-02</t>
        </is>
      </c>
      <c r="S40" s="39" t="inlineStr">
        <is>
          <t>TC-M06-007</t>
        </is>
      </c>
      <c r="T40" s="39" t="inlineStr">
        <is>
          <t>Pendiente de validación</t>
        </is>
      </c>
      <c r="U40" s="39" t="inlineStr">
        <is>
          <t>Contrato v1.0: CT-M06-03, CT-M06-16, CT-M06-17. Ver 06_Contrato_Vigente para BDD y fuentes; evidencia runtime pendiente.
Precision post recorrido: Editar compromiso manual desde su detalle [FG-M06-MANUAL-EDIT-02]</t>
        </is>
      </c>
      <c r="V40" s="39" t="inlineStr">
        <is>
          <t>OBS-M06-FIG-04</t>
        </is>
      </c>
    </row>
    <row r="41" ht="70" customHeight="1">
      <c r="A41" s="38" t="inlineStr">
        <is>
          <t>M06-TR-067</t>
        </is>
      </c>
      <c r="B41" s="38" t="inlineStr">
        <is>
          <t>R03 · Detalle de compromiso · Control de aviso</t>
        </is>
      </c>
      <c r="C41" s="38" t="inlineStr">
        <is>
          <t>Activar alerta [RETIRADO DEL MVP]</t>
        </is>
      </c>
      <c r="D41" s="38" t="inlineStr">
        <is>
          <t>Compromiso no pagado y toggle visible</t>
        </is>
      </c>
      <c r="E41" s="38" t="inlineStr">
        <is>
          <t>Pendiente/Próximo/Vencido</t>
        </is>
      </c>
      <c r="F41" s="38" t="inlineStr">
        <is>
          <t>D-M06-ALERTA-MVP-01: no exponer el control en MVP; Recordarme este pago backlog. OFF/ausencia del control no suprime avisos automáticos M02 ni señales intermodulares.</t>
        </is>
      </c>
      <c r="G41" s="38" t="inlineStr">
        <is>
          <t>CA-M6-06; CA-F3-08; M6-D07; M6-D09</t>
        </is>
      </c>
      <c r="H41" s="38" t="inlineStr">
        <is>
          <t>RN: R-M6-14; R-M6-15; R-M6-27; R-M6-033; R-M6-090; R-M6-091 | BDD: BDD-M6-017; BDD-M6-018; BDD-M6-023</t>
        </is>
      </c>
      <c r="I41" s="38" t="inlineStr">
        <is>
          <t>M06-RGL-028</t>
        </is>
      </c>
      <c r="J41" s="38" t="n"/>
      <c r="K41" s="38" t="inlineStr">
        <is>
          <t>No exponer control local de alerta en MVP.</t>
        </is>
      </c>
      <c r="L41" s="38" t="inlineStr">
        <is>
          <t>No aplica en MVP; Recordarme este pago permanece en backlog.</t>
        </is>
      </c>
      <c r="M41" s="38" t="inlineStr">
        <is>
          <t>Permanece en detalle</t>
        </is>
      </c>
      <c r="N41" s="38" t="inlineStr">
        <is>
          <t>M06 / M02</t>
        </is>
      </c>
      <c r="O41" s="38" t="inlineStr">
        <is>
          <t>M06 señal; M02 Parte 2 orquesta canal/cadencia/preferencias</t>
        </is>
      </c>
      <c r="P41" s="38" t="inlineStr">
        <is>
          <t>Activar/desactivar el control no ejecuta pagos ni suprime señales obligatorias; Próximo/Vencido pueden generar aviso por regla; al registrar pago se resuelve la señal y Pagado no muestra toggle.</t>
        </is>
      </c>
      <c r="Q41" s="38" t="inlineStr">
        <is>
          <t>Detalle de compromiso vencido / flujo vigente</t>
        </is>
      </c>
      <c r="R41" s="38" t="inlineStr">
        <is>
          <t>Revisado en export exacto; ajuste de materializacion pendiente: FG-M06-ALERTA-01</t>
        </is>
      </c>
      <c r="S41" s="38" t="inlineStr">
        <is>
          <t>TC-M06-072</t>
        </is>
      </c>
      <c r="T41" s="38" t="inlineStr">
        <is>
          <t>Pendiente de validación</t>
        </is>
      </c>
      <c r="U41" s="38" t="inlineStr">
        <is>
          <t>Contrato v1.0: CT-M06-14. Ver 06_Contrato_Vigente para BDD y fuentes; evidencia runtime pendiente.
Precision post recorrido: Retirar el control local de alerta del MVP [FG-M06-ALERTA-01]</t>
        </is>
      </c>
      <c r="V41" s="38" t="n"/>
    </row>
    <row r="42" ht="98" customHeight="1">
      <c r="A42" s="39" t="inlineStr">
        <is>
          <t>M06-TR-034</t>
        </is>
      </c>
      <c r="B42" s="39" t="inlineStr">
        <is>
          <t>R04 · Registrar pago realizado · Modal</t>
        </is>
      </c>
      <c r="C42" s="39" t="inlineStr">
        <is>
          <t>Registrar hecho externo</t>
        </is>
      </c>
      <c r="D42" s="39" t="inlineStr">
        <is>
          <t>Usuario declara pago ya realizado</t>
        </is>
      </c>
      <c r="E42" s="39" t="inlineStr">
        <is>
          <t>Pendiente/Próximo/Vencido</t>
        </is>
      </c>
      <c r="F42" s="39" t="inlineStr">
        <is>
          <t>Registrar pago externo completo o abono parcial/multiple. Tras aceptacion, manual/detectado/importado usan el mismo lifecycle de dominio; parcial conserva saldo pendiente. Sin transaccion ni comprobante obligatorio.</t>
        </is>
      </c>
      <c r="G42" s="39" t="inlineStr">
        <is>
          <t>CA-M6-03; CA-M6-14; CA-M6-16; CA-F3-04; CA-F4-03; M6-D05; M6-D08; F4-D01</t>
        </is>
      </c>
      <c r="H42" s="39" t="inlineStr">
        <is>
          <t>RN: R-M6-17; R-M6-040; R-M6-041; PR-01 | BDD: BDD-M6-009</t>
        </is>
      </c>
      <c r="I42" s="39" t="inlineStr">
        <is>
          <t>M06-RGL-017; M06-RGL-018</t>
        </is>
      </c>
      <c r="J42" s="39" t="n"/>
      <c r="K42" s="39" t="inlineStr">
        <is>
          <t>Registrar pago realizado</t>
        </is>
      </c>
      <c r="L42" s="39" t="inlineStr">
        <is>
          <t>Confirmación / detalle</t>
        </is>
      </c>
      <c r="M42" s="39" t="inlineStr">
        <is>
          <t>Pantalla principal/detalle/historial</t>
        </is>
      </c>
      <c r="N42" s="39" t="inlineStr">
        <is>
          <t>M06</t>
        </is>
      </c>
      <c r="O42" s="39" t="inlineStr">
        <is>
          <t>M06</t>
        </is>
      </c>
      <c r="P42" s="39" t="inlineStr">
        <is>
          <t>No hay ejecucion de pago. Cada abono valido se asigna una vez al compromiso/ciclo; parcial no marca Pagado; corrección/reversion y downstream son comunes; provenance conserva el canal.</t>
        </is>
      </c>
      <c r="Q42" s="39" t="inlineStr">
        <is>
          <t>Sheet - Registrar pago realizado.png / Registrar pago realizado.png</t>
        </is>
      </c>
      <c r="R42" s="39" t="inlineStr">
        <is>
          <t>Revisado en export exacto; ajuste de materializacion pendiente: FG-M06-PARCIAL-01</t>
        </is>
      </c>
      <c r="S42" s="39" t="inlineStr">
        <is>
          <t>TC-M06-036</t>
        </is>
      </c>
      <c r="T42" s="39" t="inlineStr">
        <is>
          <t>Pendiente de validación</t>
        </is>
      </c>
      <c r="U42" s="39" t="inlineStr">
        <is>
          <t>Contrato v1.0: CT-M06-02, CT-M06-06, CT-M06-12, CT-M06-13, CT-M06-17, CT-M06-14. Ver 06_Contrato_Vigente para BDD y fuentes; evidencia runtime pendiente.
Precision post recorrido: Pago completo, parcial y múltiples abonos [FG-M06-PARCIAL-01]</t>
        </is>
      </c>
      <c r="V42" s="39" t="inlineStr">
        <is>
          <t>OBS-M06-FIG-03</t>
        </is>
      </c>
    </row>
    <row r="43" ht="112" customHeight="1">
      <c r="A43" s="38" t="inlineStr">
        <is>
          <t>M06-TR-035</t>
        </is>
      </c>
      <c r="B43" s="38" t="inlineStr">
        <is>
          <t>R04 · Registrar pago realizado · Resultado</t>
        </is>
      </c>
      <c r="C43" s="38" t="inlineStr">
        <is>
          <t>Confirmación de registro</t>
        </is>
      </c>
      <c r="D43" s="38" t="inlineStr">
        <is>
          <t>Registro exitoso</t>
        </is>
      </c>
      <c r="E43" s="38" t="inlineStr">
        <is>
          <t>Activo</t>
        </is>
      </c>
      <c r="F43" s="38" t="inlineStr">
        <is>
          <t>Confirmación completa persiste una sola vez, reevalua estado y resuelve solo señal pertinente; cancelar no cambia. CT-M06-06/12.</t>
        </is>
      </c>
      <c r="G43" s="38" t="n"/>
      <c r="H43" s="38" t="inlineStr">
        <is>
          <t>RN: R-M6-042</t>
        </is>
      </c>
      <c r="I43" s="38" t="inlineStr">
        <is>
          <t>M06-RGL-018</t>
        </is>
      </c>
      <c r="J43" s="38" t="n"/>
      <c r="K43" s="38" t="inlineStr">
        <is>
          <t>Ver detalle</t>
        </is>
      </c>
      <c r="L43" s="38" t="inlineStr">
        <is>
          <t>Detalle de pago realizado</t>
        </is>
      </c>
      <c r="M43" s="38" t="inlineStr">
        <is>
          <t>Pantalla principal</t>
        </is>
      </c>
      <c r="N43" s="38" t="inlineStr">
        <is>
          <t>M06</t>
        </is>
      </c>
      <c r="O43" s="38" t="inlineStr">
        <is>
          <t>M06</t>
        </is>
      </c>
      <c r="P43" s="38" t="inlineStr">
        <is>
          <t>El compromiso pasa a Pagado y deja de figurar como vencido/próximo en el snapshot aplicable.</t>
        </is>
      </c>
      <c r="Q43" s="38" t="inlineStr">
        <is>
          <t>Snackbar_success.png / Detalle del pago realizado.png</t>
        </is>
      </c>
      <c r="R43" s="38" t="inlineStr">
        <is>
          <t>Revisado en export exacto; ajuste de materializacion pendiente: FG-M06-PARCIAL-01, FG-M06-PAY-POST-02</t>
        </is>
      </c>
      <c r="S43" s="38" t="inlineStr">
        <is>
          <t>TC-M06-025; TC-M06-038</t>
        </is>
      </c>
      <c r="T43" s="38" t="inlineStr">
        <is>
          <t>Pendiente de validación</t>
        </is>
      </c>
      <c r="U43" s="38" t="inlineStr">
        <is>
          <t>Contrato v1.0: CT-M06-06, CT-M06-14. Ver 06_Contrato_Vigente para BDD y fuentes; evidencia runtime pendiente.
Precision post recorrido: Pago completo, parcial y múltiples abonos [FG-M06-PARCIAL-01]; Resultado del pago y reversibilidad visibles [FG-M06-PAY-POST-02]</t>
        </is>
      </c>
      <c r="V43" s="38" t="n"/>
    </row>
    <row r="44" ht="126" customHeight="1">
      <c r="A44" s="39" t="inlineStr">
        <is>
          <t>M06-TR-036</t>
        </is>
      </c>
      <c r="B44" s="39" t="inlineStr">
        <is>
          <t>R04 · Detalle del pago realizado · Detalle</t>
        </is>
      </c>
      <c r="C44" s="39" t="inlineStr">
        <is>
          <t>Consultar pago registrado</t>
        </is>
      </c>
      <c r="D44" s="39" t="inlineStr">
        <is>
          <t>Usuario abre pago realizado</t>
        </is>
      </c>
      <c r="E44" s="39" t="inlineStr">
        <is>
          <t>Pagado</t>
        </is>
      </c>
      <c r="F44" s="39" t="inlineStr">
        <is>
          <t>Detalle pagado</t>
        </is>
      </c>
      <c r="G44" s="39" t="n"/>
      <c r="H44" s="39" t="inlineStr">
        <is>
          <t>RN: R-M6-041</t>
        </is>
      </c>
      <c r="I44" s="39" t="inlineStr">
        <is>
          <t>M06-RGL-017; M06-RGL-041</t>
        </is>
      </c>
      <c r="J44" s="39" t="n"/>
      <c r="K44" s="39" t="inlineStr">
        <is>
          <t>Editar / Corregir</t>
        </is>
      </c>
      <c r="L44" s="39" t="inlineStr">
        <is>
          <t>Editar pago realizado</t>
        </is>
      </c>
      <c r="M44" s="39" t="inlineStr">
        <is>
          <t>Historial / principal</t>
        </is>
      </c>
      <c r="N44" s="39" t="inlineStr">
        <is>
          <t>M06</t>
        </is>
      </c>
      <c r="O44" s="39" t="inlineStr">
        <is>
          <t>M06</t>
        </is>
      </c>
      <c r="P44" s="39" t="inlineStr">
        <is>
          <t>El detalle muestra registro funcional, no comprobante bancario.</t>
        </is>
      </c>
      <c r="Q44" s="39" t="inlineStr">
        <is>
          <t>Detalle del pago realizado.png</t>
        </is>
      </c>
      <c r="R44" s="39" t="inlineStr">
        <is>
          <t>Revisado en export exacto; ajuste de materializacion pendiente: FG-M06-PARCIAL-01, FG-M06-PAY-POST-02</t>
        </is>
      </c>
      <c r="S44" s="39" t="inlineStr">
        <is>
          <t>TC-M06-038</t>
        </is>
      </c>
      <c r="T44" s="39" t="inlineStr">
        <is>
          <t>Pendiente de validación</t>
        </is>
      </c>
      <c r="U44" s="39" t="inlineStr">
        <is>
          <t>Contrato v1.0: CT-M06-02, CT-M06-06, CT-M06-12, CT-M06-13, CT-M06-17, CT-M06-16. Ver 06_Contrato_Vigente para BDD y fuentes; evidencia runtime pendiente.
Precision post recorrido: Pago completo, parcial y múltiples abonos [FG-M06-PARCIAL-01]; Resultado del pago y reversibilidad visibles [FG-M06-PAY-POST-02]</t>
        </is>
      </c>
      <c r="V44" s="39" t="inlineStr">
        <is>
          <t>OBS-M06-FIG-03</t>
        </is>
      </c>
    </row>
    <row r="45" ht="126" customHeight="1">
      <c r="A45" s="38" t="inlineStr">
        <is>
          <t>M06-TR-037</t>
        </is>
      </c>
      <c r="B45" s="38" t="inlineStr">
        <is>
          <t>R04 · Editar pago realizado · Edición</t>
        </is>
      </c>
      <c r="C45" s="38" t="inlineStr">
        <is>
          <t>Corregir datos</t>
        </is>
      </c>
      <c r="D45" s="38" t="inlineStr">
        <is>
          <t>Usuario modifica pago registrado</t>
        </is>
      </c>
      <c r="E45" s="38" t="inlineStr">
        <is>
          <t>Pagado</t>
        </is>
      </c>
      <c r="F45" s="38" t="inlineStr">
        <is>
          <t>Pagado corregido / estado recalculado</t>
        </is>
      </c>
      <c r="G45" s="38" t="inlineStr">
        <is>
          <t>CA-M6-03; CA-F2-10; CA-F5-15; F3-D03; F4-D07; F5-D09</t>
        </is>
      </c>
      <c r="H45" s="38" t="inlineStr">
        <is>
          <t>RN: GR-11; R-M6-19; R-M6-043; R-M6-044; PR-09 | BDD: BDD-M6-010</t>
        </is>
      </c>
      <c r="I45" s="38" t="inlineStr">
        <is>
          <t>M06-RGL-019</t>
        </is>
      </c>
      <c r="J45" s="38" t="n"/>
      <c r="K45" s="38" t="inlineStr">
        <is>
          <t>Guardar cambios</t>
        </is>
      </c>
      <c r="L45" s="38" t="inlineStr">
        <is>
          <t>Detalle / historial</t>
        </is>
      </c>
      <c r="M45" s="38" t="inlineStr">
        <is>
          <t>Detalle</t>
        </is>
      </c>
      <c r="N45" s="38" t="inlineStr">
        <is>
          <t>M06</t>
        </is>
      </c>
      <c r="O45" s="38" t="inlineStr">
        <is>
          <t>M06</t>
        </is>
      </c>
      <c r="P45" s="38" t="inlineStr">
        <is>
          <t>Corrección conserva historial mínimo y recalcula si cambia fecha/estado aplicable.</t>
        </is>
      </c>
      <c r="Q45" s="38" t="inlineStr">
        <is>
          <t>Sheet_Editar datos del pago realizado.png / Editar datos de pago realizado.png</t>
        </is>
      </c>
      <c r="R45" s="38" t="inlineStr">
        <is>
          <t>Revisado en export exacto; ajuste de materializacion pendiente: FG-M06-PARCIAL-01, FG-M06-PAY-POST-02</t>
        </is>
      </c>
      <c r="S45" s="38" t="inlineStr">
        <is>
          <t>TC-M06-040</t>
        </is>
      </c>
      <c r="T45" s="38" t="inlineStr">
        <is>
          <t>Pendiente de validación</t>
        </is>
      </c>
      <c r="U45" s="38" t="inlineStr">
        <is>
          <t>Contrato v1.0: CT-M06-06, CT-M06-12, CT-M06-13, CT-M06-14, CT-M06-16, CT-M06-17. Ver 06_Contrato_Vigente para BDD y fuentes; evidencia runtime pendiente.
Precision post recorrido: Pago completo, parcial y múltiples abonos [FG-M06-PARCIAL-01]; Resultado del pago y reversibilidad visibles [FG-M06-PAY-POST-02]</t>
        </is>
      </c>
      <c r="V45" s="38" t="n"/>
    </row>
    <row r="46" ht="126" customHeight="1">
      <c r="A46" s="39" t="inlineStr">
        <is>
          <t>M06-TR-038</t>
        </is>
      </c>
      <c r="B46" s="39" t="inlineStr">
        <is>
          <t>R04 · Pago realizado · Reversibilidad</t>
        </is>
      </c>
      <c r="C46" s="39" t="inlineStr">
        <is>
          <t>Deshacer pago realizado</t>
        </is>
      </c>
      <c r="D46" s="39" t="inlineStr">
        <is>
          <t>Usuario marcó por error</t>
        </is>
      </c>
      <c r="E46" s="39" t="inlineStr">
        <is>
          <t>Pagado</t>
        </is>
      </c>
      <c r="F46" s="39" t="inlineStr">
        <is>
          <t>Pendiente/Próximo/Vencido/Revisión según datos actuales</t>
        </is>
      </c>
      <c r="G46" s="39" t="inlineStr">
        <is>
          <t>CA-M6-03; CA-F2-10; CA-F5-15; F3-D03; F4-D07; F5-D09</t>
        </is>
      </c>
      <c r="H46" s="39" t="inlineStr">
        <is>
          <t>RN: GR-11; R-M6-044; R-M6-045; PR-09 | BDD: BDD-M6-010</t>
        </is>
      </c>
      <c r="I46" s="39" t="inlineStr">
        <is>
          <t>M06-RGL-019; M06-RGL-012</t>
        </is>
      </c>
      <c r="J46" s="39" t="n"/>
      <c r="K46" s="39" t="inlineStr">
        <is>
          <t>Corregir / Deshacer</t>
        </is>
      </c>
      <c r="L46" s="39" t="inlineStr">
        <is>
          <t>Detalle / principal</t>
        </is>
      </c>
      <c r="M46" s="39" t="inlineStr">
        <is>
          <t>Detalle/historial</t>
        </is>
      </c>
      <c r="N46" s="39" t="inlineStr">
        <is>
          <t>M06</t>
        </is>
      </c>
      <c r="O46" s="39" t="inlineStr">
        <is>
          <t>M06</t>
        </is>
      </c>
      <c r="P46" s="39" t="inlineStr">
        <is>
          <t>Debe revertir de forma trazable y recalcular estado temporal.</t>
        </is>
      </c>
      <c r="Q46" s="39" t="inlineStr">
        <is>
          <t>Detalle/Editar pago realizado</t>
        </is>
      </c>
      <c r="R46" s="39" t="inlineStr">
        <is>
          <t>Revisado en export exacto; ajuste de materializacion pendiente: FG-M06-PARCIAL-01, FG-M06-PAY-POST-02</t>
        </is>
      </c>
      <c r="S46" s="39" t="inlineStr">
        <is>
          <t>TC-M06-039</t>
        </is>
      </c>
      <c r="T46" s="39" t="inlineStr">
        <is>
          <t>Pendiente de validación</t>
        </is>
      </c>
      <c r="U46" s="39" t="inlineStr">
        <is>
          <t>Contrato v1.0: CT-M06-06, CT-M06-12, CT-M06-13, CT-M06-14, CT-M06-16, CT-M06-17, CT-M06-02, CT-M06-07. Ver 06_Contrato_Vigente para BDD y fuentes; evidencia runtime pendiente.
Precision post recorrido: Pago completo, parcial y múltiples abonos [FG-M06-PARCIAL-01]; Resultado del pago y reversibilidad visibles [FG-M06-PAY-POST-02]</t>
        </is>
      </c>
      <c r="V46" s="39" t="n"/>
    </row>
    <row r="47" ht="84" customHeight="1">
      <c r="A47" s="38" t="inlineStr">
        <is>
          <t>M06-TR-039</t>
        </is>
      </c>
      <c r="B47" s="38" t="inlineStr">
        <is>
          <t>R05 · Revisar pago detectado · Entrada</t>
        </is>
      </c>
      <c r="C47" s="38" t="inlineStr">
        <is>
          <t>Abrir candidato</t>
        </is>
      </c>
      <c r="D47" s="38" t="inlineStr">
        <is>
          <t>Candidato desde ingesta</t>
        </is>
      </c>
      <c r="E47" s="38" t="inlineStr">
        <is>
          <t>Detectado</t>
        </is>
      </c>
      <c r="F47" s="38" t="inlineStr">
        <is>
          <t>Revisión</t>
        </is>
      </c>
      <c r="G47" s="38" t="inlineStr">
        <is>
          <t>CA-M6-04; CA-F2-07; CA-F3-01; CA-F3-06; CA-F4-01; CA-F4-07; CA-F5-07; CA-F5-13; CA-F5-14; CA-M6-VIS-026; F2-D02; F2-D03; F2-D05; F2-D07; F3-D02; F4-D04; F4-D05; F4-D06; F5-D02; F5-D07; F5-D08; F5-D10</t>
        </is>
      </c>
      <c r="H47" s="38" t="inlineStr">
        <is>
          <t>RN: GR-04; GR-15; GR-17; R-M6-01; R-M6-05; R-M6-08; R-M6-010; R-M6-011; R-M6-012; PR-03; PR-07; PR-08 | BDD: BDD-M6-003; BDD-M6-006</t>
        </is>
      </c>
      <c r="I47" s="38" t="inlineStr">
        <is>
          <t>M06-RGL-006; M06-RGL-007; M06-RGL-008</t>
        </is>
      </c>
      <c r="J47" s="38" t="n"/>
      <c r="K47" s="38" t="inlineStr">
        <is>
          <t>Revisar pago detectado</t>
        </is>
      </c>
      <c r="L47" s="38" t="inlineStr">
        <is>
          <t>M6-SCR-04 / M6-SCR-07</t>
        </is>
      </c>
      <c r="M47" s="38" t="inlineStr">
        <is>
          <t>Pantalla principal</t>
        </is>
      </c>
      <c r="N47" s="38" t="inlineStr">
        <is>
          <t>M06</t>
        </is>
      </c>
      <c r="O47" s="38" t="inlineStr">
        <is>
          <t>M06 + ingesta</t>
        </is>
      </c>
      <c r="P47" s="38" t="inlineStr">
        <is>
          <t>Mostrar origen/confianza y opciones confirmables.</t>
        </is>
      </c>
      <c r="Q47" s="38" t="inlineStr">
        <is>
          <t>Revisar pago detectado.png / Sheet_Revisar pago detectado.png</t>
        </is>
      </c>
      <c r="R47" s="38" t="inlineStr">
        <is>
          <t>Revisado en export exacto; ajuste de materializacion pendiente: FG-M06-REVIEW-02</t>
        </is>
      </c>
      <c r="S47" s="38" t="inlineStr">
        <is>
          <t>TC-M06-041; TC-M06-043</t>
        </is>
      </c>
      <c r="T47" s="38" t="inlineStr">
        <is>
          <t>Pendiente de validación</t>
        </is>
      </c>
      <c r="U47" s="38" t="inlineStr">
        <is>
          <t>Contrato v1.0: CT-M06-02, CT-M06-04, CT-M06-05, CT-M06-11, CT-M06-16. Ver 06_Contrato_Vigente para BDD y fuentes; evidencia runtime pendiente.
Precision post recorrido: Confirmar, corregir y descartar detectados [FG-M06-REVIEW-02]</t>
        </is>
      </c>
      <c r="V47" s="38" t="n"/>
    </row>
    <row r="48" ht="84" customHeight="1">
      <c r="A48" s="39" t="inlineStr">
        <is>
          <t>M06-TR-040</t>
        </is>
      </c>
      <c r="B48" s="39" t="inlineStr">
        <is>
          <t>R05 · Revisar pago detectado · Confirmación</t>
        </is>
      </c>
      <c r="C48" s="39" t="inlineStr">
        <is>
          <t>Confirmar compromiso segun fecha aplicable</t>
        </is>
      </c>
      <c r="D48" s="39" t="inlineStr">
        <is>
          <t>Candidato tiene datos mínimos</t>
        </is>
      </c>
      <c r="E48" s="39" t="inlineStr">
        <is>
          <t>Detectado</t>
        </is>
      </c>
      <c r="F48" s="39" t="inlineStr">
        <is>
          <t>Confirmar candidato suficiente y clasificar Pendiente/Próximo/Vencido según fecha; sale de cola. Pago requiere hecho completo confirmado separado.</t>
        </is>
      </c>
      <c r="G48" s="39" t="inlineStr">
        <is>
          <t>CA-M6-05; CA-F4-08; CA-F5-10; CA-M6-VIS-030; F2-D05; F5-D10</t>
        </is>
      </c>
      <c r="H48" s="39" t="inlineStr">
        <is>
          <t>RN: GR-04; GR-17; R-M6-05; R-M6-07; R-M6-013; PR-04 | BDD: BDD-M6-004</t>
        </is>
      </c>
      <c r="I48" s="39" t="inlineStr">
        <is>
          <t>M06-RGL-009</t>
        </is>
      </c>
      <c r="J48" s="39" t="n"/>
      <c r="K48" s="39" t="inlineStr">
        <is>
          <t>Confirmar como pago pendiente</t>
        </is>
      </c>
      <c r="L48" s="39" t="inlineStr">
        <is>
          <t>Pantalla principal</t>
        </is>
      </c>
      <c r="M48" s="39" t="inlineStr">
        <is>
          <t>Pantalla principal</t>
        </is>
      </c>
      <c r="N48" s="39" t="inlineStr">
        <is>
          <t>M06</t>
        </is>
      </c>
      <c r="O48" s="39" t="inlineStr">
        <is>
          <t>M06</t>
        </is>
      </c>
      <c r="P48" s="39" t="inlineStr">
        <is>
          <t>La confirmación no equivale a pago realizado.</t>
        </is>
      </c>
      <c r="Q48" s="39" t="inlineStr">
        <is>
          <t>Sheet_Revisar pago detectado.png</t>
        </is>
      </c>
      <c r="R48" s="39" t="inlineStr">
        <is>
          <t>Revisado en export exacto; ajuste de materializacion pendiente: FG-M06-REVIEW-02</t>
        </is>
      </c>
      <c r="S48" s="39" t="inlineStr">
        <is>
          <t>TC-M06-042</t>
        </is>
      </c>
      <c r="T48" s="39" t="inlineStr">
        <is>
          <t>Pendiente de validación</t>
        </is>
      </c>
      <c r="U48" s="39" t="inlineStr">
        <is>
          <t>Contrato v1.0: CT-M06-02, CT-M06-05, CT-M06-13, CT-M06-17. Ver 06_Contrato_Vigente para BDD y fuentes; evidencia runtime pendiente.
Precision post recorrido: Confirmar, corregir y descartar detectados [FG-M06-REVIEW-02]</t>
        </is>
      </c>
      <c r="V48" s="39" t="n"/>
    </row>
    <row r="49" ht="98" customHeight="1">
      <c r="A49" s="38" t="inlineStr">
        <is>
          <t>M06-TR-041</t>
        </is>
      </c>
      <c r="B49" s="38" t="inlineStr">
        <is>
          <t>R05 · Revisar pago detectado · Confirmación</t>
        </is>
      </c>
      <c r="C49" s="38" t="inlineStr">
        <is>
          <t>Confirmar como pago realizado</t>
        </is>
      </c>
      <c r="D49" s="38" t="inlineStr">
        <is>
          <t>Candidato indica pago ya realizado con condición suficiente</t>
        </is>
      </c>
      <c r="E49" s="38" t="inlineStr">
        <is>
          <t>Detectado</t>
        </is>
      </c>
      <c r="F49" s="38" t="inlineStr">
        <is>
          <t>Pagado</t>
        </is>
      </c>
      <c r="G49" s="38" t="inlineStr">
        <is>
          <t>CA-M6-14; CA-M6-16; CA-F2-11; CA-F3-05; CA-F3-06; CA-F4-07; CA-F4-08; CA-F4-18; CA-F5-13; M6-D05; M6-D06; F2-D05; F2-D07; F3-D02; F4-D06; F4-D18; F5-D07</t>
        </is>
      </c>
      <c r="H49" s="38" t="inlineStr">
        <is>
          <t>RN: GR-05; GR-13; GR-14; R-M6-09; R-M6-17; R-M6-20; R-M6-21; R-M6-22; R-M6-040; R-M6-050; R-M6-051; R-M6-054; R-M6-056; PR-04; PR-08 | BDD: BDD-M6-009; BDD-M6-015; BDD-M6-027</t>
        </is>
      </c>
      <c r="I49" s="38" t="inlineStr">
        <is>
          <t>M06-RGL-009; M06-RGL-017; M06-RGL-020</t>
        </is>
      </c>
      <c r="J49" s="38" t="n"/>
      <c r="K49" s="38" t="inlineStr">
        <is>
          <t>Confirmar como pago realizado</t>
        </is>
      </c>
      <c r="L49" s="38" t="inlineStr">
        <is>
          <t>Pantalla principal / detalle pagado</t>
        </is>
      </c>
      <c r="M49" s="38" t="inlineStr">
        <is>
          <t>Pantalla principal</t>
        </is>
      </c>
      <c r="N49" s="38" t="inlineStr">
        <is>
          <t>M06</t>
        </is>
      </c>
      <c r="O49" s="38" t="inlineStr">
        <is>
          <t>M06 + ingesta</t>
        </is>
      </c>
      <c r="P49" s="38" t="inlineStr">
        <is>
          <t>Registro de pago externo con trazabilidad; no validación probatoria.</t>
        </is>
      </c>
      <c r="Q49" s="38" t="inlineStr">
        <is>
          <t>Revisar pago detectado.png</t>
        </is>
      </c>
      <c r="R49" s="38" t="inlineStr">
        <is>
          <t>Revisado en export exacto; ajuste de materializacion pendiente: FG-M06-REVIEW-02</t>
        </is>
      </c>
      <c r="S49" s="38" t="inlineStr">
        <is>
          <t>TC-M06-049</t>
        </is>
      </c>
      <c r="T49" s="38" t="inlineStr">
        <is>
          <t>Pendiente de validación</t>
        </is>
      </c>
      <c r="U49" s="38" t="inlineStr">
        <is>
          <t>Contrato v1.0: CT-M06-02, CT-M06-05, CT-M06-13, CT-M06-17, CT-M06-06, CT-M06-12, CT-M06-04, CT-M06-11, CT-M06-16. Ver 06_Contrato_Vigente para BDD y fuentes; evidencia runtime pendiente.
Precision post recorrido: Confirmar, corregir y descartar detectados [FG-M06-REVIEW-02]</t>
        </is>
      </c>
      <c r="V49" s="38" t="inlineStr">
        <is>
          <t>OBS-M06-FIG-03</t>
        </is>
      </c>
    </row>
    <row r="50" ht="84" customHeight="1">
      <c r="A50" s="39" t="inlineStr">
        <is>
          <t>M06-TR-042</t>
        </is>
      </c>
      <c r="B50" s="39" t="inlineStr">
        <is>
          <t>R05 · Revisar pago detectado · Corrección</t>
        </is>
      </c>
      <c r="C50" s="39" t="inlineStr">
        <is>
          <t>Corregir candidato</t>
        </is>
      </c>
      <c r="D50" s="39" t="inlineStr">
        <is>
          <t>Dato detectado requiere ajuste</t>
        </is>
      </c>
      <c r="E50" s="39" t="inlineStr">
        <is>
          <t>Detectado/Revisión</t>
        </is>
      </c>
      <c r="F50" s="39" t="inlineStr">
        <is>
          <t>Estado corregido</t>
        </is>
      </c>
      <c r="G50" s="39" t="inlineStr">
        <is>
          <t>CA-M6-05; CA-F4-08; CA-M6-VIS-030; F2-D05</t>
        </is>
      </c>
      <c r="H50" s="39" t="inlineStr">
        <is>
          <t>RN: R-M6-07; R-M6-014; PR-04 | BDD: BDD-M6-005</t>
        </is>
      </c>
      <c r="I50" s="39" t="inlineStr">
        <is>
          <t>M06-RGL-010</t>
        </is>
      </c>
      <c r="J50" s="39" t="n"/>
      <c r="K50" s="39" t="inlineStr">
        <is>
          <t>Corregir</t>
        </is>
      </c>
      <c r="L50" s="39" t="inlineStr">
        <is>
          <t>Mismo flujo / detalle</t>
        </is>
      </c>
      <c r="M50" s="39" t="inlineStr">
        <is>
          <t>Pantalla principal</t>
        </is>
      </c>
      <c r="N50" s="39" t="inlineStr">
        <is>
          <t>M06</t>
        </is>
      </c>
      <c r="O50" s="39" t="inlineStr">
        <is>
          <t>M06</t>
        </is>
      </c>
      <c r="P50" s="39" t="inlineStr">
        <is>
          <t>El dato corregido gobierna sin perder provenance.</t>
        </is>
      </c>
      <c r="Q50" s="39" t="inlineStr">
        <is>
          <t>Sheet_Revisar pago detectado.png</t>
        </is>
      </c>
      <c r="R50" s="39" t="inlineStr">
        <is>
          <t>Revisado en export exacto; ajuste de materializacion pendiente: FG-M06-REVIEW-02</t>
        </is>
      </c>
      <c r="S50" s="39" t="inlineStr">
        <is>
          <t>TC-M06-046</t>
        </is>
      </c>
      <c r="T50" s="39" t="inlineStr">
        <is>
          <t>Pendiente de validación</t>
        </is>
      </c>
      <c r="U50" s="39" t="inlineStr">
        <is>
          <t>Contrato v1.0: CT-M06-05, CT-M06-13. Ver 06_Contrato_Vigente para BDD y fuentes; evidencia runtime pendiente.
Precision post recorrido: Confirmar, corregir y descartar detectados [FG-M06-REVIEW-02]</t>
        </is>
      </c>
      <c r="V50" s="39" t="n"/>
    </row>
    <row r="51" ht="112" customHeight="1">
      <c r="A51" s="38" t="inlineStr">
        <is>
          <t>M06-TR-043</t>
        </is>
      </c>
      <c r="B51" s="38" t="inlineStr">
        <is>
          <t>R05 · Revisar pago detectado · Descarte</t>
        </is>
      </c>
      <c r="C51" s="38" t="inlineStr">
        <is>
          <t>Descartar candidato</t>
        </is>
      </c>
      <c r="D51" s="38" t="inlineStr">
        <is>
          <t>Usuario confirma que no corresponde</t>
        </is>
      </c>
      <c r="E51" s="38" t="inlineStr">
        <is>
          <t>Detectado</t>
        </is>
      </c>
      <c r="F51" s="38" t="inlineStr">
        <is>
          <t>Descartado</t>
        </is>
      </c>
      <c r="G51" s="38" t="inlineStr">
        <is>
          <t>CA-M6-05; CA-F4-08; CA-M6-VIS-030; F2-D05</t>
        </is>
      </c>
      <c r="H51" s="38" t="inlineStr">
        <is>
          <t>RN: R-M6-07; R-M6-015; PR-04</t>
        </is>
      </c>
      <c r="I51" s="38" t="inlineStr">
        <is>
          <t>M06-RGL-011</t>
        </is>
      </c>
      <c r="J51" s="38" t="n"/>
      <c r="K51" s="38" t="inlineStr">
        <is>
          <t>Descartar</t>
        </is>
      </c>
      <c r="L51" s="38" t="inlineStr">
        <is>
          <t>Pantalla principal</t>
        </is>
      </c>
      <c r="M51" s="38" t="inlineStr">
        <is>
          <t>Pantalla principal</t>
        </is>
      </c>
      <c r="N51" s="38" t="inlineStr">
        <is>
          <t>M06</t>
        </is>
      </c>
      <c r="O51" s="38" t="inlineStr">
        <is>
          <t>M06</t>
        </is>
      </c>
      <c r="P51" s="38" t="inlineStr">
        <is>
          <t>No reaparece insistentemente sin nueva señal.</t>
        </is>
      </c>
      <c r="Q51" s="38" t="inlineStr">
        <is>
          <t>Sheet_Revisar pago detectado.png</t>
        </is>
      </c>
      <c r="R51" s="38" t="inlineStr">
        <is>
          <t>Revisado en export exacto; ajuste de materializacion pendiente: FG-M06-REVIEW-02, FG-M06-DUP-02</t>
        </is>
      </c>
      <c r="S51" s="38" t="inlineStr">
        <is>
          <t>TC-M06-047; TC-M06-048</t>
        </is>
      </c>
      <c r="T51" s="38" t="inlineStr">
        <is>
          <t>Pendiente de validación</t>
        </is>
      </c>
      <c r="U51" s="38" t="inlineStr">
        <is>
          <t>Contrato v1.0: CT-M06-05, CT-M06-13. Ver 06_Contrato_Vigente para BDD y fuentes; evidencia runtime pendiente.
Precision post recorrido: Confirmar, corregir y descartar detectados [FG-M06-REVIEW-02]; Duplicados: mismo, distintos o descartar candidato [FG-M06-DUP-02]</t>
        </is>
      </c>
      <c r="V51" s="38" t="n"/>
    </row>
    <row r="52" ht="84" customHeight="1">
      <c r="A52" s="39" t="inlineStr">
        <is>
          <t>M06-TR-044</t>
        </is>
      </c>
      <c r="B52" s="39" t="inlineStr">
        <is>
          <t>R05 · Revisar pago detectado · Baja confianza</t>
        </is>
      </c>
      <c r="C52" s="39" t="inlineStr">
        <is>
          <t>Dato insuficiente</t>
        </is>
      </c>
      <c r="D52" s="39" t="inlineStr">
        <is>
          <t>Confianza baja o contradicción</t>
        </is>
      </c>
      <c r="E52" s="39" t="inlineStr">
        <is>
          <t>Detectado</t>
        </is>
      </c>
      <c r="F52" s="39" t="inlineStr">
        <is>
          <t>Requiere revisión</t>
        </is>
      </c>
      <c r="G52" s="39" t="inlineStr">
        <is>
          <t>CA-M6-04</t>
        </is>
      </c>
      <c r="H52" s="39" t="inlineStr">
        <is>
          <t>RN: R-M6-08; R-M6-012; R-M6-053; R-M6-055; R-M6-057; R-M6-083 | BDD: BDD-M6-015; BDD-M6-016</t>
        </is>
      </c>
      <c r="I52" s="39" t="inlineStr">
        <is>
          <t>M06-RGL-008; M06-RGL-022</t>
        </is>
      </c>
      <c r="J52" s="39" t="n"/>
      <c r="K52" s="39" t="inlineStr">
        <is>
          <t>Revisar origen / Completar</t>
        </is>
      </c>
      <c r="L52" s="39" t="inlineStr">
        <is>
          <t>M6-SCR-07 / M6-SCR-03</t>
        </is>
      </c>
      <c r="M52" s="39" t="inlineStr">
        <is>
          <t>Pantalla principal</t>
        </is>
      </c>
      <c r="N52" s="39" t="inlineStr">
        <is>
          <t>M06</t>
        </is>
      </c>
      <c r="O52" s="39" t="inlineStr">
        <is>
          <t>M06 + ingesta</t>
        </is>
      </c>
      <c r="P52" s="39" t="inlineStr">
        <is>
          <t>No marcar Pagado ni emitir señal crítica.</t>
        </is>
      </c>
      <c r="Q52" s="39" t="inlineStr">
        <is>
          <t>Datos insuficientes.png / Revisar pago detectado.png</t>
        </is>
      </c>
      <c r="R52" s="39" t="inlineStr">
        <is>
          <t>Revisado en export exacto; ajuste de materializacion pendiente: FG-M06-REVIEW-02</t>
        </is>
      </c>
      <c r="S52" s="39" t="inlineStr">
        <is>
          <t>TC-M06-044; TC-M06-045; TC-M06-050</t>
        </is>
      </c>
      <c r="T52" s="39" t="inlineStr">
        <is>
          <t>Pendiente de validación</t>
        </is>
      </c>
      <c r="U52" s="39" t="inlineStr">
        <is>
          <t>Contrato v1.0: CT-M06-02, CT-M06-04, CT-M06-05, CT-M06-06. Ver 06_Contrato_Vigente para BDD y fuentes; evidencia runtime pendiente.
Precision post recorrido: Confirmar, corregir y descartar detectados [FG-M06-REVIEW-02]</t>
        </is>
      </c>
      <c r="V52" s="39" t="n"/>
    </row>
    <row r="53" ht="84" customHeight="1">
      <c r="A53" s="38" t="inlineStr">
        <is>
          <t>M06-TR-045</t>
        </is>
      </c>
      <c r="B53" s="38" t="inlineStr">
        <is>
          <t>R06 · Revisar posible duplicado · Entrada</t>
        </is>
      </c>
      <c r="C53" s="38" t="inlineStr">
        <is>
          <t>Duplicado probable</t>
        </is>
      </c>
      <c r="D53" s="38" t="inlineStr">
        <is>
          <t>Coincidencia funcional con existente</t>
        </is>
      </c>
      <c r="E53" s="38" t="inlineStr">
        <is>
          <t>Detectado/Pendiente</t>
        </is>
      </c>
      <c r="F53" s="38" t="inlineStr">
        <is>
          <t>Duplicado probable</t>
        </is>
      </c>
      <c r="G53" s="38" t="inlineStr">
        <is>
          <t>CA-F2-07; CA-F3-01; CA-F3-07; CA-F4-01; CA-F4-10; CA-F5-07; CA-F5-10; F2-D02; F3-D03; F4-D08; F5-D02; F5-D10</t>
        </is>
      </c>
      <c r="H53" s="38" t="inlineStr">
        <is>
          <t>RN: GR-06; R-M6-10; R-M6-060; R-M6-061; R-M6-062 | BDD: BDD-M6-011</t>
        </is>
      </c>
      <c r="I53" s="38" t="inlineStr">
        <is>
          <t>M06-RGL-023</t>
        </is>
      </c>
      <c r="J53" s="38" t="n"/>
      <c r="K53" s="38" t="inlineStr">
        <is>
          <t>Revisar duplicado</t>
        </is>
      </c>
      <c r="L53" s="38" t="inlineStr">
        <is>
          <t>M6-SCR-08</t>
        </is>
      </c>
      <c r="M53" s="38" t="inlineStr">
        <is>
          <t>Pantalla principal</t>
        </is>
      </c>
      <c r="N53" s="38" t="inlineStr">
        <is>
          <t>M06</t>
        </is>
      </c>
      <c r="O53" s="38" t="inlineStr">
        <is>
          <t>M06</t>
        </is>
      </c>
      <c r="P53" s="38" t="inlineStr">
        <is>
          <t>No fusionar/crear automáticamente antes de decisión.</t>
        </is>
      </c>
      <c r="Q53" s="38" t="inlineStr">
        <is>
          <t>Revisar posible duplicado.png / Sheet - Revisar posible pago duplicado.png</t>
        </is>
      </c>
      <c r="R53" s="38" t="inlineStr">
        <is>
          <t>Revisado en export exacto; ajuste de materializacion pendiente: FG-M06-DUP-02</t>
        </is>
      </c>
      <c r="S53" s="38" t="inlineStr">
        <is>
          <t>TC-M06-051</t>
        </is>
      </c>
      <c r="T53" s="38" t="inlineStr">
        <is>
          <t>Pendiente de validación</t>
        </is>
      </c>
      <c r="U53" s="38" t="inlineStr">
        <is>
          <t>Contrato v1.0: CT-M06-02, CT-M06-05. Ver 06_Contrato_Vigente para BDD y fuentes; evidencia runtime pendiente.
Precision post recorrido: Duplicados: mismo, distintos o descartar candidato [FG-M06-DUP-02]</t>
        </is>
      </c>
      <c r="V53" s="38" t="n"/>
    </row>
    <row r="54" ht="84" customHeight="1">
      <c r="A54" s="39" t="inlineStr">
        <is>
          <t>M06-TR-046</t>
        </is>
      </c>
      <c r="B54" s="39" t="inlineStr">
        <is>
          <t>R06 · Revisar posible duplicado · Resolución</t>
        </is>
      </c>
      <c r="C54" s="39" t="inlineStr">
        <is>
          <t>Es el mismo pago</t>
        </is>
      </c>
      <c r="D54" s="39" t="inlineStr">
        <is>
          <t>Usuario confirma duplicidad</t>
        </is>
      </c>
      <c r="E54" s="39" t="inlineStr">
        <is>
          <t>Duplicado probable</t>
        </is>
      </c>
      <c r="F54" s="39" t="inlineStr">
        <is>
          <t>Vinculado/Descartado</t>
        </is>
      </c>
      <c r="G54" s="39" t="inlineStr">
        <is>
          <t>F3-D03; F4-D08</t>
        </is>
      </c>
      <c r="H54" s="39" t="inlineStr">
        <is>
          <t>RN: GR-06; GR-18; R-M6-063</t>
        </is>
      </c>
      <c r="I54" s="39" t="inlineStr">
        <is>
          <t>M06-RGL-024</t>
        </is>
      </c>
      <c r="J54" s="39" t="n"/>
      <c r="K54" s="39" t="inlineStr">
        <is>
          <t>Confirmar mismo pago</t>
        </is>
      </c>
      <c r="L54" s="39" t="inlineStr">
        <is>
          <t>Pantalla principal/historial</t>
        </is>
      </c>
      <c r="M54" s="39" t="inlineStr">
        <is>
          <t>Pantalla principal</t>
        </is>
      </c>
      <c r="N54" s="39" t="inlineStr">
        <is>
          <t>M06</t>
        </is>
      </c>
      <c r="O54" s="39" t="inlineStr">
        <is>
          <t>M06</t>
        </is>
      </c>
      <c r="P54" s="39" t="inlineStr">
        <is>
          <t>Conservar trazabilidad de la resolución.</t>
        </is>
      </c>
      <c r="Q54" s="39" t="inlineStr">
        <is>
          <t>Sheet - Revisar posible pago duplicado.png</t>
        </is>
      </c>
      <c r="R54" s="39" t="inlineStr">
        <is>
          <t>Revisado en export exacto; ajuste de materializacion pendiente: FG-M06-DUP-02</t>
        </is>
      </c>
      <c r="S54" s="39" t="inlineStr">
        <is>
          <t>TC-M06-052</t>
        </is>
      </c>
      <c r="T54" s="39" t="inlineStr">
        <is>
          <t>Pendiente de validación</t>
        </is>
      </c>
      <c r="U54" s="39" t="inlineStr">
        <is>
          <t>Contrato v1.0: CT-M06-05, CT-M06-06, CT-M06-13, CT-M06-17. Ver 06_Contrato_Vigente para BDD y fuentes; evidencia runtime pendiente.
Precision post recorrido: Duplicados: mismo, distintos o descartar candidato [FG-M06-DUP-02]</t>
        </is>
      </c>
      <c r="V54" s="39" t="n"/>
    </row>
    <row r="55" ht="84" customHeight="1">
      <c r="A55" s="38" t="inlineStr">
        <is>
          <t>M06-TR-047</t>
        </is>
      </c>
      <c r="B55" s="38" t="inlineStr">
        <is>
          <t>R06 · Revisar posible duplicado · Resolución</t>
        </is>
      </c>
      <c r="C55" s="38" t="inlineStr">
        <is>
          <t>Son pagos distintos</t>
        </is>
      </c>
      <c r="D55" s="38" t="inlineStr">
        <is>
          <t>Usuario rechaza duplicidad</t>
        </is>
      </c>
      <c r="E55" s="38" t="inlineStr">
        <is>
          <t>Duplicado probable</t>
        </is>
      </c>
      <c r="F55" s="38" t="inlineStr">
        <is>
          <t>Registros separados</t>
        </is>
      </c>
      <c r="G55" s="38" t="inlineStr">
        <is>
          <t>F3-D03; F4-D08</t>
        </is>
      </c>
      <c r="H55" s="38" t="inlineStr">
        <is>
          <t>RN: GR-06; GR-18; R-M6-064</t>
        </is>
      </c>
      <c r="I55" s="38" t="inlineStr">
        <is>
          <t>M06-RGL-024</t>
        </is>
      </c>
      <c r="J55" s="38" t="n"/>
      <c r="K55" s="38" t="inlineStr">
        <is>
          <t>Mantener separados</t>
        </is>
      </c>
      <c r="L55" s="38" t="inlineStr">
        <is>
          <t>Pantalla principal</t>
        </is>
      </c>
      <c r="M55" s="38" t="inlineStr">
        <is>
          <t>Pantalla principal</t>
        </is>
      </c>
      <c r="N55" s="38" t="inlineStr">
        <is>
          <t>M06</t>
        </is>
      </c>
      <c r="O55" s="38" t="inlineStr">
        <is>
          <t>M06</t>
        </is>
      </c>
      <c r="P55" s="38" t="inlineStr">
        <is>
          <t>No fusionar y conservar ambos compromisos.</t>
        </is>
      </c>
      <c r="Q55" s="38" t="inlineStr">
        <is>
          <t>Sheet - Revisar posible pago duplicado.png</t>
        </is>
      </c>
      <c r="R55" s="38" t="inlineStr">
        <is>
          <t>Revisado en export exacto; ajuste de materializacion pendiente: FG-M06-DUP-02</t>
        </is>
      </c>
      <c r="S55" s="38" t="inlineStr">
        <is>
          <t>TC-M06-053</t>
        </is>
      </c>
      <c r="T55" s="38" t="inlineStr">
        <is>
          <t>Pendiente de validación</t>
        </is>
      </c>
      <c r="U55" s="38" t="inlineStr">
        <is>
          <t>Contrato v1.0: CT-M06-05, CT-M06-06, CT-M06-13, CT-M06-17. Ver 06_Contrato_Vigente para BDD y fuentes; evidencia runtime pendiente.
Precision post recorrido: Duplicados: mismo, distintos o descartar candidato [FG-M06-DUP-02]</t>
        </is>
      </c>
      <c r="V55" s="38" t="n"/>
    </row>
    <row r="56" ht="84" customHeight="1">
      <c r="A56" s="39" t="inlineStr">
        <is>
          <t>M06-TR-048</t>
        </is>
      </c>
      <c r="B56" s="39" t="inlineStr">
        <is>
          <t>R07 · Revisar posible recurrente · Entrada</t>
        </is>
      </c>
      <c r="C56" s="39" t="inlineStr">
        <is>
          <t>Recurrencia probable</t>
        </is>
      </c>
      <c r="D56" s="39" t="inlineStr">
        <is>
          <t>Patrón detectado</t>
        </is>
      </c>
      <c r="E56" s="39" t="inlineStr">
        <is>
          <t>Pago/patrón</t>
        </is>
      </c>
      <c r="F56" s="39" t="inlineStr">
        <is>
          <t>Recurrente probable</t>
        </is>
      </c>
      <c r="G56" s="39" t="inlineStr">
        <is>
          <t>CA-M6-07; CA-F2-07; CA-F3-01; CA-F3-07; CA-F4-01; CA-F4-11; CA-F5-07; CA-F5-10; CA-M6-VIS-026; CA-M6-VIS-027; F2-D02; F2-D06; F3-D03; F4-D09; F5-D02; F5-D10</t>
        </is>
      </c>
      <c r="H56" s="39" t="inlineStr">
        <is>
          <t>RN: GR-07; R-M6-23; R-M6-24; R-M6-070; R-M6-071 | BDD: BDD-M6-012</t>
        </is>
      </c>
      <c r="I56" s="39" t="inlineStr">
        <is>
          <t>M06-RGL-025</t>
        </is>
      </c>
      <c r="J56" s="39" t="n"/>
      <c r="K56" s="39" t="inlineStr">
        <is>
          <t>Confirmar recurrencia</t>
        </is>
      </c>
      <c r="L56" s="39" t="inlineStr">
        <is>
          <t>M6-SCR-09</t>
        </is>
      </c>
      <c r="M56" s="39" t="inlineStr">
        <is>
          <t>Pantalla principal/historial</t>
        </is>
      </c>
      <c r="N56" s="39" t="inlineStr">
        <is>
          <t>M06</t>
        </is>
      </c>
      <c r="O56" s="39" t="inlineStr">
        <is>
          <t>M06 + capacidad transversal</t>
        </is>
      </c>
      <c r="P56" s="39" t="inlineStr">
        <is>
          <t>No crea recurrencia definitiva automáticamente.</t>
        </is>
      </c>
      <c r="Q56" s="39" t="inlineStr">
        <is>
          <t>Revisar posible recurrente.png / Sheet - Posible pago recurrente.png</t>
        </is>
      </c>
      <c r="R56" s="39" t="inlineStr">
        <is>
          <t>Revisado en export exacto; ajuste de materializacion pendiente: FG-M06-REC-01</t>
        </is>
      </c>
      <c r="S56" s="39" t="inlineStr">
        <is>
          <t>TC-M06-054</t>
        </is>
      </c>
      <c r="T56" s="39" t="inlineStr">
        <is>
          <t>Pendiente de validación</t>
        </is>
      </c>
      <c r="U56" s="39" t="inlineStr">
        <is>
          <t>Contrato v1.0: CT-M06-02, CT-M06-08. Ver 06_Contrato_Vigente para BDD y fuentes; evidencia runtime pendiente.
Precision post recorrido: Recurrencia, ancla y fecha pendiente [FG-M06-REC-01]</t>
        </is>
      </c>
      <c r="V56" s="39" t="n"/>
    </row>
    <row r="57" ht="84" customHeight="1">
      <c r="A57" s="38" t="inlineStr">
        <is>
          <t>M06-TR-049</t>
        </is>
      </c>
      <c r="B57" s="38" t="inlineStr">
        <is>
          <t>R07 · Revisar posible recurrente · Confirmación</t>
        </is>
      </c>
      <c r="C57" s="38" t="inlineStr">
        <is>
          <t>Confirmar recurrencia</t>
        </is>
      </c>
      <c r="D57" s="38" t="inlineStr">
        <is>
          <t>Usuario valida patrón</t>
        </is>
      </c>
      <c r="E57" s="38" t="inlineStr">
        <is>
          <t>Recurrente probable</t>
        </is>
      </c>
      <c r="F57" s="38" t="inlineStr">
        <is>
          <t>Patrón recurrente confirmado una vez; futuras instancias independientes. Si ancla conocida no existe en el período, usar último día valido preservando ancla; si ancla/día es insuficiente, pedir confirmación y no inventar fecha.</t>
        </is>
      </c>
      <c r="G57" s="38" t="inlineStr">
        <is>
          <t>CA-M6-07; CA-F4-11; M6-D04; F2-D06; F3-D03; F4-D09</t>
        </is>
      </c>
      <c r="H57" s="38" t="inlineStr">
        <is>
          <t>RN: D-CL-M06-01; GR-07; R-M6-25; R-M6-26; R-M6-27; R-M6-072 | BDD: BDD-M6-013</t>
        </is>
      </c>
      <c r="I57" s="38" t="inlineStr">
        <is>
          <t>M06-RGL-026</t>
        </is>
      </c>
      <c r="J57" s="38" t="n"/>
      <c r="K57" s="38" t="inlineStr">
        <is>
          <t>Confirmar recurrencia</t>
        </is>
      </c>
      <c r="L57" s="38" t="inlineStr">
        <is>
          <t>Pantalla principal</t>
        </is>
      </c>
      <c r="M57" s="38" t="inlineStr">
        <is>
          <t>Pantalla principal/historial</t>
        </is>
      </c>
      <c r="N57" s="38" t="inlineStr">
        <is>
          <t>M06</t>
        </is>
      </c>
      <c r="O57" s="38" t="inlineStr">
        <is>
          <t>M06</t>
        </is>
      </c>
      <c r="P57" s="38" t="inlineStr">
        <is>
          <t>Confirmar patrón no paga instancias. Fecha ajustada por calendario conserva ancla original; ancla desconocida mantiene effective_due_date no evaluable hasta Confirmar/Completar fecha.</t>
        </is>
      </c>
      <c r="Q57" s="38" t="inlineStr">
        <is>
          <t>Sheet - Posible pago recurrente.png</t>
        </is>
      </c>
      <c r="R57" s="38" t="inlineStr">
        <is>
          <t>Revisado en export exacto; ajuste de materializacion pendiente: FG-M06-REC-01</t>
        </is>
      </c>
      <c r="S57" s="38" t="inlineStr">
        <is>
          <t>TC-M06-055</t>
        </is>
      </c>
      <c r="T57" s="38" t="inlineStr">
        <is>
          <t>Pendiente de validación</t>
        </is>
      </c>
      <c r="U57" s="38" t="inlineStr">
        <is>
          <t>Contrato v1.0: CT-M06-08, CT-M06-17. Ver 06_Contrato_Vigente para BDD y fuentes; evidencia runtime pendiente.
Precision post recorrido: Recurrencia, ancla y fecha pendiente [FG-M06-REC-01]</t>
        </is>
      </c>
      <c r="V57" s="38" t="inlineStr">
        <is>
          <t>D-CL-M06-01</t>
        </is>
      </c>
    </row>
    <row r="58" ht="84" customHeight="1">
      <c r="A58" s="39" t="inlineStr">
        <is>
          <t>M06-TR-050</t>
        </is>
      </c>
      <c r="B58" s="39" t="inlineStr">
        <is>
          <t>R07 · Revisar posible recurrente · Descarte</t>
        </is>
      </c>
      <c r="C58" s="39" t="inlineStr">
        <is>
          <t>No es recurrente</t>
        </is>
      </c>
      <c r="D58" s="39" t="inlineStr">
        <is>
          <t>Usuario rechaza patrón</t>
        </is>
      </c>
      <c r="E58" s="39" t="inlineStr">
        <is>
          <t>Recurrente probable</t>
        </is>
      </c>
      <c r="F58" s="39" t="inlineStr">
        <is>
          <t>Evento único</t>
        </is>
      </c>
      <c r="G58" s="39" t="inlineStr">
        <is>
          <t>CA-M6-07; CA-F4-11; F2-D06; F3-D03; F4-D09</t>
        </is>
      </c>
      <c r="H58" s="39" t="inlineStr">
        <is>
          <t>RN: GR-18; R-M6-25; R-M6-073 | BDD: BDD-M6-014</t>
        </is>
      </c>
      <c r="I58" s="39" t="inlineStr">
        <is>
          <t>M06-RGL-027</t>
        </is>
      </c>
      <c r="J58" s="39" t="n"/>
      <c r="K58" s="39" t="inlineStr">
        <is>
          <t>No es recurrente</t>
        </is>
      </c>
      <c r="L58" s="39" t="inlineStr">
        <is>
          <t>Pantalla principal</t>
        </is>
      </c>
      <c r="M58" s="39" t="inlineStr">
        <is>
          <t>Pantalla principal/historial</t>
        </is>
      </c>
      <c r="N58" s="39" t="inlineStr">
        <is>
          <t>M06</t>
        </is>
      </c>
      <c r="O58" s="39" t="inlineStr">
        <is>
          <t>M06</t>
        </is>
      </c>
      <c r="P58" s="39" t="inlineStr">
        <is>
          <t>No insistir salvo nueva evidencia.</t>
        </is>
      </c>
      <c r="Q58" s="39" t="inlineStr">
        <is>
          <t>Sheet - Posible pago recurrente.png</t>
        </is>
      </c>
      <c r="R58" s="39" t="inlineStr">
        <is>
          <t>Revisado en export exacto; ajuste de materializacion pendiente: FG-M06-REC-01</t>
        </is>
      </c>
      <c r="S58" s="39" t="inlineStr">
        <is>
          <t>TC-M06-056</t>
        </is>
      </c>
      <c r="T58" s="39" t="inlineStr">
        <is>
          <t>Pendiente de validación</t>
        </is>
      </c>
      <c r="U58" s="39" t="inlineStr">
        <is>
          <t>Contrato v1.0: CT-M06-08, CT-M06-17. Ver 06_Contrato_Vigente para BDD y fuentes; evidencia runtime pendiente.
Precision post recorrido: Recurrencia, ancla y fecha pendiente [FG-M06-REC-01]</t>
        </is>
      </c>
      <c r="V58" s="39" t="n"/>
    </row>
    <row r="59" ht="84" customHeight="1">
      <c r="A59" s="38" t="inlineStr">
        <is>
          <t>M06-TR-051</t>
        </is>
      </c>
      <c r="B59" s="38" t="inlineStr">
        <is>
          <t>R07 · Revisar posible recurrente · Calidad</t>
        </is>
      </c>
      <c r="C59" s="38" t="inlineStr">
        <is>
          <t>Patrón baja confianza</t>
        </is>
      </c>
      <c r="D59" s="38" t="inlineStr">
        <is>
          <t>Patrón insuficiente</t>
        </is>
      </c>
      <c r="E59" s="38" t="inlineStr">
        <is>
          <t>Recurrente probable</t>
        </is>
      </c>
      <c r="F59" s="38" t="inlineStr">
        <is>
          <t>Requiere revisión</t>
        </is>
      </c>
      <c r="G59" s="38" t="inlineStr">
        <is>
          <t>CA-M6-07; CA-F5-14</t>
        </is>
      </c>
      <c r="H59" s="38" t="inlineStr">
        <is>
          <t>RN: GR-15; R-M6-074; R-M6-084</t>
        </is>
      </c>
      <c r="I59" s="38" t="inlineStr">
        <is>
          <t>M06-RGL-027; M06-RGL-014</t>
        </is>
      </c>
      <c r="J59" s="38" t="n"/>
      <c r="K59" s="38" t="inlineStr">
        <is>
          <t>Revisar dato</t>
        </is>
      </c>
      <c r="L59" s="38" t="inlineStr">
        <is>
          <t>Revisión</t>
        </is>
      </c>
      <c r="M59" s="38" t="inlineStr">
        <is>
          <t>Pantalla principal</t>
        </is>
      </c>
      <c r="N59" s="38" t="inlineStr">
        <is>
          <t>M06</t>
        </is>
      </c>
      <c r="O59" s="38" t="inlineStr">
        <is>
          <t>M06 + ingesta</t>
        </is>
      </c>
      <c r="P59" s="38" t="inlineStr">
        <is>
          <t>Baja confianza o ancla/fecha insuficiente no genera recurrencia fuerte ni fecha exacta; permanece en revisión con CTA Confirmar/Completar fecha.</t>
        </is>
      </c>
      <c r="Q59" s="38" t="inlineStr">
        <is>
          <t>Revisar posible recurrente.png</t>
        </is>
      </c>
      <c r="R59" s="38" t="inlineStr">
        <is>
          <t>Revisado en export exacto; ajuste de materializacion pendiente: FG-M06-REC-01</t>
        </is>
      </c>
      <c r="S59" s="38" t="inlineStr">
        <is>
          <t>TC-M06-054</t>
        </is>
      </c>
      <c r="T59" s="38" t="inlineStr">
        <is>
          <t>Pendiente de validación</t>
        </is>
      </c>
      <c r="U59" s="38" t="inlineStr">
        <is>
          <t>Contrato v1.0: CT-M06-08, CT-M06-17, CT-M06-07, CT-M06-10. Ver 06_Contrato_Vigente para BDD y fuentes; evidencia runtime pendiente.
Precision post recorrido: Recurrencia, ancla y fecha pendiente [FG-M06-REC-01]</t>
        </is>
      </c>
      <c r="V59" s="38" t="n"/>
    </row>
    <row r="60" ht="84" customHeight="1">
      <c r="A60" s="39" t="inlineStr">
        <is>
          <t>M06-TR-052</t>
        </is>
      </c>
      <c r="B60" s="39" t="inlineStr">
        <is>
          <t>R08 · Historial de pagos y estados · Entrada</t>
        </is>
      </c>
      <c r="C60" s="39" t="inlineStr">
        <is>
          <t>Abrir historial</t>
        </is>
      </c>
      <c r="D60" s="39" t="inlineStr">
        <is>
          <t>Usuario elige Ver historial</t>
        </is>
      </c>
      <c r="E60" s="39" t="inlineStr">
        <is>
          <t>Cualquier estado</t>
        </is>
      </c>
      <c r="F60" s="39" t="inlineStr">
        <is>
          <t>Historial</t>
        </is>
      </c>
      <c r="G60" s="39" t="n"/>
      <c r="H60" s="39" t="inlineStr">
        <is>
          <t>RN: GR-16; GR-19; PR-10</t>
        </is>
      </c>
      <c r="I60" s="39" t="inlineStr">
        <is>
          <t>M06-RGL-041</t>
        </is>
      </c>
      <c r="J60" s="39" t="n"/>
      <c r="K60" s="39" t="inlineStr">
        <is>
          <t>Ver historial</t>
        </is>
      </c>
      <c r="L60" s="39" t="inlineStr">
        <is>
          <t>M6-SCR-11</t>
        </is>
      </c>
      <c r="M60" s="39" t="inlineStr">
        <is>
          <t>Pantalla principal</t>
        </is>
      </c>
      <c r="N60" s="39" t="inlineStr">
        <is>
          <t>M06</t>
        </is>
      </c>
      <c r="O60" s="39" t="inlineStr">
        <is>
          <t>M06</t>
        </is>
      </c>
      <c r="P60" s="39" t="inlineStr">
        <is>
          <t>Historial reúne estados/acciones sin ser cartola o conciliación.</t>
        </is>
      </c>
      <c r="Q60" s="39" t="inlineStr">
        <is>
          <t>Historial de pagos y estados.png</t>
        </is>
      </c>
      <c r="R60" s="39" t="inlineStr">
        <is>
          <t>Revisado en export exacto; ajuste de materializacion pendiente: FG-M06-NAV-02</t>
        </is>
      </c>
      <c r="S60" s="39" t="inlineStr">
        <is>
          <t>TC-M06-032; TC-M06-035; TC-M06-066</t>
        </is>
      </c>
      <c r="T60" s="39" t="inlineStr">
        <is>
          <t>Pendiente de validación</t>
        </is>
      </c>
      <c r="U60" s="39" t="inlineStr">
        <is>
          <t>Contrato v1.0: CT-M06-02, CT-M06-06, CT-M06-16, CT-M06-17. Ver 06_Contrato_Vigente para BDD y fuentes; evidencia runtime pendiente.
Precision post recorrido: Conectores, acción Revisar y retornos [FG-M06-NAV-02]</t>
        </is>
      </c>
      <c r="V60" s="39" t="n"/>
    </row>
    <row r="61" ht="84" customHeight="1">
      <c r="A61" s="38" t="inlineStr">
        <is>
          <t>M06-TR-053</t>
        </is>
      </c>
      <c r="B61" s="38" t="inlineStr">
        <is>
          <t>R08 · Historial de pagos y estados · Navegación</t>
        </is>
      </c>
      <c r="C61" s="38" t="inlineStr">
        <is>
          <t>Filtrar/buscar historial</t>
        </is>
      </c>
      <c r="D61" s="38" t="inlineStr">
        <is>
          <t>Usuario aplica filtros</t>
        </is>
      </c>
      <c r="E61" s="38" t="inlineStr">
        <is>
          <t>Historial</t>
        </is>
      </c>
      <c r="F61" s="38" t="inlineStr">
        <is>
          <t>Vista filtrada</t>
        </is>
      </c>
      <c r="G61" s="38" t="inlineStr">
        <is>
          <t>CA-F5-08; F5-D03</t>
        </is>
      </c>
      <c r="H61" s="38" t="inlineStr">
        <is>
          <t>RN: D-CL-M06-02; GR-19</t>
        </is>
      </c>
      <c r="I61" s="38" t="inlineStr">
        <is>
          <t>M06-RGL-041; M06-RGL-042</t>
        </is>
      </c>
      <c r="J61" s="38" t="n"/>
      <c r="K61" s="38" t="inlineStr">
        <is>
          <t>Aplicar filtros / Ver detalle</t>
        </is>
      </c>
      <c r="L61" s="38" t="inlineStr">
        <is>
          <t>Detalle/Historial</t>
        </is>
      </c>
      <c r="M61" s="38" t="inlineStr">
        <is>
          <t>Historial</t>
        </is>
      </c>
      <c r="N61" s="38" t="inlineStr">
        <is>
          <t>M06</t>
        </is>
      </c>
      <c r="O61" s="38" t="inlineStr">
        <is>
          <t>M06</t>
        </is>
      </c>
      <c r="P61" s="38" t="inlineStr">
        <is>
          <t>Filtrar no modifica estados; puede abrir detalle/revisión.</t>
        </is>
      </c>
      <c r="Q61" s="38" t="inlineStr">
        <is>
          <t>Historial de pagos y estados-*.png / Filtros historial</t>
        </is>
      </c>
      <c r="R61" s="38" t="inlineStr">
        <is>
          <t>Revisado en export exacto; ajuste de materializacion pendiente: FG-M06-FILTER-02</t>
        </is>
      </c>
      <c r="S61" s="38" t="inlineStr">
        <is>
          <t>TC-M06-033</t>
        </is>
      </c>
      <c r="T61" s="38" t="inlineStr">
        <is>
          <t>Pendiente de validación</t>
        </is>
      </c>
      <c r="U61" s="38" t="inlineStr">
        <is>
          <t>Contrato v1.0: CT-M06-02, CT-M06-06, CT-M06-16, CT-M06-17, CT-M06-15. Ver 06_Contrato_Vigente para BDD y fuentes; evidencia runtime pendiente.
Precision post recorrido: Filtros rápidos, avanzados y resultados [FG-M06-FILTER-02]</t>
        </is>
      </c>
      <c r="V61" s="38" t="inlineStr">
        <is>
          <t>D-CL-M06-02</t>
        </is>
      </c>
    </row>
    <row r="62" ht="98" customHeight="1">
      <c r="A62" s="39" t="inlineStr">
        <is>
          <t>M06-TR-054</t>
        </is>
      </c>
      <c r="B62" s="39" t="inlineStr">
        <is>
          <t>R08 · Historial de pagos y estados · Trazabilidad</t>
        </is>
      </c>
      <c r="C62" s="39" t="inlineStr">
        <is>
          <t>Ver correcciones y resoluciones</t>
        </is>
      </c>
      <c r="D62" s="39" t="inlineStr">
        <is>
          <t>Existen acciones previas</t>
        </is>
      </c>
      <c r="E62" s="39" t="inlineStr">
        <is>
          <t>Histórico</t>
        </is>
      </c>
      <c r="F62" s="39" t="inlineStr">
        <is>
          <t>Historial funcional trazable, corregible y sujeto a lifecycle PD; no comprobante, cartola ni retención indefinida.</t>
        </is>
      </c>
      <c r="G62" s="39" t="inlineStr">
        <is>
          <t>CA-M6-12; CA-F2-10; CA-F5-15; F4-D07; F5-D09</t>
        </is>
      </c>
      <c r="H62" s="39" t="inlineStr">
        <is>
          <t>RN: GR-11; GR-19; R-M6-043; R-M6-044; R-M6-045; PR-10 | BDD: BDD-M6-010</t>
        </is>
      </c>
      <c r="I62" s="39" t="inlineStr">
        <is>
          <t>M06-RGL-019; M06-RGL-041</t>
        </is>
      </c>
      <c r="J62" s="39" t="n"/>
      <c r="K62" s="39" t="inlineStr">
        <is>
          <t>Ver detalle / Corregir</t>
        </is>
      </c>
      <c r="L62" s="39" t="inlineStr">
        <is>
          <t>Detalle / M6-SCR-06</t>
        </is>
      </c>
      <c r="M62" s="39" t="inlineStr">
        <is>
          <t>Historial</t>
        </is>
      </c>
      <c r="N62" s="39" t="inlineStr">
        <is>
          <t>M06</t>
        </is>
      </c>
      <c r="O62" s="39" t="inlineStr">
        <is>
          <t>M06</t>
        </is>
      </c>
      <c r="P62" s="39" t="inlineStr">
        <is>
          <t>No borrar historia al corregir/deshacer/descartar.</t>
        </is>
      </c>
      <c r="Q62" s="39" t="inlineStr">
        <is>
          <t>Historial de pagos y estados.png</t>
        </is>
      </c>
      <c r="R62" s="39" t="inlineStr">
        <is>
          <t>Revisado en export exacto; ajuste de materializacion pendiente: FG-M06-NAV-02</t>
        </is>
      </c>
      <c r="S62" s="39" t="inlineStr">
        <is>
          <t>TC-M06-040</t>
        </is>
      </c>
      <c r="T62" s="39" t="inlineStr">
        <is>
          <t>Pendiente de validación</t>
        </is>
      </c>
      <c r="U62" s="39" t="inlineStr">
        <is>
          <t>Contrato v1.0: CT-M06-06, CT-M06-12, CT-M06-13, CT-M06-14, CT-M06-16, CT-M06-17, CT-M06-02. Ver 06_Contrato_Vigente para BDD y fuentes; evidencia runtime pendiente.
Precision post recorrido: Conectores, acción Revisar y retornos [FG-M06-NAV-02]</t>
        </is>
      </c>
      <c r="V62" s="39" t="n"/>
    </row>
    <row r="63" ht="84" customHeight="1">
      <c r="A63" s="38" t="inlineStr">
        <is>
          <t>M06-TR-055</t>
        </is>
      </c>
      <c r="B63" s="38" t="inlineStr">
        <is>
          <t>R09 · Reglas backend · Cálculo temporal</t>
        </is>
      </c>
      <c r="C63" s="38" t="inlineStr">
        <is>
          <t>Bordes -1/0/7/8</t>
        </is>
      </c>
      <c r="D63" s="38" t="inlineStr">
        <is>
          <t>Cambio de día o edición de fecha</t>
        </is>
      </c>
      <c r="E63" s="38" t="inlineStr">
        <is>
          <t>Compromiso activo</t>
        </is>
      </c>
      <c r="F63" s="38" t="inlineStr">
        <is>
          <t>Vencido/Próximo/Pendiente</t>
        </is>
      </c>
      <c r="G63" s="38" t="inlineStr">
        <is>
          <t>CA-F3-03; M6-D01; F3-D01</t>
        </is>
      </c>
      <c r="H63" s="38" t="inlineStr">
        <is>
          <t>RN: D-M06-CALC-04; R-M6-11; R-M6-12; R-M6-020; R-M6-021; R-M6-022; R-M6-030 | BDD: BDD-M6-007; BDD-M6-008</t>
        </is>
      </c>
      <c r="I63" s="38" t="inlineStr">
        <is>
          <t>M06-RGL-012; M06-RGL-038</t>
        </is>
      </c>
      <c r="J63" s="38" t="inlineStr">
        <is>
          <t>days_to_due</t>
        </is>
      </c>
      <c r="K63" s="38" t="inlineStr">
        <is>
          <t>N/A</t>
        </is>
      </c>
      <c r="L63" s="38" t="inlineStr">
        <is>
          <t>N/A</t>
        </is>
      </c>
      <c r="M63" s="38" t="inlineStr">
        <is>
          <t>N/A</t>
        </is>
      </c>
      <c r="N63" s="38" t="inlineStr">
        <is>
          <t>M06</t>
        </is>
      </c>
      <c r="O63" s="38" t="inlineStr">
        <is>
          <t>M06</t>
        </is>
      </c>
      <c r="P63" s="38" t="inlineStr">
        <is>
          <t>Validar límites exactos con N=7 configurable; UI no hardcodea el 7.</t>
        </is>
      </c>
      <c r="Q63" s="38" t="inlineStr">
        <is>
          <t>No visual / respaldado por estados Figma</t>
        </is>
      </c>
      <c r="R63" s="38" t="inlineStr">
        <is>
          <t>Revisado en export exacto; ajuste de materializacion pendiente: FG-M06-STATUS-02</t>
        </is>
      </c>
      <c r="S63" s="38" t="inlineStr">
        <is>
          <t>TC-M06-011; TC-M06-018; TC-M06-019; TC-M06-021; TC-M06-022; TC-M06-023</t>
        </is>
      </c>
      <c r="T63" s="38" t="inlineStr">
        <is>
          <t>Pendiente de validación</t>
        </is>
      </c>
      <c r="U63" s="38" t="inlineStr">
        <is>
          <t>Contrato v1.0: CT-M06-02, CT-M06-07. Ver 06_Contrato_Vigente para BDD y fuentes; evidencia runtime pendiente.
Precision post recorrido: Estados, badges y avisos sin duplicidad [FG-M06-STATUS-02]</t>
        </is>
      </c>
      <c r="V63" s="38" t="inlineStr">
        <is>
          <t>D-M06-CALC-04</t>
        </is>
      </c>
    </row>
    <row r="64" ht="84" customHeight="1">
      <c r="A64" s="39" t="inlineStr">
        <is>
          <t>M06-TR-056</t>
        </is>
      </c>
      <c r="B64" s="39" t="inlineStr">
        <is>
          <t>R09 · Reglas backend · Calidad</t>
        </is>
      </c>
      <c r="C64" s="39" t="inlineStr">
        <is>
          <t>Sin fecha confiable</t>
        </is>
      </c>
      <c r="D64" s="39" t="inlineStr">
        <is>
          <t>Fecha ausente/ambigua</t>
        </is>
      </c>
      <c r="E64" s="39" t="inlineStr">
        <is>
          <t>Activo incompleto</t>
        </is>
      </c>
      <c r="F64" s="39" t="inlineStr">
        <is>
          <t>Requiere revisión</t>
        </is>
      </c>
      <c r="G64" s="39" t="n"/>
      <c r="H64" s="39" t="inlineStr">
        <is>
          <t>RN: R-M6-024; R-M6-080</t>
        </is>
      </c>
      <c r="I64" s="39" t="inlineStr">
        <is>
          <t>M06-RGL-013</t>
        </is>
      </c>
      <c r="J64" s="39" t="n"/>
      <c r="K64" s="39" t="inlineStr">
        <is>
          <t>Completar datos</t>
        </is>
      </c>
      <c r="L64" s="39" t="inlineStr">
        <is>
          <t>N/A</t>
        </is>
      </c>
      <c r="M64" s="39" t="inlineStr">
        <is>
          <t>N/A</t>
        </is>
      </c>
      <c r="N64" s="39" t="inlineStr">
        <is>
          <t>M06</t>
        </is>
      </c>
      <c r="O64" s="39" t="inlineStr">
        <is>
          <t>M06</t>
        </is>
      </c>
      <c r="P64" s="39" t="inlineStr">
        <is>
          <t>No producir Próximo/Vencido.</t>
        </is>
      </c>
      <c r="Q64" s="39" t="inlineStr">
        <is>
          <t>No visual</t>
        </is>
      </c>
      <c r="R64" s="39" t="inlineStr">
        <is>
          <t>Revisado en export exacto; ajuste de materializacion pendiente: FG-M06-MANUAL-02, FG-M06-STATUS-02</t>
        </is>
      </c>
      <c r="S64" s="39" t="inlineStr">
        <is>
          <t>TC-M06-005; TC-M06-020</t>
        </is>
      </c>
      <c r="T64" s="39" t="inlineStr">
        <is>
          <t>Pendiente de validación</t>
        </is>
      </c>
      <c r="U64" s="39" t="inlineStr">
        <is>
          <t>Contrato v1.0: CT-M06-07. Ver 06_Contrato_Vigente para BDD y fuentes; evidencia runtime pendiente.
Precision post recorrido: Guardar borrador y distinguir datos por uso [FG-M06-MANUAL-02]; Estados, badges y avisos sin duplicidad [FG-M06-STATUS-02]</t>
        </is>
      </c>
      <c r="V64" s="39" t="n"/>
    </row>
    <row r="65" ht="98" customHeight="1">
      <c r="A65" s="38" t="inlineStr">
        <is>
          <t>M06-TR-057</t>
        </is>
      </c>
      <c r="B65" s="38" t="inlineStr">
        <is>
          <t>R09 · Reglas backend · Calidad</t>
        </is>
      </c>
      <c r="C65" s="38" t="inlineStr">
        <is>
          <t>Sin monto</t>
        </is>
      </c>
      <c r="D65" s="38" t="inlineStr">
        <is>
          <t>Monto ausente</t>
        </is>
      </c>
      <c r="E65" s="38" t="inlineStr">
        <is>
          <t>Activo</t>
        </is>
      </c>
      <c r="F65" s="38" t="inlineStr">
        <is>
          <t>Compromiso válido con severidad económica limitada</t>
        </is>
      </c>
      <c r="G65" s="38" t="n"/>
      <c r="H65" s="38" t="inlineStr">
        <is>
          <t>RN: R-M6-04; R-M6-003; R-M6-032; R-M6-082; R-M6-084</t>
        </is>
      </c>
      <c r="I65" s="38" t="inlineStr">
        <is>
          <t>M06-RGL-003; M06-RGL-014</t>
        </is>
      </c>
      <c r="J65" s="38" t="n"/>
      <c r="K65" s="38" t="inlineStr">
        <is>
          <t>N/A</t>
        </is>
      </c>
      <c r="L65" s="38" t="inlineStr">
        <is>
          <t>N/A</t>
        </is>
      </c>
      <c r="M65" s="38" t="inlineStr">
        <is>
          <t>N/A</t>
        </is>
      </c>
      <c r="N65" s="38" t="inlineStr">
        <is>
          <t>M06</t>
        </is>
      </c>
      <c r="O65" s="38" t="inlineStr">
        <is>
          <t>M06</t>
        </is>
      </c>
      <c r="P65" s="38" t="inlineStr">
        <is>
          <t>No bloquear compromiso; no escalar por impacto monetario no disponible.</t>
        </is>
      </c>
      <c r="Q65" s="38" t="inlineStr">
        <is>
          <t>No visual</t>
        </is>
      </c>
      <c r="R65" s="38" t="inlineStr">
        <is>
          <t>Revisado en export exacto; ajuste de materializacion pendiente: FG-M06-MANUAL-02, FG-M06-STATUS-02</t>
        </is>
      </c>
      <c r="S65" s="38" t="inlineStr">
        <is>
          <t>TC-M06-006; TC-M06-063</t>
        </is>
      </c>
      <c r="T65" s="38" t="inlineStr">
        <is>
          <t>Pendiente de validación</t>
        </is>
      </c>
      <c r="U65" s="38" t="inlineStr">
        <is>
          <t>Contrato v1.0: CT-M06-03, CT-M06-07, CT-M06-10. Ver 06_Contrato_Vigente para BDD y fuentes; evidencia runtime pendiente.
Precision post recorrido: Guardar borrador y distinguir datos por uso [FG-M06-MANUAL-02]; Estados, badges y avisos sin duplicidad [FG-M06-STATUS-02]</t>
        </is>
      </c>
      <c r="V65" s="38" t="n"/>
    </row>
    <row r="66" ht="70" customHeight="1">
      <c r="A66" s="39" t="inlineStr">
        <is>
          <t>M06-TR-058</t>
        </is>
      </c>
      <c r="B66" s="39" t="inlineStr">
        <is>
          <t>R09 · Reglas backend · Severidad</t>
        </is>
      </c>
      <c r="C66" s="39" t="inlineStr">
        <is>
          <t>Próximo/Vencido con presión</t>
        </is>
      </c>
      <c r="D66" s="39" t="inlineStr">
        <is>
          <t>Estado temporal + ratio confiable</t>
        </is>
      </c>
      <c r="E66" s="39" t="inlineStr">
        <is>
          <t>Próximo/Vencido</t>
        </is>
      </c>
      <c r="F66" s="39" t="inlineStr">
        <is>
          <t>Atención/Urgente/Crítica según regla</t>
        </is>
      </c>
      <c r="G66" s="39" t="inlineStr">
        <is>
          <t>CA-F3-02; CA-F3-12; CA-F4-05; CA-F4-06; M6-D11; F3-D04; F3-D07; F3-D09; F4-D03</t>
        </is>
      </c>
      <c r="H66" s="39" t="inlineStr">
        <is>
          <t>RN: D-M06-CALC-05; GR-12; GR-24; R-M6-023; R-M6-031; R-M6-032; R-M6-124; R-M6-125; R-M6-135; PR-15 | BDD: BDD-M6-025</t>
        </is>
      </c>
      <c r="I66" s="39" t="inlineStr">
        <is>
          <t>M06-RGL-015; M06-RGL-016; M06-RGL-039</t>
        </is>
      </c>
      <c r="J66" s="39" t="inlineStr">
        <is>
          <t>pressure_ratio</t>
        </is>
      </c>
      <c r="K66" s="39" t="inlineStr">
        <is>
          <t>Revisar pago</t>
        </is>
      </c>
      <c r="L66" s="39" t="inlineStr">
        <is>
          <t>N/A</t>
        </is>
      </c>
      <c r="M66" s="39" t="inlineStr">
        <is>
          <t>N/A</t>
        </is>
      </c>
      <c r="N66" s="39" t="inlineStr">
        <is>
          <t>M06</t>
        </is>
      </c>
      <c r="O66" s="39" t="inlineStr">
        <is>
          <t>M05/lectura financiera + M06</t>
        </is>
      </c>
      <c r="P66" s="39" t="inlineStr">
        <is>
          <t>Aplicar bandas y causa sin doble conteo ni umbral CLP paralelo.</t>
        </is>
      </c>
      <c r="Q66" s="39" t="inlineStr">
        <is>
          <t>No visual / jerarquía en cards</t>
        </is>
      </c>
      <c r="R66" s="39" t="inlineStr">
        <is>
          <t>Revisado en export exacto; ajuste de materializacion pendiente: FG-M06-STATUS-02</t>
        </is>
      </c>
      <c r="S66" s="39" t="inlineStr">
        <is>
          <t>TC-M06-024; TC-M06-057; TC-M06-058; TC-M06-059; TC-M06-060; TC-M06-061; TC-M06-062; TC-M06-063; TC-M06-064; TC-M06-065; TC-M06-070</t>
        </is>
      </c>
      <c r="T66" s="39" t="inlineStr">
        <is>
          <t>Pendiente de validación</t>
        </is>
      </c>
      <c r="U66" s="39" t="inlineStr">
        <is>
          <t>Contrato v1.0: CT-M06-10. Ver 06_Contrato_Vigente para BDD y fuentes; evidencia runtime pendiente.
Precision post recorrido: Estados, badges y avisos sin duplicidad [FG-M06-STATUS-02]</t>
        </is>
      </c>
      <c r="V66" s="39" t="inlineStr">
        <is>
          <t>D-M06-CALC-05</t>
        </is>
      </c>
    </row>
    <row r="67" ht="70" customHeight="1">
      <c r="A67" s="38" t="inlineStr">
        <is>
          <t>M06-TR-059</t>
        </is>
      </c>
      <c r="B67" s="38" t="inlineStr">
        <is>
          <t>R09 · Reglas backend · Resumen</t>
        </is>
      </c>
      <c r="C67" s="38" t="inlineStr">
        <is>
          <t>Deduplicación de Confirmados</t>
        </is>
      </c>
      <c r="D67" s="38" t="inlineStr">
        <is>
          <t>Múltiples fuentes apuntan al mismo compromiso</t>
        </is>
      </c>
      <c r="E67" s="38" t="inlineStr">
        <is>
          <t>Múltiples candidatos/orígenes</t>
        </is>
      </c>
      <c r="F67" s="38" t="inlineStr">
        <is>
          <t>1 compromiso canónico</t>
        </is>
      </c>
      <c r="G67" s="38" t="n"/>
      <c r="H67" s="38" t="inlineStr">
        <is>
          <t>RN: D-M06-CALC-01</t>
        </is>
      </c>
      <c r="I67" s="38" t="inlineStr">
        <is>
          <t>M06-RGL-035</t>
        </is>
      </c>
      <c r="J67" s="38" t="inlineStr">
        <is>
          <t>Confirmados del mes</t>
        </is>
      </c>
      <c r="K67" s="38" t="inlineStr">
        <is>
          <t>N/A</t>
        </is>
      </c>
      <c r="L67" s="38" t="inlineStr">
        <is>
          <t>N/A</t>
        </is>
      </c>
      <c r="M67" s="38" t="inlineStr">
        <is>
          <t>N/A</t>
        </is>
      </c>
      <c r="N67" s="38" t="inlineStr">
        <is>
          <t>M06</t>
        </is>
      </c>
      <c r="O67" s="38" t="inlineStr">
        <is>
          <t>M06</t>
        </is>
      </c>
      <c r="P67" s="38" t="inlineStr">
        <is>
          <t>Contar DISTINCT compromiso canónico; recurrencia cuenta por instancia concreta, no patrón.</t>
        </is>
      </c>
      <c r="Q67" s="38" t="inlineStr">
        <is>
          <t>No visual</t>
        </is>
      </c>
      <c r="R67" s="38" t="inlineStr">
        <is>
          <t>Revisado en export exacto; ajuste de materializacion pendiente: FG-M06-KPI-02</t>
        </is>
      </c>
      <c r="S67" s="38" t="inlineStr">
        <is>
          <t>TC-M06-009</t>
        </is>
      </c>
      <c r="T67" s="38" t="inlineStr">
        <is>
          <t>Pendiente de validación</t>
        </is>
      </c>
      <c r="U67" s="38" t="inlineStr">
        <is>
          <t>Contrato v1.0: CT-M06-09. Ver 06_Contrato_Vigente para BDD y fuentes; evidencia runtime pendiente.
Precision post recorrido: Resumen mensual y porcentaje coherentes [FG-M06-KPI-02]</t>
        </is>
      </c>
      <c r="V67" s="38" t="inlineStr">
        <is>
          <t>D-M06-CALC-01</t>
        </is>
      </c>
    </row>
    <row r="68" ht="56" customHeight="1">
      <c r="A68" s="39" t="inlineStr">
        <is>
          <t>M06-TR-060</t>
        </is>
      </c>
      <c r="B68" s="39" t="inlineStr">
        <is>
          <t>R10 · Señales externas · Home/M03</t>
        </is>
      </c>
      <c r="C68" s="39" t="inlineStr">
        <is>
          <t>Próximo/Vencido relevante</t>
        </is>
      </c>
      <c r="D68" s="39" t="inlineStr">
        <is>
          <t>M06 genera señal confiable</t>
        </is>
      </c>
      <c r="E68" s="39" t="inlineStr">
        <is>
          <t>Próximo/Vencido/Revisión</t>
        </is>
      </c>
      <c r="F68" s="39" t="inlineStr">
        <is>
          <t>Señal candidata a Home</t>
        </is>
      </c>
      <c r="G68" s="39" t="inlineStr">
        <is>
          <t>CA-M6-09; CA-F2-04; CA-F3-09; CA-F3-12; CA-F4-14; CA-F4-15; CA-F5-09; CA-F5-16; F2-D08; F3-D05; F3-D09; F4-D10; F5-D04</t>
        </is>
      </c>
      <c r="H68" s="39" t="inlineStr">
        <is>
          <t>RN: GR-08; R-M6-16; R-M6-035; R-M6-110; R-M6-111; R-M6-112; R-M6-113; PR-13 | BDD: BDD-M6-020</t>
        </is>
      </c>
      <c r="I68" s="39" t="inlineStr">
        <is>
          <t>M06-RGL-030</t>
        </is>
      </c>
      <c r="J68" s="39" t="n"/>
      <c r="K68" s="39" t="inlineStr">
        <is>
          <t>Revisar pago</t>
        </is>
      </c>
      <c r="L68" s="39" t="inlineStr">
        <is>
          <t>M06 detalle</t>
        </is>
      </c>
      <c r="M68" s="39" t="inlineStr">
        <is>
          <t>M03/Home</t>
        </is>
      </c>
      <c r="N68" s="39" t="inlineStr">
        <is>
          <t>M03/Home</t>
        </is>
      </c>
      <c r="O68" s="39" t="inlineStr">
        <is>
          <t>M06 -&gt; M03/Home</t>
        </is>
      </c>
      <c r="P68" s="39" t="inlineStr">
        <is>
          <t>Home consume señal/CTA; no recalcula ni gestiona pagos.</t>
        </is>
      </c>
      <c r="Q68" s="39" t="inlineStr">
        <is>
          <t>Fuera del Figma M06; dependencia externa</t>
        </is>
      </c>
      <c r="R68" s="39" t="inlineStr">
        <is>
          <t>Dependencia</t>
        </is>
      </c>
      <c r="S68" s="39" t="inlineStr">
        <is>
          <t>TC-M06-069; TC-M06-074</t>
        </is>
      </c>
      <c r="T68" s="39" t="inlineStr">
        <is>
          <t>Pendiente de validación</t>
        </is>
      </c>
      <c r="U68" s="39" t="inlineStr">
        <is>
          <t>Contrato v1.0: CT-M06-14, CT-M06-15. Ver 06_Contrato_Vigente para BDD y fuentes; evidencia runtime pendiente.</t>
        </is>
      </c>
      <c r="V68" s="39" t="inlineStr">
        <is>
          <t>DEP-M06-HOME-01</t>
        </is>
      </c>
    </row>
    <row r="69" ht="56" customHeight="1">
      <c r="A69" s="38" t="inlineStr">
        <is>
          <t>M06-TR-061</t>
        </is>
      </c>
      <c r="B69" s="38" t="inlineStr">
        <is>
          <t>R10 · Señales externas · M05</t>
        </is>
      </c>
      <c r="C69" s="38" t="inlineStr">
        <is>
          <t>Impacto del compromiso en el mes</t>
        </is>
      </c>
      <c r="D69" s="38" t="inlineStr">
        <is>
          <t>Cuenta/pago/recurrencia afecta presupuesto</t>
        </is>
      </c>
      <c r="E69" s="38" t="inlineStr">
        <is>
          <t>Estado M06</t>
        </is>
      </c>
      <c r="F69" s="38" t="inlineStr">
        <is>
          <t>Consumir/emitar M05 por contrato bidireccional: candidato y retorno; link/provisional/no-op; real posterior sustituye provisional sin doble gasto.</t>
        </is>
      </c>
      <c r="G69" s="38" t="inlineStr">
        <is>
          <t>CA-M6-10; CA-F2-05; CA-F3-09; CA-F3-12; CA-F4-14; CA-F4-15; CA-F5-09; CA-F5-16; CA-M6-VIS-027; M6-D11; F2-D09; F3-D05; F3-D09; F4-D11; F5-D05</t>
        </is>
      </c>
      <c r="H69" s="38" t="inlineStr">
        <is>
          <t>RN: GR-09; GR-22; GR-24; R-M6-120; R-M6-121; R-M6-122; R-M6-123; R-M6-124; PR-13 | BDD: BDD-M6-021; BDD-M6-025</t>
        </is>
      </c>
      <c r="I69" s="38" t="inlineStr">
        <is>
          <t>M06-RGL-031</t>
        </is>
      </c>
      <c r="J69" s="38" t="n"/>
      <c r="K69" s="38" t="inlineStr">
        <is>
          <t>Ver impacto</t>
        </is>
      </c>
      <c r="L69" s="38" t="inlineStr">
        <is>
          <t>M05</t>
        </is>
      </c>
      <c r="M69" s="38" t="inlineStr">
        <is>
          <t>M06</t>
        </is>
      </c>
      <c r="N69" s="38" t="inlineStr">
        <is>
          <t>M05</t>
        </is>
      </c>
      <c r="O69" s="38" t="inlineStr">
        <is>
          <t>M06 -&gt; M05</t>
        </is>
      </c>
      <c r="P69" s="38" t="inlineStr">
        <is>
          <t>M05 explica presupuesto/flujo; no se reabre ni se reasigna automáticamente.</t>
        </is>
      </c>
      <c r="Q69" s="38" t="inlineStr">
        <is>
          <t>Fuera del Figma M06</t>
        </is>
      </c>
      <c r="R69" s="38" t="inlineStr">
        <is>
          <t>Dependencia</t>
        </is>
      </c>
      <c r="S69" s="38" t="inlineStr">
        <is>
          <t>TC-M06-069</t>
        </is>
      </c>
      <c r="T69" s="38" t="inlineStr">
        <is>
          <t>Pendiente de validación</t>
        </is>
      </c>
      <c r="U69" s="38" t="inlineStr">
        <is>
          <t>Contrato v1.0: CT-M06-10, CT-M06-11, CT-M06-13, CT-M06-15. Ver 06_Contrato_Vigente para BDD y fuentes; evidencia runtime pendiente.</t>
        </is>
      </c>
      <c r="V69" s="38" t="n"/>
    </row>
    <row r="70" ht="84" customHeight="1">
      <c r="A70" s="39" t="inlineStr">
        <is>
          <t>M06-TR-062</t>
        </is>
      </c>
      <c r="B70" s="39" t="inlineStr">
        <is>
          <t>R10 · Señales externas · M04</t>
        </is>
      </c>
      <c r="C70" s="39" t="inlineStr">
        <is>
          <t>Deuda bajo presión/deterioro</t>
        </is>
      </c>
      <c r="D70" s="39" t="inlineStr">
        <is>
          <t>Pago asociado a deuda + condición suficiente</t>
        </is>
      </c>
      <c r="E70" s="39" t="inlineStr">
        <is>
          <t>Estado M06 + deuda</t>
        </is>
      </c>
      <c r="F70" s="39" t="inlineStr">
        <is>
          <t>Enviar hechos de ciclo/aging con calidad y reconciliación. M04 interpreta D/Salud y elegibilidad; parcial antes cierre no concluye deterioro final.</t>
        </is>
      </c>
      <c r="G70" s="39" t="inlineStr">
        <is>
          <t>CA-M6-08; CA-M6-13; CA-M6-17; CA-M6-18; CA-F2-06; CA-F3-09; CA-F3-10; CA-F3-11; CA-F3-12; CA-F4-14; CA-F4-15; CA-F4-19; CA-F5-09; CA-F5-16; CA-M6-VIS-028; CA-M6-VIS-029; M6-D10; M6-D11; F2-D10; F3-D05; F3-D06; F3-D08; F3-D09; F4-D12; F4-D17; F5-D06</t>
        </is>
      </c>
      <c r="H70" s="39" t="inlineStr">
        <is>
          <t>RN: GR-10; GR-20; GR-21; GR-23; R-M6-28; R-M6-29; R-M6-30; R-M6-31; R-M6-32; R-M6-130; R-M6-131; R-M6-132; R-M6-133; R-M6-134; R-M6-135; R-M6-136; PR-11; PR-12; PR-14; R-TC-007 | BDD: BDD-M6-022; BDD-M6-026</t>
        </is>
      </c>
      <c r="I70" s="39" t="inlineStr">
        <is>
          <t>M06-RGL-032; M06-RGL-033</t>
        </is>
      </c>
      <c r="J70" s="39" t="n"/>
      <c r="K70" s="39" t="inlineStr">
        <is>
          <t>Ver pago asociado / Revisar deuda</t>
        </is>
      </c>
      <c r="L70" s="39" t="inlineStr">
        <is>
          <t>M04</t>
        </is>
      </c>
      <c r="M70" s="39" t="inlineStr">
        <is>
          <t>M06</t>
        </is>
      </c>
      <c r="N70" s="39" t="inlineStr">
        <is>
          <t>M04</t>
        </is>
      </c>
      <c r="O70" s="39" t="inlineStr">
        <is>
          <t>M06 -&gt; M04</t>
        </is>
      </c>
      <c r="P70" s="39" t="inlineStr">
        <is>
          <t>No activar Ruta Despeje ni definir estrategia desde M06.</t>
        </is>
      </c>
      <c r="Q70" s="39" t="inlineStr">
        <is>
          <t>Fuera del Figma M06</t>
        </is>
      </c>
      <c r="R70" s="39" t="inlineStr">
        <is>
          <t>Revisado en export exacto; ajuste de materializacion pendiente: FG-M06-RUTA-02</t>
        </is>
      </c>
      <c r="S70" s="39" t="inlineStr">
        <is>
          <t>TC-M06-059; TC-M06-064; TC-M06-067; TC-M06-068</t>
        </is>
      </c>
      <c r="T70" s="39" t="inlineStr">
        <is>
          <t>Pendiente de validación</t>
        </is>
      </c>
      <c r="U70" s="39" t="inlineStr">
        <is>
          <t>Contrato v1.0: CT-M06-10, CT-M06-11, CT-M06-12, CT-M06-15, CT-M06-01. Ver 06_Contrato_Vigente para BDD y fuentes; evidencia runtime pendiente.
Precision post recorrido: Ruta: separar vínculo activo y entrada elegible [FG-M06-RUTA-02]</t>
        </is>
      </c>
      <c r="V70" s="39" t="n"/>
    </row>
    <row r="71" ht="84" customHeight="1">
      <c r="A71" s="38" t="inlineStr">
        <is>
          <t>M06-TR-063</t>
        </is>
      </c>
      <c r="B71" s="38" t="inlineStr">
        <is>
          <t>R10 · Señales externas · Perfil</t>
        </is>
      </c>
      <c r="C71" s="38" t="inlineStr">
        <is>
          <t>Calidad de dato</t>
        </is>
      </c>
      <c r="D71" s="38" t="inlineStr">
        <is>
          <t>Incompletitud repetida / baja confianza</t>
        </is>
      </c>
      <c r="E71" s="38" t="inlineStr">
        <is>
          <t>Señal de calidad</t>
        </is>
      </c>
      <c r="F71" s="38" t="inlineStr">
        <is>
          <t>Perfil recibe señal mínima de calidad/completitud con motivo y destino M06; no montos, glosas ni documentos. W04 verifica superficie.</t>
        </is>
      </c>
      <c r="G71" s="38" t="n"/>
      <c r="H71" s="38" t="inlineStr">
        <is>
          <t>RN: R-M6-140; R-M6-141</t>
        </is>
      </c>
      <c r="I71" s="38" t="inlineStr">
        <is>
          <t>M06-RGL-034</t>
        </is>
      </c>
      <c r="J71" s="38" t="n"/>
      <c r="K71" s="38" t="inlineStr">
        <is>
          <t>Revisar datos</t>
        </is>
      </c>
      <c r="L71" s="38" t="inlineStr">
        <is>
          <t>Perfil</t>
        </is>
      </c>
      <c r="M71" s="38" t="inlineStr">
        <is>
          <t>M06</t>
        </is>
      </c>
      <c r="N71" s="38" t="inlineStr">
        <is>
          <t>Perfil</t>
        </is>
      </c>
      <c r="O71" s="38" t="inlineStr">
        <is>
          <t>M06 -&gt; Perfil</t>
        </is>
      </c>
      <c r="P71" s="38" t="inlineStr">
        <is>
          <t>Usar como señal de calidad, no como operación de pago.</t>
        </is>
      </c>
      <c r="Q71" s="38" t="inlineStr">
        <is>
          <t>Fuera del Figma M06</t>
        </is>
      </c>
      <c r="R71" s="38" t="inlineStr">
        <is>
          <t>Revisado en export exacto; ajuste de materializacion pendiente: FG-M06-STATUS-02</t>
        </is>
      </c>
      <c r="S71" s="38" t="inlineStr">
        <is>
          <t>TC-M06-071</t>
        </is>
      </c>
      <c r="T71" s="38" t="inlineStr">
        <is>
          <t>Pendiente de validación</t>
        </is>
      </c>
      <c r="U71" s="38" t="inlineStr">
        <is>
          <t>Contrato v1.0: CT-M06-14, CT-M06-15. Ver 06_Contrato_Vigente para BDD y fuentes; evidencia runtime pendiente.
Precision post recorrido: Estados, badges y avisos sin duplicidad [FG-M06-STATUS-02]</t>
        </is>
      </c>
      <c r="V71" s="38" t="n"/>
    </row>
    <row r="72" ht="84" customHeight="1">
      <c r="A72" s="39" t="inlineStr">
        <is>
          <t>M06-TR-064</t>
        </is>
      </c>
      <c r="B72" s="39" t="inlineStr">
        <is>
          <t>R10 · Señales externas · Avisos</t>
        </is>
      </c>
      <c r="C72" s="39" t="inlineStr">
        <is>
          <t>Catálogo de avisos/próximos pasos</t>
        </is>
      </c>
      <c r="D72" s="39" t="inlineStr">
        <is>
          <t>Existe estado M06 con acción prioritaria</t>
        </is>
      </c>
      <c r="E72" s="39" t="inlineStr">
        <is>
          <t>Señal funcional</t>
        </is>
      </c>
      <c r="F72" s="39" t="inlineStr">
        <is>
          <t>7 familias canónicas M06 F1–F7; 17 AVI-M06-001..017 preservados como correspondencia/lineage con tratamiento explícito. M03/Home orquesta winner/superficie; M02 gobierna canal/cadencia/preferencias/dedupe. No existe recordatorio individual adicional en MVP.</t>
        </is>
      </c>
      <c r="G72" s="39" t="inlineStr">
        <is>
          <t>CA-M6-06; CA-F3-08; M6-D07; M6-D09</t>
        </is>
      </c>
      <c r="H72" s="39" t="inlineStr">
        <is>
          <t>RN: R-M6-14; R-M6-15; R-M6-27; R-M6-033; R-M6-092; R-M6-093; R-M6-094 | BDD: BDD-M6-023</t>
        </is>
      </c>
      <c r="I72" s="39" t="inlineStr">
        <is>
          <t>M06-RGL-028</t>
        </is>
      </c>
      <c r="J72" s="39" t="n"/>
      <c r="K72" s="39" t="inlineStr">
        <is>
          <t>CTA según señal</t>
        </is>
      </c>
      <c r="L72" s="39" t="inlineStr">
        <is>
          <t>M06 / consumidor</t>
        </is>
      </c>
      <c r="M72" s="39" t="inlineStr">
        <is>
          <t>M06/M03/M02</t>
        </is>
      </c>
      <c r="N72" s="39" t="inlineStr">
        <is>
          <t>M02 Parte 2</t>
        </is>
      </c>
      <c r="O72" s="39" t="inlineStr">
        <is>
          <t>M06: estado/situación local y CTA; M03/Home: winner/superficie; M02: canal/cadencia/preferencias/dedupe.</t>
        </is>
      </c>
      <c r="P72" s="39" t="inlineStr">
        <is>
          <t>M06 publica payload suficiente sin elegir winner global ni canal externo. 003/004 quedan como dependencia M03/M02; D-M06-ALERTA-MVP-01 no altera avisos automáticos.</t>
        </is>
      </c>
      <c r="Q72" s="39" t="inlineStr">
        <is>
          <t>Brecha documental</t>
        </is>
      </c>
      <c r="R72" s="39" t="inlineStr">
        <is>
          <t>Revisado en export exacto; ajuste de materializacion pendiente: FG-M06-STATUS-02, FG-M06-ALERTA-01</t>
        </is>
      </c>
      <c r="S72" s="39" t="inlineStr">
        <is>
          <t>TC-M06-071; TC-M06-072</t>
        </is>
      </c>
      <c r="T72" s="39" t="inlineStr">
        <is>
          <t>Pendiente de validación</t>
        </is>
      </c>
      <c r="U72" s="39" t="inlineStr">
        <is>
          <t>Contrato v1.0: CT-M06-14. Ver 06_Contrato_Vigente para BDD y fuentes; evidencia runtime pendiente.
Precision post recorrido: Estados, badges y avisos sin duplicidad [FG-M06-STATUS-02]; Retirar el control local de alerta del MVP [FG-M06-ALERTA-01]</t>
        </is>
      </c>
      <c r="V72" s="39" t="inlineStr">
        <is>
          <t>DEP-M06→M03/M02-AVISOS-01; D-M06-ALERTA-MVP-01</t>
        </is>
      </c>
    </row>
    <row r="73" ht="98" customHeight="1">
      <c r="A73" s="38" t="inlineStr">
        <is>
          <t>M06-TR-065</t>
        </is>
      </c>
      <c r="B73" s="38" t="inlineStr">
        <is>
          <t>R10 · Señales externas · Recomendaciones</t>
        </is>
      </c>
      <c r="C73" s="38" t="inlineStr">
        <is>
          <t>Próximo paso contextual</t>
        </is>
      </c>
      <c r="D73" s="38" t="inlineStr">
        <is>
          <t>Datos M06 sustentan recomendación</t>
        </is>
      </c>
      <c r="E73" s="38" t="inlineStr">
        <is>
          <t>Estado/condición M06</t>
        </is>
      </c>
      <c r="F73" s="38" t="inlineStr">
        <is>
          <t>Recomendacion contextual segura: dato observado, contexto y acción de revisión; sin beneficio garantizado, producto financiero ni IA libre. AVI013/014 se absorben en situación pertinente.</t>
        </is>
      </c>
      <c r="G73" s="38" t="inlineStr">
        <is>
          <t>CA-M6-11; CA-F3-08; CA-F4-12; CA-F4-13; CA-F5-12; M6-D09; F4-D13</t>
        </is>
      </c>
      <c r="H73" s="38" t="inlineStr">
        <is>
          <t>RN: GR-03; R-M6-14; R-M6-15; R-M6-034; R-M6-100; R-M6-101; R-M6-102; R-M6-103; R-M6-104 | BDD: BDD-M6-019</t>
        </is>
      </c>
      <c r="I73" s="38" t="inlineStr">
        <is>
          <t>M06-RGL-029</t>
        </is>
      </c>
      <c r="J73" s="38" t="n"/>
      <c r="K73" s="38" t="inlineStr">
        <is>
          <t>Revisar pago / Revisar dato</t>
        </is>
      </c>
      <c r="L73" s="38" t="inlineStr">
        <is>
          <t>M06 / consumidor</t>
        </is>
      </c>
      <c r="M73" s="38" t="inlineStr">
        <is>
          <t>M06/M03/M02</t>
        </is>
      </c>
      <c r="N73" s="38" t="inlineStr">
        <is>
          <t>M02 Parte 2</t>
        </is>
      </c>
      <c r="O73" s="38" t="inlineStr">
        <is>
          <t>No asesoría; catálogo final se concilia con orquestación transversal.</t>
        </is>
      </c>
      <c r="P73" s="38" t="inlineStr">
        <is>
          <t>Manifestaciones visibles parciales</t>
        </is>
      </c>
      <c r="Q73" s="38" t="inlineStr">
        <is>
          <t>Brecha documental</t>
        </is>
      </c>
      <c r="R73" s="38" t="inlineStr">
        <is>
          <t>Revisado en export exacto; ajuste de materializacion pendiente: FG-M06-STATUS-02, FG-M06-RUTA-02</t>
        </is>
      </c>
      <c r="S73" s="38" t="inlineStr">
        <is>
          <t>TC-M06-070; TC-M06-073</t>
        </is>
      </c>
      <c r="T73" s="38" t="inlineStr">
        <is>
          <t>Pendiente de validación</t>
        </is>
      </c>
      <c r="U73" s="38" t="inlineStr">
        <is>
          <t>Contrato v1.0: CT-M06-10, CT-M06-14. Ver 06_Contrato_Vigente para BDD y fuentes; evidencia runtime pendiente.
Precision post recorrido: Estados, badges y avisos sin duplicidad [FG-M06-STATUS-02]; Ruta: separar vínculo activo y entrada elegible [FG-M06-RUTA-02]</t>
        </is>
      </c>
      <c r="V73" s="38" t="inlineStr">
        <is>
          <t>BD-M06-AVISOS-01</t>
        </is>
      </c>
    </row>
    <row r="74" ht="168" customHeight="1">
      <c r="A74" s="39" t="inlineStr">
        <is>
          <t>M06-TR-070</t>
        </is>
      </c>
      <c r="B74" s="39" t="inlineStr">
        <is>
          <t>Tarjeta de crédito / despacho</t>
        </is>
      </c>
      <c r="C74" s="39" t="inlineStr">
        <is>
          <t>Separar cuota facturada, futura, total/mínimo y pago cartola</t>
        </is>
      </c>
      <c r="D74" s="39" t="inlineStr">
        <is>
          <t>Evento/acción autorizado con identidad y versión</t>
        </is>
      </c>
      <c r="E74" s="39" t="inlineStr">
        <is>
          <t>Estado vigente del objeto</t>
        </is>
      </c>
      <c r="F74" s="39" t="inlineStr">
        <is>
          <t>Separar: cuota facturada del período -&gt; gasto M05; cuotas futuras identificadas -&gt; compromisos M06; total facturado/vencimiento/mínimo -&gt; obligacion del ciclo M06; pago de cartola -&gt; estado de pago M06, sin nuevo gasto M05. No sumar otra vez el total facturado a sus componentes como compromisos económicos equivalentes. El mínimo es un dato de control, no pago recomendado ni saldo total de la obligacion. Mínimo cero no equivale a cartola pagada; total facturado, deuda total de tarjeta, cupo usado y saldo futuro son conceptos distintos.</t>
        </is>
      </c>
      <c r="G74" s="39" t="inlineStr">
        <is>
          <t>Nueva cobertura derivada del contrato owner; no inventar HU legacy</t>
        </is>
      </c>
      <c r="H74" s="39" t="inlineStr">
        <is>
          <t>TC y M05BE:T08</t>
        </is>
      </c>
      <c r="I74" s="39" t="inlineStr">
        <is>
          <t>M06-RGL-031; M06-RGL-032</t>
        </is>
      </c>
      <c r="J74" s="39" t="inlineStr">
        <is>
          <t>Contrato de datos tipado; null/quality/versión; no doble efecto</t>
        </is>
      </c>
      <c r="K74" s="39" t="inlineStr">
        <is>
          <t>Confirmar/corregir/rechazar o revisar según contexto</t>
        </is>
      </c>
      <c r="L74" s="39" t="inlineStr">
        <is>
          <t>Owner del objeto y retorno correlacionado</t>
        </is>
      </c>
      <c r="M74" s="39" t="inlineStr">
        <is>
          <t>Origen con estado/versión actual</t>
        </is>
      </c>
      <c r="N74" s="39" t="inlineStr">
        <is>
          <t>M06/M05/M04/M01/Home según interfaz</t>
        </is>
      </c>
      <c r="O74" s="39" t="inlineStr">
        <is>
          <t>Owner de dominio; no Backend infiere</t>
        </is>
      </c>
      <c r="P74" s="39" t="inlineStr">
        <is>
          <t>Cumplir CTEST-M06-028..033 y referencias CT-M06-11</t>
        </is>
      </c>
      <c r="Q74" s="39" t="inlineStr">
        <is>
          <t>Allowlist; ruta exacta a corroborar W04</t>
        </is>
      </c>
      <c r="R74" s="39" t="inlineStr">
        <is>
          <t>PENDING_WALKTHROUGH_VALIDATION</t>
        </is>
      </c>
      <c r="S74" s="39" t="inlineStr">
        <is>
          <t>CTEST-M06-028..033</t>
        </is>
      </c>
      <c r="T74" s="39" t="inlineStr">
        <is>
          <t>Pendiente de validación</t>
        </is>
      </c>
      <c r="U74" s="39" t="inlineStr">
        <is>
          <t>Nueva cobertura real, no renumeracion. Fuente TC y M05BE:T08</t>
        </is>
      </c>
      <c r="V74" s="39" t="inlineStr">
        <is>
          <t>W-M06-04 solo visual; contrato independiente definido</t>
        </is>
      </c>
    </row>
    <row r="75" ht="196" customHeight="1">
      <c r="A75" s="38" t="inlineStr">
        <is>
          <t>M06-TR-071</t>
        </is>
      </c>
      <c r="B75" s="38" t="inlineStr">
        <is>
          <t>M05 -&gt; M06</t>
        </is>
      </c>
      <c r="C75" s="38" t="inlineStr">
        <is>
          <t>Movimiento detectado a candidato y decision con retorno</t>
        </is>
      </c>
      <c r="D75" s="38" t="inlineStr">
        <is>
          <t>Evento/acción autorizado con identidad y versión</t>
        </is>
      </c>
      <c r="E75" s="38" t="inlineStr">
        <is>
          <t>Estado vigente del objeto</t>
        </is>
      </c>
      <c r="F75" s="38" t="inlineStr">
        <is>
          <t>M05 -&gt; M06: evento de movimiento detectado se recibe con propietario, identidad/versión, período, naturaleza, datos conocidos, confianza y origen. Crear/actualizar candidato, no compromiso confirmado por la mera llegada. Confirmar/corregir/rechazar retorna decision correlacionada al productor. M06 -&gt; M05: un compromiso confirmado aporta expectativa pendiente, no gasto ejecutado. Un pago confirmado busca movimiento canónico: si existe, link; si hay hecho económico suficiente y no hay movimiento, provisional con clave de reconciliación; si no implica nuevo efecto, no-op. La aplicación de presupuesto/scope pertenece a M05.</t>
        </is>
      </c>
      <c r="G75" s="38" t="inlineStr">
        <is>
          <t>Nueva cobertura derivada del contrato owner; no inventar HU legacy</t>
        </is>
      </c>
      <c r="H75" s="38" t="inlineStr">
        <is>
          <t>M05BE:T08/P101-P103</t>
        </is>
      </c>
      <c r="I75" s="38" t="inlineStr">
        <is>
          <t>M06-RGL-031</t>
        </is>
      </c>
      <c r="J75" s="38" t="inlineStr">
        <is>
          <t>Contrato de datos tipado; null/quality/versión; no doble efecto</t>
        </is>
      </c>
      <c r="K75" s="38" t="inlineStr">
        <is>
          <t>Confirmar/corregir/rechazar o revisar según contexto</t>
        </is>
      </c>
      <c r="L75" s="38" t="inlineStr">
        <is>
          <t>Owner del objeto y retorno correlacionado</t>
        </is>
      </c>
      <c r="M75" s="38" t="inlineStr">
        <is>
          <t>Origen con estado/versión actual</t>
        </is>
      </c>
      <c r="N75" s="38" t="inlineStr">
        <is>
          <t>M06/M05/M04/M01/Home según interfaz</t>
        </is>
      </c>
      <c r="O75" s="38" t="inlineStr">
        <is>
          <t>Owner de dominio; no Backend infiere</t>
        </is>
      </c>
      <c r="P75" s="38" t="inlineStr">
        <is>
          <t>Cumplir CTEST-M06-034/036 y referencias CT-M06-13</t>
        </is>
      </c>
      <c r="Q75" s="38" t="inlineStr">
        <is>
          <t>Allowlist; ruta exacta a corroborar W04</t>
        </is>
      </c>
      <c r="R75" s="38" t="inlineStr">
        <is>
          <t>PENDING_WALKTHROUGH_VALIDATION</t>
        </is>
      </c>
      <c r="S75" s="38" t="inlineStr">
        <is>
          <t>CTEST-M06-034/036</t>
        </is>
      </c>
      <c r="T75" s="38" t="inlineStr">
        <is>
          <t>Pendiente de validación</t>
        </is>
      </c>
      <c r="U75" s="38" t="inlineStr">
        <is>
          <t>Nueva cobertura real, no renumeracion. Fuente M05BE:T08/P101-P103</t>
        </is>
      </c>
      <c r="V75" s="38" t="inlineStr">
        <is>
          <t>W-M06-04 solo visual; contrato independiente definido</t>
        </is>
      </c>
    </row>
    <row r="76" ht="196" customHeight="1">
      <c r="A76" s="39" t="inlineStr">
        <is>
          <t>M06-TR-072</t>
        </is>
      </c>
      <c r="B76" s="39" t="inlineStr">
        <is>
          <t>M06 -&gt; M05</t>
        </is>
      </c>
      <c r="C76" s="39" t="inlineStr">
        <is>
          <t>Pago con link/provisional/no-op y conciliación/reversion posterior</t>
        </is>
      </c>
      <c r="D76" s="39" t="inlineStr">
        <is>
          <t>Evento/acción autorizado con identidad y versión</t>
        </is>
      </c>
      <c r="E76" s="39" t="inlineStr">
        <is>
          <t>Estado vigente del objeto</t>
        </is>
      </c>
      <c r="F76" s="39" t="inlineStr">
        <is>
          <t>M05 -&gt; M06: evento de movimiento detectado se recibe con propietario, identidad/versión, período, naturaleza, datos conocidos, confianza y origen. Crear/actualizar candidato, no compromiso confirmado por la mera llegada. Confirmar/corregir/rechazar retorna decision correlacionada al productor. M06 -&gt; M05: un compromiso confirmado aporta expectativa pendiente, no gasto ejecutado. Un pago confirmado busca movimiento canónico: si existe, link; si hay hecho económico suficiente y no hay movimiento, provisional con clave de reconciliación; si no implica nuevo efecto, no-op. La aplicación de presupuesto/scope pertenece a M05.</t>
        </is>
      </c>
      <c r="G76" s="39" t="inlineStr">
        <is>
          <t>Nueva cobertura derivada del contrato owner; no inventar HU legacy</t>
        </is>
      </c>
      <c r="H76" s="39" t="inlineStr">
        <is>
          <t>M05BE:T08/P101-P103</t>
        </is>
      </c>
      <c r="I76" s="39" t="inlineStr">
        <is>
          <t>M06-RGL-031; M06-RGL-019</t>
        </is>
      </c>
      <c r="J76" s="39" t="inlineStr">
        <is>
          <t>Contrato de datos tipado; null/quality/versión; no doble efecto</t>
        </is>
      </c>
      <c r="K76" s="39" t="inlineStr">
        <is>
          <t>Confirmar/corregir/rechazar o revisar según contexto</t>
        </is>
      </c>
      <c r="L76" s="39" t="inlineStr">
        <is>
          <t>Owner del objeto y retorno correlacionado</t>
        </is>
      </c>
      <c r="M76" s="39" t="inlineStr">
        <is>
          <t>Origen con estado/versión actual</t>
        </is>
      </c>
      <c r="N76" s="39" t="inlineStr">
        <is>
          <t>M06/M05/M04/M01/Home según interfaz</t>
        </is>
      </c>
      <c r="O76" s="39" t="inlineStr">
        <is>
          <t>Owner de dominio; no Backend infiere</t>
        </is>
      </c>
      <c r="P76" s="39" t="inlineStr">
        <is>
          <t>Cumplir CTEST-M06-035/037 y referencias CT-M06-13</t>
        </is>
      </c>
      <c r="Q76" s="39" t="inlineStr">
        <is>
          <t>Allowlist; ruta exacta a corroborar W04</t>
        </is>
      </c>
      <c r="R76" s="39" t="inlineStr">
        <is>
          <t>Revisado en export exacto; ajuste de materializacion pendiente: FG-M06-PARCIAL-01</t>
        </is>
      </c>
      <c r="S76" s="39" t="inlineStr">
        <is>
          <t>CTEST-M06-035/037</t>
        </is>
      </c>
      <c r="T76" s="39" t="inlineStr">
        <is>
          <t>Pendiente de validación</t>
        </is>
      </c>
      <c r="U76" s="39" t="inlineStr">
        <is>
          <t>Nueva cobertura real, no renumeracion. Fuente M05BE:T08/P101-P103
Precision post recorrido: Pago completo, parcial y múltiples abonos [FG-M06-PARCIAL-01]</t>
        </is>
      </c>
      <c r="V76" s="39" t="inlineStr">
        <is>
          <t>W-M06-04 solo visual; contrato independiente definido</t>
        </is>
      </c>
    </row>
    <row r="77" ht="168" customHeight="1">
      <c r="A77" s="38" t="inlineStr">
        <is>
          <t>M06-TR-073</t>
        </is>
      </c>
      <c r="B77" s="38" t="inlineStr">
        <is>
          <t>M01 -&gt; M06 -&gt; M01</t>
        </is>
      </c>
      <c r="C77" s="38" t="inlineStr">
        <is>
          <t>Completitud en owner y snapshot sin doble pendiente/ejecutado</t>
        </is>
      </c>
      <c r="D77" s="38" t="inlineStr">
        <is>
          <t>Evento/acción autorizado con identidad y versión</t>
        </is>
      </c>
      <c r="E77" s="38" t="inlineStr">
        <is>
          <t>Estado vigente del objeto</t>
        </is>
      </c>
      <c r="F77" s="38" t="inlineStr">
        <is>
          <t>Home consume necesidad/estado vigente y devuelve navegacion al objeto M06; no confirma pagos ni crea recurrencias dentro del dashboard. Un retorno conserva contexto de período/filtro, pero siempre consulta estado vigente antes de habilitar una acción. M01 puede solicitar completar un dato de compromiso/pago/recurrencia en el owner M06 y recibir un retorno confirmado/corregido/cancelado. No crear otro formulario de compromisos dentro de onboarding. El resultado inválida el snapshot de diagnostico afectado, no un semáforo nuevo.</t>
        </is>
      </c>
      <c r="G77" s="38" t="inlineStr">
        <is>
          <t>Nueva cobertura derivada del contrato owner; no inventar HU legacy</t>
        </is>
      </c>
      <c r="H77" s="38" t="inlineStr">
        <is>
          <t>M01:Anexos Producto!119-131</t>
        </is>
      </c>
      <c r="I77" s="38" t="inlineStr">
        <is>
          <t>M06-RGL-034; M06-RGL-031</t>
        </is>
      </c>
      <c r="J77" s="38" t="inlineStr">
        <is>
          <t>Contrato de datos tipado; null/quality/versión; no doble efecto</t>
        </is>
      </c>
      <c r="K77" s="38" t="inlineStr">
        <is>
          <t>Confirmar/corregir/rechazar o revisar según contexto</t>
        </is>
      </c>
      <c r="L77" s="38" t="inlineStr">
        <is>
          <t>Owner del objeto y retorno correlacionado</t>
        </is>
      </c>
      <c r="M77" s="38" t="inlineStr">
        <is>
          <t>Origen con estado/versión actual</t>
        </is>
      </c>
      <c r="N77" s="38" t="inlineStr">
        <is>
          <t>M06/M05/M04/M01/Home según interfaz</t>
        </is>
      </c>
      <c r="O77" s="38" t="inlineStr">
        <is>
          <t>Owner de dominio; no Backend infiere</t>
        </is>
      </c>
      <c r="P77" s="38" t="inlineStr">
        <is>
          <t>Cumplir CTEST-M06-042 y referencias CT-M06-15</t>
        </is>
      </c>
      <c r="Q77" s="38" t="inlineStr">
        <is>
          <t>Allowlist; ruta exacta a corroborar W04</t>
        </is>
      </c>
      <c r="R77" s="38" t="inlineStr">
        <is>
          <t>PENDING_WALKTHROUGH_VALIDATION</t>
        </is>
      </c>
      <c r="S77" s="38" t="inlineStr">
        <is>
          <t>CTEST-M06-042</t>
        </is>
      </c>
      <c r="T77" s="38" t="inlineStr">
        <is>
          <t>Pendiente de validación</t>
        </is>
      </c>
      <c r="U77" s="38" t="inlineStr">
        <is>
          <t>Nueva cobertura real, no renumeracion. Fuente M01:Anexos Producto!119-131</t>
        </is>
      </c>
      <c r="V77" s="38" t="inlineStr">
        <is>
          <t>W-M06-04 solo visual; contrato independiente definido</t>
        </is>
      </c>
    </row>
  </sheetData>
  <autoFilter ref="A4:V77"/>
  <mergeCells count="2">
    <mergeCell ref="A2:V2"/>
    <mergeCell ref="A1:V1"/>
  </mergeCells>
  <pageMargins left="0.75" right="0.75" top="1" bottom="1" header="0.5" footer="0.5"/>
  <pageSetup orientation="landscape" paperSize="8" fitToHeight="0" fitToWidth="1"/>
</worksheet>
</file>

<file path=xl/worksheets/walvy_extra_10.xml><?xml version="1.0" encoding="utf-8"?>
<worksheet xmlns="http://schemas.openxmlformats.org/spreadsheetml/2006/main">
  <sheetPr>
    <outlinePr summaryBelow="1" summaryRight="1"/>
    <pageSetUpPr fitToPage="1"/>
  </sheetPr>
  <dimension ref="A1:D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5" customWidth="1" min="1" max="1"/>
    <col width="90" customWidth="1" min="2" max="2"/>
    <col width="100" customWidth="1" min="3" max="3"/>
    <col width="35" customWidth="1" min="4" max="4"/>
  </cols>
  <sheetData>
    <row r="1" ht="30" customHeight="1">
      <c r="A1" s="35" t="inlineStr">
        <is>
          <t>M06 | Fuentes de esta respuesta</t>
        </is>
      </c>
    </row>
    <row r="2" ht="38" customHeight="1">
      <c r="A2" s="36" t="inlineStr"/>
    </row>
    <row r="4" ht="38" customHeight="1">
      <c r="A4" s="37" t="inlineStr">
        <is>
          <t>Fuente</t>
        </is>
      </c>
      <c r="B4" s="37" t="inlineStr">
        <is>
          <t>Archivo / localizacion</t>
        </is>
      </c>
      <c r="C4" s="37" t="inlineStr">
        <is>
          <t>Uso permitido</t>
        </is>
      </c>
      <c r="D4" s="37" t="inlineStr">
        <is>
          <t>Estado</t>
        </is>
      </c>
    </row>
    <row r="5" ht="40" customHeight="1">
      <c r="A5" s="38" t="inlineStr">
        <is>
          <t>KABELI-TR</t>
        </is>
      </c>
      <c r="B5" s="38" t="inlineStr">
        <is>
          <t>Walvy_M6_Matriz_Trazabilidad_Cliente_v1.0_RESPUESTA_WALVY.xlsx</t>
        </is>
      </c>
      <c r="C5" s="38" t="inlineStr">
        <is>
          <t>Columnas originales preservadas; respuestas R:S y pendientes G:H</t>
        </is>
      </c>
      <c r="D5" s="38" t="inlineStr">
        <is>
          <t>Recibido</t>
        </is>
      </c>
    </row>
    <row r="6" ht="40" customHeight="1">
      <c r="A6" s="39" t="inlineStr">
        <is>
          <t>Baseline interno</t>
        </is>
      </c>
      <c r="B6" s="39" t="inlineStr">
        <is>
          <t>Walvy_M06_Documentacion_Funcional_Consolidada_v1.0.docx</t>
        </is>
      </c>
      <c r="C6" s="39" t="inlineStr">
        <is>
          <t>Definición M06 y decisiones aprobadas, salvo correcciones incorporadas en v1.0</t>
        </is>
      </c>
      <c r="D6" s="39" t="inlineStr">
        <is>
          <t>Base funcional</t>
        </is>
      </c>
    </row>
    <row r="7" ht="40" customHeight="1">
      <c r="A7" s="38" t="inlineStr">
        <is>
          <t>M05-FORMATO</t>
        </is>
      </c>
      <c r="B7" s="38" t="inlineStr">
        <is>
          <t>Entrega_Kabeli_2.0_M05_v1.0.zip</t>
        </is>
      </c>
      <c r="C7" s="38" t="inlineStr">
        <is>
          <t>Estructura de devolución, fichas y responsabilidades; no trasplanta reglas M05</t>
        </is>
      </c>
      <c r="D7" s="38" t="inlineStr">
        <is>
          <t>Referencia de forma</t>
        </is>
      </c>
    </row>
    <row r="8" ht="40" customHeight="1">
      <c r="A8" s="39" t="inlineStr">
        <is>
          <t>M06-FIGMA</t>
        </is>
      </c>
      <c r="B8" s="39" t="inlineStr">
        <is>
          <t>Walvy_M06_Matriz_Ajustes_Figma_v1.0.xlsx</t>
        </is>
      </c>
      <c r="C8" s="39" t="inlineStr">
        <is>
          <t>15 instrucciones derivadas del recorrido; materializacion pendiente</t>
        </is>
      </c>
      <c r="D8" s="39" t="inlineStr">
        <is>
          <t>No certificado visual</t>
        </is>
      </c>
    </row>
    <row r="9" ht="40" customHeight="1">
      <c r="A9" s="38" t="inlineStr">
        <is>
          <t>PD</t>
        </is>
      </c>
      <c r="B9" s="38" t="inlineStr">
        <is>
          <t>Walvy_M06_Clasificacion_y_Requisitos_Proteccion_Datos_para_Implementacion_v1.0.xlsx</t>
        </is>
      </c>
      <c r="C9" s="38" t="inlineStr">
        <is>
          <t>Vista efectiva de50 activos con exclusiones006/036</t>
        </is>
      </c>
      <c r="D9" s="38" t="inlineStr">
        <is>
          <t>Requisito, no cumplimiento</t>
        </is>
      </c>
    </row>
  </sheetData>
  <autoFilter ref="A4:D9"/>
  <mergeCells count="2">
    <mergeCell ref="A1:D1"/>
    <mergeCell ref="A2:D2"/>
  </mergeCells>
  <pageMargins left="0.75" right="0.75" top="1" bottom="1" header="0.5" footer="0.5"/>
  <pageSetup orientation="landscape" paperSize="8"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FCD4A6AF5D0146B0CDBDC1ECCDCBE7" ma:contentTypeVersion="14" ma:contentTypeDescription="Crear nuevo documento." ma:contentTypeScope="" ma:versionID="4d7503893b006ead27e0ea4dedea0c10">
  <xsd:schema xmlns:xsd="http://www.w3.org/2001/XMLSchema" xmlns:xs="http://www.w3.org/2001/XMLSchema" xmlns:p="http://schemas.microsoft.com/office/2006/metadata/properties" xmlns:ns2="438606ab-504c-4d4b-85a8-4460a7ac4a39" xmlns:ns3="844c1473-bec3-43a8-9453-77f408e7a524" targetNamespace="http://schemas.microsoft.com/office/2006/metadata/properties" ma:root="true" ma:fieldsID="6495c76130479332407c2493879908a2" ns2:_="" ns3:_="">
    <xsd:import namespace="438606ab-504c-4d4b-85a8-4460a7ac4a39"/>
    <xsd:import namespace="844c1473-bec3-43a8-9453-77f408e7a52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8606ab-504c-4d4b-85a8-4460a7ac4a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324c8c91-4e7f-40cb-9681-d426afa25ad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4c1473-bec3-43a8-9453-77f408e7a52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afbdf3b-5ec1-4472-b73d-61d6c39a3f5b}" ma:internalName="TaxCatchAll" ma:showField="CatchAllData" ma:web="844c1473-bec3-43a8-9453-77f408e7a52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38606ab-504c-4d4b-85a8-4460a7ac4a39">
      <Terms xmlns="http://schemas.microsoft.com/office/infopath/2007/PartnerControls"/>
    </lcf76f155ced4ddcb4097134ff3c332f>
    <TaxCatchAll xmlns="844c1473-bec3-43a8-9453-77f408e7a524" xsi:nil="true"/>
  </documentManagement>
</p:properties>
</file>

<file path=customXml/itemProps1.xml><?xml version="1.0" encoding="utf-8"?>
<ds:datastoreItem xmlns:ds="http://schemas.openxmlformats.org/officeDocument/2006/customXml" ds:itemID="{D18EB343-4380-413D-A28B-519C948EC69A}"/>
</file>

<file path=customXml/itemProps2.xml><?xml version="1.0" encoding="utf-8"?>
<ds:datastoreItem xmlns:ds="http://schemas.openxmlformats.org/officeDocument/2006/customXml" ds:itemID="{DC45E302-3A02-4E4C-98C3-0F29BE777A8B}"/>
</file>

<file path=customXml/itemProps3.xml><?xml version="1.0" encoding="utf-8"?>
<ds:datastoreItem xmlns:ds="http://schemas.openxmlformats.org/officeDocument/2006/customXml" ds:itemID="{D027192A-A194-4480-A3AF-92122FC2C6A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Matriz Trazabilidad</vt:lpstr>
      <vt:lpstr>Historias y CA</vt:lpstr>
      <vt:lpstr>Reglas de Negocio</vt:lpstr>
      <vt:lpstr>Fuentes</vt:lpstr>
      <vt:lpstr>Pendientes Cliente</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 Maria Soto Lobos</cp:lastModifiedBy>
  <dcterms:modified xsi:type="dcterms:W3CDTF">2026-08-28T11:57:29Z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0x01010058FCD4A6AF5D0146B0CDBDC1ECCDCBE7</vt:lpwstr>
  </property>
</Properties>
</file>