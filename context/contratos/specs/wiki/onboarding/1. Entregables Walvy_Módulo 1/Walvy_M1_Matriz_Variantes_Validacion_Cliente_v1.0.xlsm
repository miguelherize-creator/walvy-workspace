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Matriz Validación" sheetId="1" r:id="rId4"/>
    <sheet state="visible" name="Resumen" sheetId="2" r:id="rId5"/>
    <sheet state="visible" name="Fuentes" sheetId="3" r:id="rId6"/>
    <sheet state="visible" name="_Listas" sheetId="4" r:id="rId7"/>
  </sheets>
  <definedNames/>
  <calcPr/>
  <extLst>
    <ext uri="GoogleSheetsCustomDataVersion2">
      <go:sheetsCustomData xmlns:go="http://customooxmlschemas.google.com/" r:id="rId8" roundtripDataChecksum="evVxpF+R0ywei+fKjKpVFG6W2mBvuvqQN4KK2pNnObw="/>
    </ext>
  </extLst>
</workbook>
</file>

<file path=xl/sharedStrings.xml><?xml version="1.0" encoding="utf-8"?>
<sst xmlns="http://schemas.openxmlformats.org/spreadsheetml/2006/main" count="813" uniqueCount="483">
  <si>
    <t>Pendiente</t>
  </si>
  <si>
    <t>M1 – Resumen de validación</t>
  </si>
  <si>
    <t>Aprobado</t>
  </si>
  <si>
    <t>Ajustar</t>
  </si>
  <si>
    <t>Fuera de alcance</t>
  </si>
  <si>
    <t>Requiere análisis</t>
  </si>
  <si>
    <t>M1 – Catálogo de fuentes utilizadas</t>
  </si>
  <si>
    <t>Indicador</t>
  </si>
  <si>
    <t>Tipo</t>
  </si>
  <si>
    <t>Valor</t>
  </si>
  <si>
    <t>Total variantes</t>
  </si>
  <si>
    <t>Fuente</t>
  </si>
  <si>
    <t>Uso en matriz</t>
  </si>
  <si>
    <t>Pendientes</t>
  </si>
  <si>
    <t>Estado/advertencia</t>
  </si>
  <si>
    <t>Referencia</t>
  </si>
  <si>
    <t>Figma</t>
  </si>
  <si>
    <t>M1 – Walvi APP / Edificate Inteligente</t>
  </si>
  <si>
    <t>Flujos de acceso, registro, recuperación, primer ingreso y onboarding</t>
  </si>
  <si>
    <t>Fuente visual; no reemplaza reglas funcionales que no estén documentadas</t>
  </si>
  <si>
    <t>https://www.figma.com/design/v45c4HTKnPnU0XABMa5vjY/Walvi-APP---Edificate-Inteligente?node-id=3361-2744</t>
  </si>
  <si>
    <t>Documento</t>
  </si>
  <si>
    <t>Walvy_Especificacion_UX_Onboarding_App.docx</t>
  </si>
  <si>
    <t>WALVY | M1 – Matriz de variantes para validación / Dueño del producto</t>
  </si>
  <si>
    <t>Onboarding, carga documental, estados operativos, retoma</t>
  </si>
  <si>
    <t>Fuente rectora UX del onboarding general</t>
  </si>
  <si>
    <t>Archivo entregado por cliente</t>
  </si>
  <si>
    <t>Walvy_Onboarding_Diagnostico_Fase3_Reglas_Contextuales_Suficiencia_Semaforo_CTA_v1_0.docx</t>
  </si>
  <si>
    <t>Suficiencia, semáforo, presión principal, CTA, retoma</t>
  </si>
  <si>
    <t>Aprobado con advertencias operativas controladas</t>
  </si>
  <si>
    <t>Walvy_Onboarding_Diagnostico_Fase3_Anexo_BDD_Reglas_Productivas_v1_0.docx</t>
  </si>
  <si>
    <t>Objetivo: validar cada escenario antes del cierre del módulo. La columna 'Clasificación de soporte' distingue lo confirmado por documentación/Figma de lo que requiere decisión.</t>
  </si>
  <si>
    <t>Enums/estados productivos, parámetros, trazabilidad</t>
  </si>
  <si>
    <t>No constituye SQL final; parámetros 45/90 sujetos a validación</t>
  </si>
  <si>
    <t>Aprobadas</t>
  </si>
  <si>
    <t>Walvy_Regla_Priorizacion_CTA_por_Foco_Mes_v1_0.docx</t>
  </si>
  <si>
    <t>ID Variante</t>
  </si>
  <si>
    <t>Catálogo de seis focos y jerarquía CTA</t>
  </si>
  <si>
    <t>Borrador corregido para QA/aprobación</t>
  </si>
  <si>
    <t>QA</t>
  </si>
  <si>
    <t>Evidencias Login / Registro / Recuperación / Biometría iOS y Android</t>
  </si>
  <si>
    <t>Respaldo de escenarios M1 de acceso que no tienen especificación funcional fuente equivalente</t>
  </si>
  <si>
    <t>Usar como evidencia, no como sustituto de regla de negocio</t>
  </si>
  <si>
    <t>Archivos PDF de QA entregados</t>
  </si>
  <si>
    <t>Flujo / Subflujo</t>
  </si>
  <si>
    <t>Variante / Escenario</t>
  </si>
  <si>
    <t>Condición / Disparador</t>
  </si>
  <si>
    <t>Comportamiento esperado</t>
  </si>
  <si>
    <t>N° variantes</t>
  </si>
  <si>
    <t>Fuente documental</t>
  </si>
  <si>
    <t>Comentario</t>
  </si>
  <si>
    <t>Acceso / Login</t>
  </si>
  <si>
    <t>Referencia / sección</t>
  </si>
  <si>
    <t>Revisar filas correspondientes en Matriz Validación</t>
  </si>
  <si>
    <t>Biometría</t>
  </si>
  <si>
    <t>Nodo Figma</t>
  </si>
  <si>
    <t>Registro</t>
  </si>
  <si>
    <t>URL Figma</t>
  </si>
  <si>
    <t>Verificación de cuenta</t>
  </si>
  <si>
    <t>Cobertura QA / evidencia</t>
  </si>
  <si>
    <t>Recuperación de acceso</t>
  </si>
  <si>
    <t>Clasificación de soporte</t>
  </si>
  <si>
    <t>Primer ingreso</t>
  </si>
  <si>
    <t>Validación Cliente</t>
  </si>
  <si>
    <t>Onboarding</t>
  </si>
  <si>
    <t>Decisión PO / Comentarios</t>
  </si>
  <si>
    <t>Foco del Mes</t>
  </si>
  <si>
    <t>M1-V01</t>
  </si>
  <si>
    <t>Carga documental</t>
  </si>
  <si>
    <t>Procesamiento</t>
  </si>
  <si>
    <t>Suficiencia</t>
  </si>
  <si>
    <t>Usuario sin sesión guardada</t>
  </si>
  <si>
    <t>Diagnóstico</t>
  </si>
  <si>
    <t>Retoma</t>
  </si>
  <si>
    <t>Inicio de app sin usuario recordado/biometría activa</t>
  </si>
  <si>
    <t>Mostrar login con correo y contraseña.</t>
  </si>
  <si>
    <t>No se encontró especificación funcional fuente de acceso; respaldo en Figma + QA</t>
  </si>
  <si>
    <t>QA Login Exitoso; documento funcional original de acceso pendiente</t>
  </si>
  <si>
    <t>3470:6974</t>
  </si>
  <si>
    <t>https://www.figma.com/design/v45c4HTKnPnU0XABMa5vjY/Walvi-APP---Edificate-Inteligente?node-id=3470-6974</t>
  </si>
  <si>
    <t>Evidencia QA iOS encontrada; Android debe enlazarse en cierre</t>
  </si>
  <si>
    <t>Figma + QA / regla funcional pendiente</t>
  </si>
  <si>
    <t>M1-V02</t>
  </si>
  <si>
    <t>Credenciales válidas</t>
  </si>
  <si>
    <t>Correo/usuario y contraseña válidos</t>
  </si>
  <si>
    <t>Permitir ingreso y dirigir a Home.</t>
  </si>
  <si>
    <t>No se encontró especificación funcional fuente de acceso; respaldo en QA</t>
  </si>
  <si>
    <t>Login Exitoso - Passed - iOS; evidencias Android disponibles en paquete QA</t>
  </si>
  <si>
    <t>3361:2744</t>
  </si>
  <si>
    <t>Evidencia QA disponible</t>
  </si>
  <si>
    <t>M1-V03</t>
  </si>
  <si>
    <t>Credenciales inválidas / error de validación</t>
  </si>
  <si>
    <t>Usuario intenta ingresar con datos inválidos</t>
  </si>
  <si>
    <t>No permitir ingreso; mantener usuario en login y mostrar tratamiento de error definido.</t>
  </si>
  <si>
    <t>No se encontró regla funcional cerrada en documentación fuente</t>
  </si>
  <si>
    <t>Validar copy, intentos y bloqueo con Producto</t>
  </si>
  <si>
    <t>3677:2837</t>
  </si>
  <si>
    <t>https://www.figma.com/design/v45c4HTKnPnU0XABMa5vjY/Walvi-APP---Edificate-Inteligente?node-id=3677-2837</t>
  </si>
  <si>
    <t>Cobertura específica debe confirmarse</t>
  </si>
  <si>
    <t>Figma solamente / validar regla</t>
  </si>
  <si>
    <t>M1-V04</t>
  </si>
  <si>
    <t>Usuario previamente guardado</t>
  </si>
  <si>
    <t>Existe usuario persistido en dispositivo</t>
  </si>
  <si>
    <t>Mostrar correo/usuario persistido y solicitar credencial según diseño.</t>
  </si>
  <si>
    <t>No se encontró regla funcional cerrada; respaldo en Figma + QA</t>
  </si>
  <si>
    <t>QA de reingreso con usuario guardado</t>
  </si>
  <si>
    <t>3470:7098</t>
  </si>
  <si>
    <t>https://www.figma.com/design/v45c4HTKnPnU0XABMa5vjY/Walvi-APP---Edificate-Inteligente?node-id=3470-7098</t>
  </si>
  <si>
    <t>Evidencia QA disponible en paquete</t>
  </si>
  <si>
    <t>M1-V05</t>
  </si>
  <si>
    <t>Biometría disponible y activa</t>
  </si>
  <si>
    <t>Usuario guardado tiene biometría habilitada</t>
  </si>
  <si>
    <t>Ofrecer autenticación biométrica.</t>
  </si>
  <si>
    <t>No se encontró especificación funcional original; respaldo en Figma + QA</t>
  </si>
  <si>
    <t>Login biométrico iOS</t>
  </si>
  <si>
    <t>3470:7080</t>
  </si>
  <si>
    <t>https://www.figma.com/design/v45c4HTKnPnU0XABMa5vjY/Walvi-APP---Edificate-Inteligente?node-id=3470-7080</t>
  </si>
  <si>
    <t>Evidencia QA iOS encontrada</t>
  </si>
  <si>
    <t>M1-V06</t>
  </si>
  <si>
    <t>Biometría exitosa</t>
  </si>
  <si>
    <t>Autenticación biométrica aprobada</t>
  </si>
  <si>
    <t>Ingresar a Home.</t>
  </si>
  <si>
    <t>QA + Figma</t>
  </si>
  <si>
    <t>Login exitoso con usuario biométrico previamente guardado - Passed - iOS</t>
  </si>
  <si>
    <t>3470:7138</t>
  </si>
  <si>
    <t>https://www.figma.com/design/v45c4HTKnPnU0XABMa5vjY/Walvi-APP---Edificate-Inteligente?node-id=3470-7138</t>
  </si>
  <si>
    <t>Passed iOS</t>
  </si>
  <si>
    <t>Confirmado por Figma + QA</t>
  </si>
  <si>
    <t>M1-V07</t>
  </si>
  <si>
    <t>Biometría fallida / fallback</t>
  </si>
  <si>
    <t>Tres intentos biométricos fallidos según evidencia QA</t>
  </si>
  <si>
    <t>Volver a login con credenciales.</t>
  </si>
  <si>
    <t>Login fallido con usuario biométrico previamente guardado - Passed - iOS</t>
  </si>
  <si>
    <t>Passed iOS: 3 intentos y fallback</t>
  </si>
  <si>
    <t>Confirmado por QA; formalizar regla</t>
  </si>
  <si>
    <t>M1-V08</t>
  </si>
  <si>
    <t>Acceso a crear cuenta</t>
  </si>
  <si>
    <t>Usuario selecciona “Crear mi cuenta”</t>
  </si>
  <si>
    <t>Abrir formulario de creación de cuenta.</t>
  </si>
  <si>
    <t>Creación de cuenta - Passed - iOS/Android</t>
  </si>
  <si>
    <t>3470:7249</t>
  </si>
  <si>
    <t>https://www.figma.com/design/v45c4HTKnPnU0XABMa5vjY/Walvi-APP---Edificate-Inteligente?node-id=3470-7249</t>
  </si>
  <si>
    <t>M1-V09</t>
  </si>
  <si>
    <t>Datos de registro válidos</t>
  </si>
  <si>
    <t>Correo, confirmación, RUT y contraseña cumplen validación</t>
  </si>
  <si>
    <t>Permitir continuar si además están aceptados T&amp;C y Privacidad.</t>
  </si>
  <si>
    <t>Creación de cuenta campos válidos T&amp;C y Política de Privacidad</t>
  </si>
  <si>
    <t>3604:3521</t>
  </si>
  <si>
    <t>https://www.figma.com/design/v45c4HTKnPnU0XABMa5vjY/Walvi-APP---Edificate-Inteligente?node-id=3604-3521</t>
  </si>
  <si>
    <t>Passed en evidencias entregadas</t>
  </si>
  <si>
    <t>M1-V10</t>
  </si>
  <si>
    <t>Campos incompletos o inválidos</t>
  </si>
  <si>
    <t>Uno o más campos no cumplen validación</t>
  </si>
  <si>
    <t>Mantener CTA de creación deshabilitado o impedir avance.</t>
  </si>
  <si>
    <t>Casos de creación de cuenta con validaciones</t>
  </si>
  <si>
    <t>3604:3621</t>
  </si>
  <si>
    <t>https://www.figma.com/design/v45c4HTKnPnU0XABMa5vjY/Walvi-APP---Edificate-Inteligente?node-id=3604-3621</t>
  </si>
  <si>
    <t>M1-V11</t>
  </si>
  <si>
    <t>Términos y Condiciones no aceptados</t>
  </si>
  <si>
    <t>Campos válidos, T&amp;C sin aceptar</t>
  </si>
  <si>
    <t>No habilitar creación de cuenta.</t>
  </si>
  <si>
    <t>Validación link Términos y Condiciones</t>
  </si>
  <si>
    <t>3604:3925</t>
  </si>
  <si>
    <t>https://www.figma.com/design/v45c4HTKnPnU0XABMa5vjY/Walvi-APP---Edificate-Inteligente?node-id=3604-3925</t>
  </si>
  <si>
    <t>Passed iOS; confirmar Android</t>
  </si>
  <si>
    <t>Figma + QA</t>
  </si>
  <si>
    <t>M1-V12</t>
  </si>
  <si>
    <t>Política de Privacidad no aceptada</t>
  </si>
  <si>
    <t>Campos válidos, Privacidad sin aceptar</t>
  </si>
  <si>
    <t>Creación de cuenta campos válidos Política de Privacidad</t>
  </si>
  <si>
    <t>M1-V13</t>
  </si>
  <si>
    <t>Código en estado inicial</t>
  </si>
  <si>
    <t>Cuenta creada; aún no se completa código</t>
  </si>
  <si>
    <t>Mostrar ingreso/verificación de código; CTA según completitud.</t>
  </si>
  <si>
    <t>Creación de cuenta exitosa - Verificación</t>
  </si>
  <si>
    <t>3470:7580</t>
  </si>
  <si>
    <t>https://www.figma.com/design/v45c4HTKnPnU0XABMa5vjY/Walvi-APP---Edificate-Inteligente?node-id=3470-7580</t>
  </si>
  <si>
    <t>Figma + QA / ciclo de código pendiente</t>
  </si>
  <si>
    <t>M1-V14</t>
  </si>
  <si>
    <t>Código incorrecto</t>
  </si>
  <si>
    <t>Usuario ingresa código inválido</t>
  </si>
  <si>
    <t>No activar cuenta; informar error y permitir corrección según regla.</t>
  </si>
  <si>
    <t>Creación de cuenta exitosa Verificación Código Incorrecto - Passed</t>
  </si>
  <si>
    <t>3470:7723</t>
  </si>
  <si>
    <t>https://www.figma.com/design/v45c4HTKnPnU0XABMa5vjY/Walvi-APP---Edificate-Inteligente?node-id=3470-7723</t>
  </si>
  <si>
    <t>Passed iOS; evidencias Android a enlazar</t>
  </si>
  <si>
    <t>M1-V15</t>
  </si>
  <si>
    <t>Código correcto</t>
  </si>
  <si>
    <t>Usuario ingresa código válido</t>
  </si>
  <si>
    <t>Confirmar cuenta y avanzar a primer ingreso.</t>
  </si>
  <si>
    <t>Creación de cuenta exitosa Verificación Código Correcto - Passed</t>
  </si>
  <si>
    <t>3470:7774</t>
  </si>
  <si>
    <t>https://www.figma.com/design/v45c4HTKnPnU0XABMa5vjY/Walvi-APP---Edificate-Inteligente?node-id=3470-7774</t>
  </si>
  <si>
    <t>M1-V16</t>
  </si>
  <si>
    <t>Código vencido / reenvío</t>
  </si>
  <si>
    <t>Temporizador finaliza o el código requiere reenvío</t>
  </si>
  <si>
    <t>Habilitar tratamiento de reenvío/vencimiento conforme regla de Producto.</t>
  </si>
  <si>
    <t>No se encontró regla de vigencia, reenvío ni máximo de intentos en documentos funcionales revisados</t>
  </si>
  <si>
    <t>3470:7626</t>
  </si>
  <si>
    <t>https://www.figma.com/design/v45c4HTKnPnU0XABMa5vjY/Walvi-APP---Edificate-Inteligente?node-id=3470-7626</t>
  </si>
  <si>
    <t>Cobertura QA no confirmada</t>
  </si>
  <si>
    <t>Figma solamente / decisión Producto</t>
  </si>
  <si>
    <t>M1-V17</t>
  </si>
  <si>
    <t>Usuario inicia recuperación</t>
  </si>
  <si>
    <t>Selecciona “¿Olvidaste tu contraseña?”</t>
  </si>
  <si>
    <t>Abrir Recupera tu acceso.</t>
  </si>
  <si>
    <t>Confirmar cuenta con correo electrónico / recuperación de acceso</t>
  </si>
  <si>
    <t>3470:7010</t>
  </si>
  <si>
    <t>https://www.figma.com/design/v45c4HTKnPnU0XABMa5vjY/Walvi-APP---Edificate-Inteligente?node-id=3470-7010</t>
  </si>
  <si>
    <t>M1-V18</t>
  </si>
  <si>
    <t>Usuario tiene acceso al correo</t>
  </si>
  <si>
    <t>Ingresa correo válido</t>
  </si>
  <si>
    <t>Permitir envío de código.</t>
  </si>
  <si>
    <t>Recuperación de acceso - envío de código</t>
  </si>
  <si>
    <t>M1-V19</t>
  </si>
  <si>
    <t>Usuario no tiene acceso al correo</t>
  </si>
  <si>
    <t>Usuario indica/no puede utilizar correo registrado</t>
  </si>
  <si>
    <t>Derivar al mecanismo de soporte mostrado en diseño; operación debe confirmarse.</t>
  </si>
  <si>
    <t>No se encontró regla operacional de soporte en documentación fuente</t>
  </si>
  <si>
    <t>3470:7029</t>
  </si>
  <si>
    <t>https://www.figma.com/design/v45c4HTKnPnU0XABMa5vjY/Walvi-APP---Edificate-Inteligente?node-id=3470-7029</t>
  </si>
  <si>
    <t>Figma solamente / validar operación</t>
  </si>
  <si>
    <t>M1-V20</t>
  </si>
  <si>
    <t>Código válido</t>
  </si>
  <si>
    <t>Código de recuperación correcto</t>
  </si>
  <si>
    <t>Permitir crear nueva contraseña.</t>
  </si>
  <si>
    <t>Confirmar cuenta con correo electrónico código válido</t>
  </si>
  <si>
    <t>M1-V21</t>
  </si>
  <si>
    <t>Código inválido</t>
  </si>
  <si>
    <t>Código de recuperación incorrecto</t>
  </si>
  <si>
    <t>Bloquear avance y permitir corregir/reintentar conforme regla.</t>
  </si>
  <si>
    <t>Casos de código válido/incorrecto</t>
  </si>
  <si>
    <t>Confirmado por QA; ciclo pendiente</t>
  </si>
  <si>
    <t>M1-V22</t>
  </si>
  <si>
    <t>Nueva contraseña coincide</t>
  </si>
  <si>
    <t>Nueva contraseña y confirmación son iguales</t>
  </si>
  <si>
    <t>Habilitar guardado y retorno a Login.</t>
  </si>
  <si>
    <t>Nueva Contraseña Coincidente - Passed</t>
  </si>
  <si>
    <t>3655:2970</t>
  </si>
  <si>
    <t>https://www.figma.com/design/v45c4HTKnPnU0XABMa5vjY/Walvi-APP---Edificate-Inteligente?node-id=3655-2970</t>
  </si>
  <si>
    <t>M1-V23</t>
  </si>
  <si>
    <t>Nueva contraseña no coincide</t>
  </si>
  <si>
    <t>Nueva contraseña y confirmación son distintas</t>
  </si>
  <si>
    <t>Mostrar error y mantener guardado deshabilitado.</t>
  </si>
  <si>
    <t>Nueva Contraseña No Coincidente - Passed</t>
  </si>
  <si>
    <t>3655:3058</t>
  </si>
  <si>
    <t>https://www.figma.com/design/v45c4HTKnPnU0XABMa5vjY/Walvi-APP---Edificate-Inteligente?node-id=3655-3058</t>
  </si>
  <si>
    <t>M1-V24</t>
  </si>
  <si>
    <t>Completar datos</t>
  </si>
  <si>
    <t>Cuenta verificada en primer acceso</t>
  </si>
  <si>
    <t>Permitir completar nombre/apellido/alias según diseño y continuar.</t>
  </si>
  <si>
    <t>Casos de primer ingreso iOS/Android entregados</t>
  </si>
  <si>
    <t>3470:7207</t>
  </si>
  <si>
    <t>https://www.figma.com/design/v45c4HTKnPnU0XABMa5vjY/Walvi-APP---Edificate-Inteligente?node-id=3470-7207</t>
  </si>
  <si>
    <t>M1-V25</t>
  </si>
  <si>
    <t>Omitir datos</t>
  </si>
  <si>
    <t>Usuario decide omitir paso permitido</t>
  </si>
  <si>
    <t>Continuar sin completar esos datos, conservando el estado correspondiente.</t>
  </si>
  <si>
    <t>Casos de primer ingreso / Omitir y continuar</t>
  </si>
  <si>
    <t>3470:7228</t>
  </si>
  <si>
    <t>https://www.figma.com/design/v45c4HTKnPnU0XABMa5vjY/Walvi-APP---Edificate-Inteligente?node-id=3470-7228</t>
  </si>
  <si>
    <t>M1-V26</t>
  </si>
  <si>
    <t>Ofrecer biometría</t>
  </si>
  <si>
    <t>Primer ingreso posterior a activación</t>
  </si>
  <si>
    <t>Mostrar opción de activar biometría conforme disponibilidad del dispositivo.</t>
  </si>
  <si>
    <t>No se encontró regla funcional original cerrada</t>
  </si>
  <si>
    <t>4911:5511</t>
  </si>
  <si>
    <t>https://www.figma.com/design/v45c4HTKnPnU0XABMa5vjY/Walvi-APP---Edificate-Inteligente?node-id=4911-5511</t>
  </si>
  <si>
    <t>Cobertura QA específica no confirmada</t>
  </si>
  <si>
    <t>M1-V27</t>
  </si>
  <si>
    <t>Bienvenida / activación</t>
  </si>
  <si>
    <t>Usuario entra al onboarding</t>
  </si>
  <si>
    <t>Explicar valor y ofrecer CTA dominante “Comenzar”.</t>
  </si>
  <si>
    <t>Walvy_Especificacion_UX_Onboarding_App</t>
  </si>
  <si>
    <t>4.1 Pantalla de bienvenida</t>
  </si>
  <si>
    <t>6670:13197</t>
  </si>
  <si>
    <t>https://www.figma.com/design/v45c4HTKnPnU0XABMa5vjY/Walvi-APP---Edificate-Inteligente?node-id=6670-13197</t>
  </si>
  <si>
    <t>Evidencia QA de onboarding no enlazada</t>
  </si>
  <si>
    <t>Confirmado Doc + Figma</t>
  </si>
  <si>
    <t>M1-V28</t>
  </si>
  <si>
    <t>Foco declarado</t>
  </si>
  <si>
    <t>Usuario selecciona un objetivo</t>
  </si>
  <si>
    <t>Registrar foco como declarado y usarlo como contexto; no debe superar señales críticas.</t>
  </si>
  <si>
    <t>Fase 3 + Regla de Priorización CTA</t>
  </si>
  <si>
    <t>Foco del mes: declarado; jerarquía señal crítica &gt; foco declarado &gt; sugerido</t>
  </si>
  <si>
    <t>6670:13227</t>
  </si>
  <si>
    <t>https://www.figma.com/design/v45c4HTKnPnU0XABMa5vjY/Walvi-APP---Edificate-Inteligente?node-id=6670-13227</t>
  </si>
  <si>
    <t>Cobertura QA no enlazada</t>
  </si>
  <si>
    <t>M1-V29</t>
  </si>
  <si>
    <t>Foco no declarado</t>
  </si>
  <si>
    <t>Usuario continúa sin seleccionar foco</t>
  </si>
  <si>
    <t>Permitir continuar; registrar no declarado y no bloquear carga documental.</t>
  </si>
  <si>
    <t>Fase 3</t>
  </si>
  <si>
    <t>G1 Foco del mes: foco seleccionado o decisión de continuar; sin bloqueo fuerte</t>
  </si>
  <si>
    <t>6670:13290</t>
  </si>
  <si>
    <t>https://www.figma.com/design/v45c4HTKnPnU0XABMa5vjY/Walvi-APP---Edificate-Inteligente?node-id=6670-13290</t>
  </si>
  <si>
    <t>Documentado; representación UI a confirmar</t>
  </si>
  <si>
    <t>M1-V30</t>
  </si>
  <si>
    <t>Foco inferido/sugerido</t>
  </si>
  <si>
    <t>No existe foco declarado y hay señales de comportamiento</t>
  </si>
  <si>
    <t>Puede registrarse como inferido/sugerido; comunicarlo como aproximación y sujeto a regla de Producto.</t>
  </si>
  <si>
    <t>Fase 3 + Regla CTA Foco</t>
  </si>
  <si>
    <t>Foco: declarado/no declarado/inferido; foco sugerido por Walvy</t>
  </si>
  <si>
    <t>Documento solamente / UI a validar</t>
  </si>
  <si>
    <t>M1-V31</t>
  </si>
  <si>
    <t>Bajar deuda</t>
  </si>
  <si>
    <t>Usuario selecciona Bajar deuda</t>
  </si>
  <si>
    <t>Guardar objetivo y usarlo como contexto de experiencia sin ocultar señal crítica.</t>
  </si>
  <si>
    <t>Regla Priorización CTA por Foco del Mes</t>
  </si>
  <si>
    <t>Catálogo oficial de seis focos</t>
  </si>
  <si>
    <t>M1-V32</t>
  </si>
  <si>
    <t>Ahorrar un monto</t>
  </si>
  <si>
    <t>Usuario selecciona Ahorrar un monto</t>
  </si>
  <si>
    <t>Guardar objetivo y usarlo como contexto.</t>
  </si>
  <si>
    <t>M1-V33</t>
  </si>
  <si>
    <t>Aumentar margen</t>
  </si>
  <si>
    <t>Usuario selecciona Aumentar margen</t>
  </si>
  <si>
    <t>M1-V34</t>
  </si>
  <si>
    <t>Evitar atrasos</t>
  </si>
  <si>
    <t>Usuario selecciona Evitar atrasos</t>
  </si>
  <si>
    <t>M1-V35</t>
  </si>
  <si>
    <t>Cumplir presupuesto</t>
  </si>
  <si>
    <t>Usuario selecciona Cumplir presupuesto</t>
  </si>
  <si>
    <t>M1-V36</t>
  </si>
  <si>
    <t>Ordenar compromisos</t>
  </si>
  <si>
    <t>Usuario selecciona Ordenar compromisos</t>
  </si>
  <si>
    <t>M1-V37</t>
  </si>
  <si>
    <t>Sin documento cargado</t>
  </si>
  <si>
    <t>No existe archivo seleccionado</t>
  </si>
  <si>
    <t>Mostrar estado listo para cargar; CTA cargar cartola/documento.</t>
  </si>
  <si>
    <t>4.2 Estados operativos: listo para cargar</t>
  </si>
  <si>
    <t>6670:13168</t>
  </si>
  <si>
    <t>https://www.figma.com/design/v45c4HTKnPnU0XABMa5vjY/Walvi-APP---Edificate-Inteligente?node-id=6670-13168</t>
  </si>
  <si>
    <t>M1-V38</t>
  </si>
  <si>
    <t>Documento seleccionado / subiendo</t>
  </si>
  <si>
    <t>Usuario selecciona archivo</t>
  </si>
  <si>
    <t>Mostrar progreso de carga y mantener continuidad.</t>
  </si>
  <si>
    <t>4.2 Estados operativos: subiendo</t>
  </si>
  <si>
    <t>6459:8023</t>
  </si>
  <si>
    <t>https://www.figma.com/design/v45c4HTKnPnU0XABMa5vjY/Walvi-APP---Edificate-Inteligente?node-id=6459-8023</t>
  </si>
  <si>
    <t>M1-V39</t>
  </si>
  <si>
    <t>Documento usable</t>
  </si>
  <si>
    <t>Archivo permite extraer información relevante</t>
  </si>
  <si>
    <t>Continuar a revisión/suficiencia.</t>
  </si>
  <si>
    <t>Fase 3 + UX Onboarding</t>
  </si>
  <si>
    <t>G2 requiere al menos un documento usable</t>
  </si>
  <si>
    <t>6672:8252</t>
  </si>
  <si>
    <t>https://www.figma.com/design/v45c4HTKnPnU0XABMa5vjY/Walvi-APP---Edificate-Inteligente?node-id=6672-8252</t>
  </si>
  <si>
    <t>M1-V40</t>
  </si>
  <si>
    <t>Documento no usable/no procesable</t>
  </si>
  <si>
    <t>Archivo no permite extracción relevante o no corresponde</t>
  </si>
  <si>
    <t>No habilitar diagnóstico; pedir subir otro/revisar archivo.</t>
  </si>
  <si>
    <t>Estado documento no procesable</t>
  </si>
  <si>
    <t>Documentado; pantalla exacta a validar</t>
  </si>
  <si>
    <t>M1-V41</t>
  </si>
  <si>
    <t>Documento con contraseña</t>
  </si>
  <si>
    <t>Archivo protegido requiere tratamiento</t>
  </si>
  <si>
    <t>Solicitar contraseña o tratamiento definido en diseño; regla técnica/seguridad debe formalizarse.</t>
  </si>
  <si>
    <t>No se encontró en la especificación UX con el mismo detalle</t>
  </si>
  <si>
    <t>6672:7841</t>
  </si>
  <si>
    <t>https://www.figma.com/design/v45c4HTKnPnU0XABMa5vjY/Walvi-APP---Edificate-Inteligente?node-id=6672-7841</t>
  </si>
  <si>
    <t>Figma solamente / formalizar regla</t>
  </si>
  <si>
    <t>M1-V42</t>
  </si>
  <si>
    <t>Documento desactualizado</t>
  </si>
  <si>
    <t>Dato existe pero no corresponde al período/vigencia</t>
  </si>
  <si>
    <t>Reducir confianza o pedir corrección; no tratar como base suficiente sin regla.</t>
  </si>
  <si>
    <t>Fase 3 + Anexo BDD</t>
  </si>
  <si>
    <t>Estado de indicador: Desactualizado</t>
  </si>
  <si>
    <t>M1-V43</t>
  </si>
  <si>
    <t>Documento duplicado</t>
  </si>
  <si>
    <t>Documento ya fue cargado/detectado como duplicado</t>
  </si>
  <si>
    <t>Aplicar tratamiento productivo definido; evitar duplicar información.</t>
  </si>
  <si>
    <t>Anexo BDD</t>
  </si>
  <si>
    <t>Estado/candidato productivo; confirmar tratamiento final</t>
  </si>
  <si>
    <t>Documento / validación técnica-producto</t>
  </si>
  <si>
    <t>M1-V44</t>
  </si>
  <si>
    <t>Procesamiento normal</t>
  </si>
  <si>
    <t>Documento cargado y análisis en curso</t>
  </si>
  <si>
    <t>Mostrar progreso guiado.</t>
  </si>
  <si>
    <t>Análisis en curso guiado 10–45 s; no hardcodear parámetros</t>
  </si>
  <si>
    <t>6459:8394</t>
  </si>
  <si>
    <t>https://www.figma.com/design/v45c4HTKnPnU0XABMa5vjY/Walvi-APP---Edificate-Inteligente?node-id=6459-8394</t>
  </si>
  <si>
    <t>M1-V45</t>
  </si>
  <si>
    <t>Demora suave</t>
  </si>
  <si>
    <t>Análisis supera umbral configurable inicial</t>
  </si>
  <si>
    <t>Mostrar que tarda más de lo esperado y permitir esperar o salir sin perder avance.</t>
  </si>
  <si>
    <t>45 s recomendado como parámetro configurable sujeto a validación</t>
  </si>
  <si>
    <t>6670:13533</t>
  </si>
  <si>
    <t>https://www.figma.com/design/v45c4HTKnPnU0XABMa5vjY/Walvi-APP---Edificate-Inteligente?node-id=6670-13533</t>
  </si>
  <si>
    <t>Doc + Figma / parámetro por validar</t>
  </si>
  <si>
    <t>M1-V46</t>
  </si>
  <si>
    <t>Demora extendida</t>
  </si>
  <si>
    <t>Análisis supera segundo umbral configurable</t>
  </si>
  <si>
    <t>Ofrecer salida segura: avisarme/volver después/seguir esperando según implementación.</t>
  </si>
  <si>
    <t>90 s recomendado como parámetro configurable sujeto a validación</t>
  </si>
  <si>
    <t>M1-V47</t>
  </si>
  <si>
    <t>Procesamiento fallido</t>
  </si>
  <si>
    <t>No se puede procesar documento o dato crítico</t>
  </si>
  <si>
    <t>Pedir nueva carga o completar información clave; registrar fallback/error.</t>
  </si>
  <si>
    <t>Análisis fallido</t>
  </si>
  <si>
    <t>M1-V48</t>
  </si>
  <si>
    <t>Base suficiente</t>
  </si>
  <si>
    <t>Documento usable + ingreso y movimientos detectados/confirmados + compromisos o recurrentes + confianza suficiente</t>
  </si>
  <si>
    <t>Permitir diagnóstico completo; CTA Comenzar diagnóstico.</t>
  </si>
  <si>
    <t>Estado Base suficiente</t>
  </si>
  <si>
    <t>6670:13387</t>
  </si>
  <si>
    <t>https://www.figma.com/design/v45c4HTKnPnU0XABMa5vjY/Walvi-APP---Edificate-Inteligente?node-id=6670-13387</t>
  </si>
  <si>
    <t>M1-V49</t>
  </si>
  <si>
    <t>Datos por confirmar no bloqueantes</t>
  </si>
  <si>
    <t>Base documental usable y faltantes puntuales que no cambian lectura central</t>
  </si>
  <si>
    <t>Permitir diagnóstico parcial con advertencia; CTA principal completar y secundario comenzar con esta base cuando corresponda.</t>
  </si>
  <si>
    <t>Estado Datos por confirmar / partial_diagnostic_allowed</t>
  </si>
  <si>
    <t>6459:8169</t>
  </si>
  <si>
    <t>https://www.figma.com/design/v45c4HTKnPnU0XABMa5vjY/Walvi-APP---Edificate-Inteligente?node-id=6459-8169</t>
  </si>
  <si>
    <t>M1-V50</t>
  </si>
  <si>
    <t>Datos por confirmar críticos</t>
  </si>
  <si>
    <t>Dato pendiente puede cambiar diagnóstico central</t>
  </si>
  <si>
    <t>Bloquear diagnóstico parcial hasta confirmar/completar.</t>
  </si>
  <si>
    <t>M1-V51</t>
  </si>
  <si>
    <t>Datos clave insuficientes</t>
  </si>
  <si>
    <t>Falta documento usable, ingreso, movimientos o base mínima de compromisos/pagos</t>
  </si>
  <si>
    <t>Bloquear diagnóstico; solicitar completar/cargar más información.</t>
  </si>
  <si>
    <t>Estado Datos clave insuficientes</t>
  </si>
  <si>
    <t>6459:8282</t>
  </si>
  <si>
    <t>https://www.figma.com/design/v45c4HTKnPnU0XABMa5vjY/Walvi-APP---Edificate-Inteligente?node-id=6459-8282</t>
  </si>
  <si>
    <t>M1-V52</t>
  </si>
  <si>
    <t>Sin base documental</t>
  </si>
  <si>
    <t>No hay documentos o se intenta omitir carga inicial</t>
  </si>
  <si>
    <t>No habilitar diagnóstico ni ruta manual sustitutiva; CTA cargar documentos.</t>
  </si>
  <si>
    <t>Estado Sin base documental / no manual sustitutivo</t>
  </si>
  <si>
    <t>Documentado / UI a validar</t>
  </si>
  <si>
    <t>M1-V53</t>
  </si>
  <si>
    <t>En control</t>
  </si>
  <si>
    <t>Base suficiente, sin presión principal crítica</t>
  </si>
  <si>
    <t>Mostrar lectura favorable y una acción dominante.</t>
  </si>
  <si>
    <t>Semáforo Verde / in_control</t>
  </si>
  <si>
    <t>6670:13628</t>
  </si>
  <si>
    <t>https://www.figma.com/design/v45c4HTKnPnU0XABMa5vjY/Walvi-APP---Edificate-Inteligente?node-id=6670-13628</t>
  </si>
  <si>
    <t>M1-V54</t>
  </si>
  <si>
    <t>Atención</t>
  </si>
  <si>
    <t>Base usable con datos por confirmar, movimientos pendientes, fugas/recurrentes o margen ajustado</t>
  </si>
  <si>
    <t>Mostrar atención con presión principal y CTA dominante adecuado.</t>
  </si>
  <si>
    <t>Semáforo Amarillo / attention; variantes pending_movements, leaks_detected, data_to_confirm, adjusted_margin</t>
  </si>
  <si>
    <t>6670:13717</t>
  </si>
  <si>
    <t>https://www.figma.com/design/v45c4HTKnPnU0XABMa5vjY/Walvi-APP---Edificate-Inteligente?node-id=6670-13717</t>
  </si>
  <si>
    <t>M1-V55</t>
  </si>
  <si>
    <t>Riesgo</t>
  </si>
  <si>
    <t>Base usable con señales fuertes de sobrecarga/compromisos que presionan</t>
  </si>
  <si>
    <t>Mostrar riesgo con acción prioritaria serena y trazable.</t>
  </si>
  <si>
    <t>Semáforo Rojo / risk; variantes risk_overload, risk_high_commitments</t>
  </si>
  <si>
    <t>6670:13805</t>
  </si>
  <si>
    <t>https://www.figma.com/design/v45c4HTKnPnU0XABMa5vjY/Walvi-APP---Edificate-Inteligente?node-id=6670-13805</t>
  </si>
  <si>
    <t>M1-V56</t>
  </si>
  <si>
    <t>Sin diagnóstico</t>
  </si>
  <si>
    <t>No existe base suficiente para lectura confiable</t>
  </si>
  <si>
    <t>No usar rojo por falta de información; mostrar bloqueo/completitud.</t>
  </si>
  <si>
    <t>general_traffic_light_status = no_diagnosis</t>
  </si>
  <si>
    <t>M1-V57</t>
  </si>
  <si>
    <t>Una presión principal / un CTA dominante</t>
  </si>
  <si>
    <t>Evaluación detecta múltiples señales</t>
  </si>
  <si>
    <t>Seleccionar una presión principal única y una acción dominante; el resto queda secundario.</t>
  </si>
  <si>
    <t>dominant_pressure_code único; no múltiples CTA dominantes</t>
  </si>
  <si>
    <t>Regla documental transversal</t>
  </si>
  <si>
    <t>M1-V58</t>
  </si>
  <si>
    <t>Pausa antes de carga</t>
  </si>
  <si>
    <t>Usuario posterga en bienvenida/foco</t>
  </si>
  <si>
    <t>Conservar estado aplicable y retomar desde punto de mayor valor pendiente.</t>
  </si>
  <si>
    <t>UX Onboarding + Fase 3</t>
  </si>
  <si>
    <t>Política Ahora no/Más tarde; G6 Retoma</t>
  </si>
  <si>
    <t>Documentado / UI parcial</t>
  </si>
  <si>
    <t>M1-V59</t>
  </si>
  <si>
    <t>Pausa después de carga parcial</t>
  </si>
  <si>
    <t>Usuario sale con carga procesada o parcial</t>
  </si>
  <si>
    <t>Conservar evidencia ya cargada; no reiniciar desde cero.</t>
  </si>
  <si>
    <t>Retoma desde evidencia/revisión/diagnóstico según avance</t>
  </si>
  <si>
    <t>Documentado</t>
  </si>
  <si>
    <t>M1-V60</t>
  </si>
  <si>
    <t>Salida durante análisis</t>
  </si>
  <si>
    <t>Usuario sale mientras procesamiento continúa</t>
  </si>
  <si>
    <t>Permitir salir sin perder avance y retomar análisis o resultado.</t>
  </si>
  <si>
    <t>UX Onboarding + Fase 3 + Anexo BDD</t>
  </si>
  <si>
    <t>onboarding_paused/onboarding_resumed; pending_best_action</t>
  </si>
  <si>
    <t>Confirmado regla; UI parcial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</si>
</sst>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9">
    <font>
      <sz val="11.0"/>
      <color rgb="FF000000"/>
      <name val="Carlito"/>
      <scheme val="minor"/>
    </font>
    <font>
      <color theme="1"/>
      <name val="Carlito"/>
      <scheme val="minor"/>
    </font>
    <font>
      <b/>
      <sz val="14.0"/>
      <color rgb="FFFFFFFF"/>
      <name val="Carlito"/>
    </font>
    <font>
      <b/>
      <sz val="11.0"/>
      <color rgb="FFFFFFFF"/>
      <name val="Carlito"/>
    </font>
    <font>
      <sz val="11.0"/>
      <color theme="1"/>
      <name val="Carlito"/>
    </font>
    <font>
      <sz val="10.0"/>
      <color rgb="FF103F43"/>
      <name val="Carlito"/>
    </font>
    <font>
      <b/>
      <sz val="10.0"/>
      <color rgb="FFFFFFFF"/>
      <name val="Carlito"/>
    </font>
    <font>
      <sz val="9.0"/>
      <color theme="1"/>
      <name val="Carlito"/>
    </font>
    <font>
      <sz val="11.0"/>
      <color rgb="FF103F43"/>
      <name val="Carlito"/>
    </font>
  </fonts>
  <fills count="5">
    <fill>
      <patternFill patternType="none"/>
    </fill>
    <fill>
      <patternFill patternType="lightGray"/>
    </fill>
    <fill>
      <patternFill patternType="solid">
        <fgColor rgb="FF0F5B61"/>
        <bgColor rgb="FF0F5B61"/>
      </patternFill>
    </fill>
    <fill>
      <patternFill patternType="solid">
        <fgColor rgb="FF1B6B73"/>
        <bgColor rgb="FF1B6B73"/>
      </patternFill>
    </fill>
    <fill>
      <patternFill patternType="solid">
        <fgColor rgb="FFE7F2F1"/>
        <bgColor rgb="FFE7F2F1"/>
      </patternFill>
    </fill>
  </fills>
  <borders count="1">
    <border/>
  </borders>
  <cellStyleXfs count="1">
    <xf borderId="0" fillId="0" fontId="0" numFmtId="0" applyAlignment="1" applyFont="1"/>
  </cellStyleXfs>
  <cellXfs count="12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2" fontId="2" numFmtId="0" xfId="0" applyAlignment="1" applyFill="1" applyFont="1">
      <alignment shrinkToFit="0" vertical="center" wrapText="1"/>
    </xf>
    <xf borderId="0" fillId="2" fontId="2" numFmtId="0" xfId="0" applyFont="1"/>
    <xf borderId="0" fillId="3" fontId="3" numFmtId="0" xfId="0" applyFill="1" applyFont="1"/>
    <xf borderId="0" fillId="3" fontId="3" numFmtId="0" xfId="0" applyAlignment="1" applyFont="1">
      <alignment shrinkToFit="0" wrapText="1"/>
    </xf>
    <xf borderId="0" fillId="0" fontId="4" numFmtId="0" xfId="0" applyAlignment="1" applyFont="1">
      <alignment shrinkToFit="0" wrapText="1"/>
    </xf>
    <xf borderId="0" fillId="2" fontId="2" numFmtId="0" xfId="0" applyAlignment="1" applyFont="1">
      <alignment horizontal="left" readingOrder="0" vertical="center"/>
    </xf>
    <xf borderId="0" fillId="4" fontId="5" numFmtId="0" xfId="0" applyAlignment="1" applyFill="1" applyFont="1">
      <alignment shrinkToFit="0" vertical="center" wrapText="1"/>
    </xf>
    <xf borderId="0" fillId="3" fontId="6" numFmtId="0" xfId="0" applyAlignment="1" applyFont="1">
      <alignment horizontal="center" readingOrder="0" shrinkToFit="0" vertical="center" wrapText="1"/>
    </xf>
    <xf borderId="0" fillId="0" fontId="7" numFmtId="0" xfId="0" applyAlignment="1" applyFont="1">
      <alignment shrinkToFit="0" vertical="top" wrapText="1"/>
    </xf>
    <xf borderId="0" fillId="4" fontId="8" numFmtId="0" xfId="0" applyAlignment="1" applyFont="1">
      <alignment shrinkToFit="0" wrapText="1"/>
    </xf>
  </cellXfs>
  <cellStyles count="1">
    <cellStyle xfId="0" name="Normal" builtinId="0"/>
  </cellStyles>
  <dxfs count="12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  <dxf>
      <font>
        <color rgb="FF245A2A"/>
      </font>
      <fill>
        <patternFill patternType="solid">
          <fgColor rgb="FFDDF4DF"/>
          <bgColor rgb="FFDDF4DF"/>
        </patternFill>
      </fill>
      <border/>
    </dxf>
    <dxf>
      <font>
        <color rgb="FF7A5200"/>
      </font>
      <fill>
        <patternFill patternType="solid">
          <fgColor rgb="FFFFF0CC"/>
          <bgColor rgb="FFFFF0CC"/>
        </patternFill>
      </fill>
      <border/>
    </dxf>
    <dxf>
      <font>
        <color rgb="FF555555"/>
      </font>
      <fill>
        <patternFill patternType="solid">
          <fgColor rgb="FFE8E8E8"/>
          <bgColor rgb="FFE8E8E8"/>
        </patternFill>
      </fill>
      <border/>
    </dxf>
    <dxf>
      <font>
        <color rgb="FF8A2633"/>
      </font>
      <fill>
        <patternFill patternType="solid">
          <fgColor rgb="FFFBE0E3"/>
          <bgColor rgb="FFFBE0E3"/>
        </patternFill>
      </fill>
      <border/>
    </dxf>
    <dxf>
      <font/>
      <fill>
        <patternFill patternType="solid">
          <fgColor rgb="FFE6F4EA"/>
          <bgColor rgb="FFE6F4EA"/>
        </patternFill>
      </fill>
      <border/>
    </dxf>
    <dxf>
      <font/>
      <fill>
        <patternFill patternType="solid">
          <fgColor rgb="FFFFF4D6"/>
          <bgColor rgb="FFFFF4D6"/>
        </patternFill>
      </fill>
      <border/>
    </dxf>
    <dxf>
      <font/>
      <fill>
        <patternFill patternType="solid">
          <fgColor rgb="FFFDE2E2"/>
          <bgColor rgb="FFFDE2E2"/>
        </patternFill>
      </fill>
      <border/>
    </dxf>
  </dxfs>
  <tableStyles count="1">
    <tableStyle count="4" pivot="0" name="Matriz Validación-style">
      <tableStyleElement dxfId="1" type="headerRow"/>
      <tableStyleElement dxfId="2" type="firstRowStripe"/>
      <tableStyleElement dxfId="3" type="secondRowStripe"/>
      <tableStyleElement dxfId="4" size="0" type="wholeTabl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4:M64" displayName="M1_Variantes" name="M1_Variantes" id="1">
  <tableColumns count="13">
    <tableColumn name="ID Variante" id="1"/>
    <tableColumn name="Flujo / Subflujo" id="2"/>
    <tableColumn name="Variante / Escenario" id="3"/>
    <tableColumn name="Condición / Disparador" id="4"/>
    <tableColumn name="Comportamiento esperado" id="5"/>
    <tableColumn name="Fuente documental" id="6"/>
    <tableColumn name="Referencia / sección" id="7"/>
    <tableColumn name="Nodo Figma" id="8"/>
    <tableColumn name="URL Figma" id="9"/>
    <tableColumn name="Cobertura QA / evidencia" id="10"/>
    <tableColumn name="Clasificación de soporte" id="11"/>
    <tableColumn name="Validación Cliente" id="12"/>
    <tableColumn name="Decisión PO / Comentarios" id="13"/>
  </tableColumns>
  <tableStyleInfo name="Matriz Validación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Relationship Id="rId3" Type="http://schemas.openxmlformats.org/officeDocument/2006/relationships/table" Target="../tables/table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1.0"/>
    <col customWidth="1" min="3" max="3" width="26.0"/>
    <col customWidth="1" min="4" max="4" width="34.0"/>
    <col customWidth="1" min="5" max="5" width="42.0"/>
    <col customWidth="1" min="6" max="6" width="32.0"/>
    <col customWidth="1" min="7" max="7" width="34.0"/>
    <col customWidth="1" min="8" max="8" width="13.0"/>
    <col customWidth="1" min="9" max="9" width="38.0"/>
    <col customWidth="1" min="10" max="10" width="28.0"/>
    <col customWidth="1" min="11" max="11" width="30.0"/>
    <col customWidth="1" min="12" max="12" width="18.0"/>
    <col customWidth="1" min="13" max="13" width="38.0"/>
    <col customWidth="1" min="14" max="26" width="8.63"/>
  </cols>
  <sheetData>
    <row r="1" ht="25.5" customHeight="1">
      <c r="A1" s="7" t="s">
        <v>23</v>
      </c>
    </row>
    <row r="2" ht="33.75" customHeight="1">
      <c r="A2" s="8" t="s">
        <v>31</v>
      </c>
    </row>
    <row r="4" ht="36.0" customHeight="1">
      <c r="A4" s="9" t="s">
        <v>36</v>
      </c>
      <c r="B4" s="9" t="s">
        <v>44</v>
      </c>
      <c r="C4" s="9" t="s">
        <v>45</v>
      </c>
      <c r="D4" s="9" t="s">
        <v>46</v>
      </c>
      <c r="E4" s="9" t="s">
        <v>47</v>
      </c>
      <c r="F4" s="9" t="s">
        <v>49</v>
      </c>
      <c r="G4" s="9" t="s">
        <v>52</v>
      </c>
      <c r="H4" s="9" t="s">
        <v>55</v>
      </c>
      <c r="I4" s="9" t="s">
        <v>57</v>
      </c>
      <c r="J4" s="9" t="s">
        <v>59</v>
      </c>
      <c r="K4" s="9" t="s">
        <v>61</v>
      </c>
      <c r="L4" s="9" t="s">
        <v>63</v>
      </c>
      <c r="M4" s="9" t="s">
        <v>65</v>
      </c>
    </row>
    <row r="5">
      <c r="A5" s="10" t="s">
        <v>67</v>
      </c>
      <c r="B5" s="10" t="s">
        <v>51</v>
      </c>
      <c r="C5" s="10" t="s">
        <v>71</v>
      </c>
      <c r="D5" s="10" t="s">
        <v>74</v>
      </c>
      <c r="E5" s="10" t="s">
        <v>75</v>
      </c>
      <c r="F5" s="10" t="s">
        <v>76</v>
      </c>
      <c r="G5" s="10" t="s">
        <v>77</v>
      </c>
      <c r="H5" s="10" t="s">
        <v>78</v>
      </c>
      <c r="I5" s="10" t="s">
        <v>79</v>
      </c>
      <c r="J5" s="10" t="s">
        <v>80</v>
      </c>
      <c r="K5" s="10" t="s">
        <v>81</v>
      </c>
      <c r="L5" s="10" t="s">
        <v>0</v>
      </c>
      <c r="M5" s="10"/>
    </row>
    <row r="6">
      <c r="A6" s="10" t="s">
        <v>82</v>
      </c>
      <c r="B6" s="10" t="s">
        <v>51</v>
      </c>
      <c r="C6" s="10" t="s">
        <v>83</v>
      </c>
      <c r="D6" s="10" t="s">
        <v>84</v>
      </c>
      <c r="E6" s="10" t="s">
        <v>85</v>
      </c>
      <c r="F6" s="10" t="s">
        <v>86</v>
      </c>
      <c r="G6" s="10" t="s">
        <v>87</v>
      </c>
      <c r="H6" s="10" t="s">
        <v>88</v>
      </c>
      <c r="I6" s="10" t="s">
        <v>20</v>
      </c>
      <c r="J6" s="10" t="s">
        <v>89</v>
      </c>
      <c r="K6" s="10" t="s">
        <v>81</v>
      </c>
      <c r="L6" s="10" t="s">
        <v>0</v>
      </c>
      <c r="M6" s="10"/>
    </row>
    <row r="7">
      <c r="A7" s="10" t="s">
        <v>90</v>
      </c>
      <c r="B7" s="10" t="s">
        <v>51</v>
      </c>
      <c r="C7" s="10" t="s">
        <v>91</v>
      </c>
      <c r="D7" s="10" t="s">
        <v>92</v>
      </c>
      <c r="E7" s="10" t="s">
        <v>93</v>
      </c>
      <c r="F7" s="10" t="s">
        <v>94</v>
      </c>
      <c r="G7" s="10" t="s">
        <v>95</v>
      </c>
      <c r="H7" s="10" t="s">
        <v>96</v>
      </c>
      <c r="I7" s="10" t="s">
        <v>97</v>
      </c>
      <c r="J7" s="10" t="s">
        <v>98</v>
      </c>
      <c r="K7" s="10" t="s">
        <v>99</v>
      </c>
      <c r="L7" s="10" t="s">
        <v>0</v>
      </c>
      <c r="M7" s="10"/>
    </row>
    <row r="8">
      <c r="A8" s="10" t="s">
        <v>100</v>
      </c>
      <c r="B8" s="10" t="s">
        <v>51</v>
      </c>
      <c r="C8" s="10" t="s">
        <v>101</v>
      </c>
      <c r="D8" s="10" t="s">
        <v>102</v>
      </c>
      <c r="E8" s="10" t="s">
        <v>103</v>
      </c>
      <c r="F8" s="10" t="s">
        <v>104</v>
      </c>
      <c r="G8" s="10" t="s">
        <v>105</v>
      </c>
      <c r="H8" s="10" t="s">
        <v>106</v>
      </c>
      <c r="I8" s="10" t="s">
        <v>107</v>
      </c>
      <c r="J8" s="10" t="s">
        <v>108</v>
      </c>
      <c r="K8" s="10" t="s">
        <v>81</v>
      </c>
      <c r="L8" s="10" t="s">
        <v>0</v>
      </c>
      <c r="M8" s="10"/>
    </row>
    <row r="9">
      <c r="A9" s="10" t="s">
        <v>109</v>
      </c>
      <c r="B9" s="10" t="s">
        <v>54</v>
      </c>
      <c r="C9" s="10" t="s">
        <v>110</v>
      </c>
      <c r="D9" s="10" t="s">
        <v>111</v>
      </c>
      <c r="E9" s="10" t="s">
        <v>112</v>
      </c>
      <c r="F9" s="10" t="s">
        <v>113</v>
      </c>
      <c r="G9" s="10" t="s">
        <v>114</v>
      </c>
      <c r="H9" s="10" t="s">
        <v>115</v>
      </c>
      <c r="I9" s="10" t="s">
        <v>116</v>
      </c>
      <c r="J9" s="10" t="s">
        <v>117</v>
      </c>
      <c r="K9" s="10" t="s">
        <v>81</v>
      </c>
      <c r="L9" s="10" t="s">
        <v>0</v>
      </c>
      <c r="M9" s="10"/>
    </row>
    <row r="10">
      <c r="A10" s="10" t="s">
        <v>118</v>
      </c>
      <c r="B10" s="10" t="s">
        <v>54</v>
      </c>
      <c r="C10" s="10" t="s">
        <v>119</v>
      </c>
      <c r="D10" s="10" t="s">
        <v>120</v>
      </c>
      <c r="E10" s="10" t="s">
        <v>121</v>
      </c>
      <c r="F10" s="10" t="s">
        <v>122</v>
      </c>
      <c r="G10" s="10" t="s">
        <v>123</v>
      </c>
      <c r="H10" s="10" t="s">
        <v>124</v>
      </c>
      <c r="I10" s="10" t="s">
        <v>125</v>
      </c>
      <c r="J10" s="10" t="s">
        <v>126</v>
      </c>
      <c r="K10" s="10" t="s">
        <v>127</v>
      </c>
      <c r="L10" s="10" t="s">
        <v>0</v>
      </c>
      <c r="M10" s="10"/>
    </row>
    <row r="11">
      <c r="A11" s="10" t="s">
        <v>128</v>
      </c>
      <c r="B11" s="10" t="s">
        <v>54</v>
      </c>
      <c r="C11" s="10" t="s">
        <v>129</v>
      </c>
      <c r="D11" s="10" t="s">
        <v>130</v>
      </c>
      <c r="E11" s="10" t="s">
        <v>131</v>
      </c>
      <c r="F11" s="10" t="s">
        <v>122</v>
      </c>
      <c r="G11" s="10" t="s">
        <v>132</v>
      </c>
      <c r="H11" s="10" t="s">
        <v>88</v>
      </c>
      <c r="I11" s="10" t="s">
        <v>20</v>
      </c>
      <c r="J11" s="10" t="s">
        <v>133</v>
      </c>
      <c r="K11" s="10" t="s">
        <v>134</v>
      </c>
      <c r="L11" s="10" t="s">
        <v>0</v>
      </c>
      <c r="M11" s="10"/>
    </row>
    <row r="12">
      <c r="A12" s="10" t="s">
        <v>135</v>
      </c>
      <c r="B12" s="10" t="s">
        <v>56</v>
      </c>
      <c r="C12" s="10" t="s">
        <v>136</v>
      </c>
      <c r="D12" s="10" t="s">
        <v>137</v>
      </c>
      <c r="E12" s="10" t="s">
        <v>138</v>
      </c>
      <c r="F12" s="10" t="s">
        <v>122</v>
      </c>
      <c r="G12" s="10" t="s">
        <v>139</v>
      </c>
      <c r="H12" s="10" t="s">
        <v>140</v>
      </c>
      <c r="I12" s="10" t="s">
        <v>141</v>
      </c>
      <c r="J12" s="10" t="s">
        <v>89</v>
      </c>
      <c r="K12" s="10" t="s">
        <v>81</v>
      </c>
      <c r="L12" s="10" t="s">
        <v>0</v>
      </c>
      <c r="M12" s="10"/>
    </row>
    <row r="13">
      <c r="A13" s="10" t="s">
        <v>142</v>
      </c>
      <c r="B13" s="10" t="s">
        <v>56</v>
      </c>
      <c r="C13" s="10" t="s">
        <v>143</v>
      </c>
      <c r="D13" s="10" t="s">
        <v>144</v>
      </c>
      <c r="E13" s="10" t="s">
        <v>145</v>
      </c>
      <c r="F13" s="10" t="s">
        <v>122</v>
      </c>
      <c r="G13" s="10" t="s">
        <v>146</v>
      </c>
      <c r="H13" s="10" t="s">
        <v>147</v>
      </c>
      <c r="I13" s="10" t="s">
        <v>148</v>
      </c>
      <c r="J13" s="10" t="s">
        <v>149</v>
      </c>
      <c r="K13" s="10" t="s">
        <v>81</v>
      </c>
      <c r="L13" s="10" t="s">
        <v>0</v>
      </c>
      <c r="M13" s="10"/>
    </row>
    <row r="14">
      <c r="A14" s="10" t="s">
        <v>150</v>
      </c>
      <c r="B14" s="10" t="s">
        <v>56</v>
      </c>
      <c r="C14" s="10" t="s">
        <v>151</v>
      </c>
      <c r="D14" s="10" t="s">
        <v>152</v>
      </c>
      <c r="E14" s="10" t="s">
        <v>153</v>
      </c>
      <c r="F14" s="10" t="s">
        <v>122</v>
      </c>
      <c r="G14" s="10" t="s">
        <v>154</v>
      </c>
      <c r="H14" s="10" t="s">
        <v>155</v>
      </c>
      <c r="I14" s="10" t="s">
        <v>156</v>
      </c>
      <c r="J14" s="10" t="s">
        <v>89</v>
      </c>
      <c r="K14" s="10" t="s">
        <v>81</v>
      </c>
      <c r="L14" s="10" t="s">
        <v>0</v>
      </c>
      <c r="M14" s="10"/>
    </row>
    <row r="15">
      <c r="A15" s="10" t="s">
        <v>157</v>
      </c>
      <c r="B15" s="10" t="s">
        <v>56</v>
      </c>
      <c r="C15" s="10" t="s">
        <v>158</v>
      </c>
      <c r="D15" s="10" t="s">
        <v>159</v>
      </c>
      <c r="E15" s="10" t="s">
        <v>160</v>
      </c>
      <c r="F15" s="10" t="s">
        <v>122</v>
      </c>
      <c r="G15" s="10" t="s">
        <v>161</v>
      </c>
      <c r="H15" s="10" t="s">
        <v>162</v>
      </c>
      <c r="I15" s="10" t="s">
        <v>163</v>
      </c>
      <c r="J15" s="10" t="s">
        <v>164</v>
      </c>
      <c r="K15" s="10" t="s">
        <v>165</v>
      </c>
      <c r="L15" s="10" t="s">
        <v>0</v>
      </c>
      <c r="M15" s="10"/>
    </row>
    <row r="16">
      <c r="A16" s="10" t="s">
        <v>166</v>
      </c>
      <c r="B16" s="10" t="s">
        <v>56</v>
      </c>
      <c r="C16" s="10" t="s">
        <v>167</v>
      </c>
      <c r="D16" s="10" t="s">
        <v>168</v>
      </c>
      <c r="E16" s="10" t="s">
        <v>160</v>
      </c>
      <c r="F16" s="10" t="s">
        <v>122</v>
      </c>
      <c r="G16" s="10" t="s">
        <v>169</v>
      </c>
      <c r="H16" s="10" t="s">
        <v>88</v>
      </c>
      <c r="I16" s="10" t="s">
        <v>20</v>
      </c>
      <c r="J16" s="10" t="s">
        <v>164</v>
      </c>
      <c r="K16" s="10" t="s">
        <v>165</v>
      </c>
      <c r="L16" s="10" t="s">
        <v>0</v>
      </c>
      <c r="M16" s="10"/>
    </row>
    <row r="17">
      <c r="A17" s="10" t="s">
        <v>170</v>
      </c>
      <c r="B17" s="10" t="s">
        <v>58</v>
      </c>
      <c r="C17" s="10" t="s">
        <v>171</v>
      </c>
      <c r="D17" s="10" t="s">
        <v>172</v>
      </c>
      <c r="E17" s="10" t="s">
        <v>173</v>
      </c>
      <c r="F17" s="10" t="s">
        <v>165</v>
      </c>
      <c r="G17" s="10" t="s">
        <v>174</v>
      </c>
      <c r="H17" s="10" t="s">
        <v>175</v>
      </c>
      <c r="I17" s="10" t="s">
        <v>176</v>
      </c>
      <c r="J17" s="10" t="s">
        <v>89</v>
      </c>
      <c r="K17" s="10" t="s">
        <v>177</v>
      </c>
      <c r="L17" s="10" t="s">
        <v>0</v>
      </c>
      <c r="M17" s="10"/>
    </row>
    <row r="18">
      <c r="A18" s="10" t="s">
        <v>178</v>
      </c>
      <c r="B18" s="10" t="s">
        <v>58</v>
      </c>
      <c r="C18" s="10" t="s">
        <v>179</v>
      </c>
      <c r="D18" s="10" t="s">
        <v>180</v>
      </c>
      <c r="E18" s="10" t="s">
        <v>181</v>
      </c>
      <c r="F18" s="10" t="s">
        <v>122</v>
      </c>
      <c r="G18" s="10" t="s">
        <v>182</v>
      </c>
      <c r="H18" s="10" t="s">
        <v>183</v>
      </c>
      <c r="I18" s="10" t="s">
        <v>184</v>
      </c>
      <c r="J18" s="10" t="s">
        <v>185</v>
      </c>
      <c r="K18" s="10" t="s">
        <v>127</v>
      </c>
      <c r="L18" s="10" t="s">
        <v>0</v>
      </c>
      <c r="M18" s="10"/>
    </row>
    <row r="19">
      <c r="A19" s="10" t="s">
        <v>186</v>
      </c>
      <c r="B19" s="10" t="s">
        <v>58</v>
      </c>
      <c r="C19" s="10" t="s">
        <v>187</v>
      </c>
      <c r="D19" s="10" t="s">
        <v>188</v>
      </c>
      <c r="E19" s="10" t="s">
        <v>189</v>
      </c>
      <c r="F19" s="10" t="s">
        <v>122</v>
      </c>
      <c r="G19" s="10" t="s">
        <v>190</v>
      </c>
      <c r="H19" s="10" t="s">
        <v>191</v>
      </c>
      <c r="I19" s="10" t="s">
        <v>192</v>
      </c>
      <c r="J19" s="10" t="s">
        <v>185</v>
      </c>
      <c r="K19" s="10" t="s">
        <v>127</v>
      </c>
      <c r="L19" s="10" t="s">
        <v>0</v>
      </c>
      <c r="M19" s="10"/>
    </row>
    <row r="20">
      <c r="A20" s="10" t="s">
        <v>193</v>
      </c>
      <c r="B20" s="10" t="s">
        <v>58</v>
      </c>
      <c r="C20" s="10" t="s">
        <v>194</v>
      </c>
      <c r="D20" s="10" t="s">
        <v>195</v>
      </c>
      <c r="E20" s="10" t="s">
        <v>196</v>
      </c>
      <c r="F20" s="10" t="s">
        <v>16</v>
      </c>
      <c r="G20" s="10" t="s">
        <v>197</v>
      </c>
      <c r="H20" s="10" t="s">
        <v>198</v>
      </c>
      <c r="I20" s="10" t="s">
        <v>199</v>
      </c>
      <c r="J20" s="10" t="s">
        <v>200</v>
      </c>
      <c r="K20" s="10" t="s">
        <v>201</v>
      </c>
      <c r="L20" s="10" t="s">
        <v>0</v>
      </c>
      <c r="M20" s="10"/>
    </row>
    <row r="21" ht="15.75" customHeight="1">
      <c r="A21" s="10" t="s">
        <v>202</v>
      </c>
      <c r="B21" s="10" t="s">
        <v>60</v>
      </c>
      <c r="C21" s="10" t="s">
        <v>203</v>
      </c>
      <c r="D21" s="10" t="s">
        <v>204</v>
      </c>
      <c r="E21" s="10" t="s">
        <v>205</v>
      </c>
      <c r="F21" s="10" t="s">
        <v>122</v>
      </c>
      <c r="G21" s="10" t="s">
        <v>206</v>
      </c>
      <c r="H21" s="10" t="s">
        <v>207</v>
      </c>
      <c r="I21" s="10" t="s">
        <v>208</v>
      </c>
      <c r="J21" s="10" t="s">
        <v>89</v>
      </c>
      <c r="K21" s="10" t="s">
        <v>81</v>
      </c>
      <c r="L21" s="10" t="s">
        <v>0</v>
      </c>
      <c r="M21" s="10"/>
    </row>
    <row r="22" ht="15.75" customHeight="1">
      <c r="A22" s="10" t="s">
        <v>209</v>
      </c>
      <c r="B22" s="10" t="s">
        <v>60</v>
      </c>
      <c r="C22" s="10" t="s">
        <v>210</v>
      </c>
      <c r="D22" s="10" t="s">
        <v>211</v>
      </c>
      <c r="E22" s="10" t="s">
        <v>212</v>
      </c>
      <c r="F22" s="10" t="s">
        <v>122</v>
      </c>
      <c r="G22" s="10" t="s">
        <v>213</v>
      </c>
      <c r="H22" s="10" t="s">
        <v>207</v>
      </c>
      <c r="I22" s="10" t="s">
        <v>208</v>
      </c>
      <c r="J22" s="10" t="s">
        <v>89</v>
      </c>
      <c r="K22" s="10" t="s">
        <v>165</v>
      </c>
      <c r="L22" s="10" t="s">
        <v>0</v>
      </c>
      <c r="M22" s="10"/>
    </row>
    <row r="23" ht="15.75" customHeight="1">
      <c r="A23" s="10" t="s">
        <v>214</v>
      </c>
      <c r="B23" s="10" t="s">
        <v>60</v>
      </c>
      <c r="C23" s="10" t="s">
        <v>215</v>
      </c>
      <c r="D23" s="10" t="s">
        <v>216</v>
      </c>
      <c r="E23" s="10" t="s">
        <v>217</v>
      </c>
      <c r="F23" s="10" t="s">
        <v>16</v>
      </c>
      <c r="G23" s="10" t="s">
        <v>218</v>
      </c>
      <c r="H23" s="10" t="s">
        <v>219</v>
      </c>
      <c r="I23" s="10" t="s">
        <v>220</v>
      </c>
      <c r="J23" s="10" t="s">
        <v>200</v>
      </c>
      <c r="K23" s="10" t="s">
        <v>221</v>
      </c>
      <c r="L23" s="10" t="s">
        <v>0</v>
      </c>
      <c r="M23" s="10"/>
    </row>
    <row r="24" ht="15.75" customHeight="1">
      <c r="A24" s="10" t="s">
        <v>222</v>
      </c>
      <c r="B24" s="10" t="s">
        <v>60</v>
      </c>
      <c r="C24" s="10" t="s">
        <v>223</v>
      </c>
      <c r="D24" s="10" t="s">
        <v>224</v>
      </c>
      <c r="E24" s="10" t="s">
        <v>225</v>
      </c>
      <c r="F24" s="10" t="s">
        <v>122</v>
      </c>
      <c r="G24" s="10" t="s">
        <v>226</v>
      </c>
      <c r="H24" s="10" t="s">
        <v>88</v>
      </c>
      <c r="I24" s="10" t="s">
        <v>20</v>
      </c>
      <c r="J24" s="10" t="s">
        <v>89</v>
      </c>
      <c r="K24" s="10" t="s">
        <v>127</v>
      </c>
      <c r="L24" s="10" t="s">
        <v>0</v>
      </c>
      <c r="M24" s="10"/>
    </row>
    <row r="25" ht="15.75" customHeight="1">
      <c r="A25" s="10" t="s">
        <v>227</v>
      </c>
      <c r="B25" s="10" t="s">
        <v>60</v>
      </c>
      <c r="C25" s="10" t="s">
        <v>228</v>
      </c>
      <c r="D25" s="10" t="s">
        <v>229</v>
      </c>
      <c r="E25" s="10" t="s">
        <v>230</v>
      </c>
      <c r="F25" s="10" t="s">
        <v>122</v>
      </c>
      <c r="G25" s="10" t="s">
        <v>231</v>
      </c>
      <c r="H25" s="10" t="s">
        <v>88</v>
      </c>
      <c r="I25" s="10" t="s">
        <v>20</v>
      </c>
      <c r="J25" s="10" t="s">
        <v>89</v>
      </c>
      <c r="K25" s="10" t="s">
        <v>232</v>
      </c>
      <c r="L25" s="10" t="s">
        <v>0</v>
      </c>
      <c r="M25" s="10"/>
    </row>
    <row r="26" ht="15.75" customHeight="1">
      <c r="A26" s="10" t="s">
        <v>233</v>
      </c>
      <c r="B26" s="10" t="s">
        <v>60</v>
      </c>
      <c r="C26" s="10" t="s">
        <v>234</v>
      </c>
      <c r="D26" s="10" t="s">
        <v>235</v>
      </c>
      <c r="E26" s="10" t="s">
        <v>236</v>
      </c>
      <c r="F26" s="10" t="s">
        <v>122</v>
      </c>
      <c r="G26" s="10" t="s">
        <v>237</v>
      </c>
      <c r="H26" s="10" t="s">
        <v>238</v>
      </c>
      <c r="I26" s="10" t="s">
        <v>239</v>
      </c>
      <c r="J26" s="10" t="s">
        <v>89</v>
      </c>
      <c r="K26" s="10" t="s">
        <v>127</v>
      </c>
      <c r="L26" s="10" t="s">
        <v>0</v>
      </c>
      <c r="M26" s="10"/>
    </row>
    <row r="27" ht="15.75" customHeight="1">
      <c r="A27" s="10" t="s">
        <v>240</v>
      </c>
      <c r="B27" s="10" t="s">
        <v>60</v>
      </c>
      <c r="C27" s="10" t="s">
        <v>241</v>
      </c>
      <c r="D27" s="10" t="s">
        <v>242</v>
      </c>
      <c r="E27" s="10" t="s">
        <v>243</v>
      </c>
      <c r="F27" s="10" t="s">
        <v>122</v>
      </c>
      <c r="G27" s="10" t="s">
        <v>244</v>
      </c>
      <c r="H27" s="10" t="s">
        <v>245</v>
      </c>
      <c r="I27" s="10" t="s">
        <v>246</v>
      </c>
      <c r="J27" s="10" t="s">
        <v>89</v>
      </c>
      <c r="K27" s="10" t="s">
        <v>127</v>
      </c>
      <c r="L27" s="10" t="s">
        <v>0</v>
      </c>
      <c r="M27" s="10"/>
    </row>
    <row r="28" ht="15.75" customHeight="1">
      <c r="A28" s="10" t="s">
        <v>247</v>
      </c>
      <c r="B28" s="10" t="s">
        <v>62</v>
      </c>
      <c r="C28" s="10" t="s">
        <v>248</v>
      </c>
      <c r="D28" s="10" t="s">
        <v>249</v>
      </c>
      <c r="E28" s="10" t="s">
        <v>250</v>
      </c>
      <c r="F28" s="10" t="s">
        <v>122</v>
      </c>
      <c r="G28" s="10" t="s">
        <v>251</v>
      </c>
      <c r="H28" s="10" t="s">
        <v>252</v>
      </c>
      <c r="I28" s="10" t="s">
        <v>253</v>
      </c>
      <c r="J28" s="10" t="s">
        <v>89</v>
      </c>
      <c r="K28" s="10" t="s">
        <v>81</v>
      </c>
      <c r="L28" s="10" t="s">
        <v>0</v>
      </c>
      <c r="M28" s="10"/>
    </row>
    <row r="29" ht="15.75" customHeight="1">
      <c r="A29" s="10" t="s">
        <v>254</v>
      </c>
      <c r="B29" s="10" t="s">
        <v>62</v>
      </c>
      <c r="C29" s="10" t="s">
        <v>255</v>
      </c>
      <c r="D29" s="10" t="s">
        <v>256</v>
      </c>
      <c r="E29" s="10" t="s">
        <v>257</v>
      </c>
      <c r="F29" s="10" t="s">
        <v>122</v>
      </c>
      <c r="G29" s="10" t="s">
        <v>258</v>
      </c>
      <c r="H29" s="10" t="s">
        <v>259</v>
      </c>
      <c r="I29" s="10" t="s">
        <v>260</v>
      </c>
      <c r="J29" s="10" t="s">
        <v>89</v>
      </c>
      <c r="K29" s="10" t="s">
        <v>165</v>
      </c>
      <c r="L29" s="10" t="s">
        <v>0</v>
      </c>
      <c r="M29" s="10"/>
    </row>
    <row r="30" ht="15.75" customHeight="1">
      <c r="A30" s="10" t="s">
        <v>261</v>
      </c>
      <c r="B30" s="10" t="s">
        <v>62</v>
      </c>
      <c r="C30" s="10" t="s">
        <v>262</v>
      </c>
      <c r="D30" s="10" t="s">
        <v>263</v>
      </c>
      <c r="E30" s="10" t="s">
        <v>264</v>
      </c>
      <c r="F30" s="10" t="s">
        <v>16</v>
      </c>
      <c r="G30" s="10" t="s">
        <v>265</v>
      </c>
      <c r="H30" s="10" t="s">
        <v>266</v>
      </c>
      <c r="I30" s="10" t="s">
        <v>267</v>
      </c>
      <c r="J30" s="10" t="s">
        <v>268</v>
      </c>
      <c r="K30" s="10" t="s">
        <v>99</v>
      </c>
      <c r="L30" s="10" t="s">
        <v>0</v>
      </c>
      <c r="M30" s="10"/>
    </row>
    <row r="31" ht="15.75" customHeight="1">
      <c r="A31" s="10" t="s">
        <v>269</v>
      </c>
      <c r="B31" s="10" t="s">
        <v>64</v>
      </c>
      <c r="C31" s="10" t="s">
        <v>270</v>
      </c>
      <c r="D31" s="10" t="s">
        <v>271</v>
      </c>
      <c r="E31" s="10" t="s">
        <v>272</v>
      </c>
      <c r="F31" s="10" t="s">
        <v>273</v>
      </c>
      <c r="G31" s="10" t="s">
        <v>274</v>
      </c>
      <c r="H31" s="10" t="s">
        <v>275</v>
      </c>
      <c r="I31" s="10" t="s">
        <v>276</v>
      </c>
      <c r="J31" s="10" t="s">
        <v>277</v>
      </c>
      <c r="K31" s="10" t="s">
        <v>278</v>
      </c>
      <c r="L31" s="10" t="s">
        <v>0</v>
      </c>
      <c r="M31" s="10"/>
    </row>
    <row r="32" ht="15.75" customHeight="1">
      <c r="A32" s="10" t="s">
        <v>279</v>
      </c>
      <c r="B32" s="10" t="s">
        <v>66</v>
      </c>
      <c r="C32" s="10" t="s">
        <v>280</v>
      </c>
      <c r="D32" s="10" t="s">
        <v>281</v>
      </c>
      <c r="E32" s="10" t="s">
        <v>282</v>
      </c>
      <c r="F32" s="10" t="s">
        <v>283</v>
      </c>
      <c r="G32" s="10" t="s">
        <v>284</v>
      </c>
      <c r="H32" s="10" t="s">
        <v>285</v>
      </c>
      <c r="I32" s="10" t="s">
        <v>286</v>
      </c>
      <c r="J32" s="10" t="s">
        <v>287</v>
      </c>
      <c r="K32" s="10" t="s">
        <v>278</v>
      </c>
      <c r="L32" s="10" t="s">
        <v>0</v>
      </c>
      <c r="M32" s="10"/>
    </row>
    <row r="33" ht="15.75" customHeight="1">
      <c r="A33" s="10" t="s">
        <v>288</v>
      </c>
      <c r="B33" s="10" t="s">
        <v>66</v>
      </c>
      <c r="C33" s="10" t="s">
        <v>289</v>
      </c>
      <c r="D33" s="10" t="s">
        <v>290</v>
      </c>
      <c r="E33" s="10" t="s">
        <v>291</v>
      </c>
      <c r="F33" s="10" t="s">
        <v>292</v>
      </c>
      <c r="G33" s="10" t="s">
        <v>293</v>
      </c>
      <c r="H33" s="10" t="s">
        <v>294</v>
      </c>
      <c r="I33" s="10" t="s">
        <v>295</v>
      </c>
      <c r="J33" s="10" t="s">
        <v>287</v>
      </c>
      <c r="K33" s="10" t="s">
        <v>296</v>
      </c>
      <c r="L33" s="10" t="s">
        <v>0</v>
      </c>
      <c r="M33" s="10"/>
    </row>
    <row r="34" ht="15.75" customHeight="1">
      <c r="A34" s="10" t="s">
        <v>297</v>
      </c>
      <c r="B34" s="10" t="s">
        <v>66</v>
      </c>
      <c r="C34" s="10" t="s">
        <v>298</v>
      </c>
      <c r="D34" s="10" t="s">
        <v>299</v>
      </c>
      <c r="E34" s="10" t="s">
        <v>300</v>
      </c>
      <c r="F34" s="10" t="s">
        <v>301</v>
      </c>
      <c r="G34" s="10" t="s">
        <v>302</v>
      </c>
      <c r="H34" s="10" t="s">
        <v>88</v>
      </c>
      <c r="I34" s="10" t="s">
        <v>20</v>
      </c>
      <c r="J34" s="10" t="s">
        <v>287</v>
      </c>
      <c r="K34" s="10" t="s">
        <v>303</v>
      </c>
      <c r="L34" s="10" t="s">
        <v>0</v>
      </c>
      <c r="M34" s="10"/>
    </row>
    <row r="35" ht="15.75" customHeight="1">
      <c r="A35" s="10" t="s">
        <v>304</v>
      </c>
      <c r="B35" s="10" t="s">
        <v>66</v>
      </c>
      <c r="C35" s="10" t="s">
        <v>305</v>
      </c>
      <c r="D35" s="10" t="s">
        <v>306</v>
      </c>
      <c r="E35" s="10" t="s">
        <v>307</v>
      </c>
      <c r="F35" s="10" t="s">
        <v>308</v>
      </c>
      <c r="G35" s="10" t="s">
        <v>309</v>
      </c>
      <c r="H35" s="10" t="s">
        <v>285</v>
      </c>
      <c r="I35" s="10" t="s">
        <v>286</v>
      </c>
      <c r="J35" s="10" t="s">
        <v>287</v>
      </c>
      <c r="K35" s="10" t="s">
        <v>278</v>
      </c>
      <c r="L35" s="10" t="s">
        <v>0</v>
      </c>
      <c r="M35" s="10"/>
    </row>
    <row r="36" ht="15.75" customHeight="1">
      <c r="A36" s="10" t="s">
        <v>310</v>
      </c>
      <c r="B36" s="10" t="s">
        <v>66</v>
      </c>
      <c r="C36" s="10" t="s">
        <v>311</v>
      </c>
      <c r="D36" s="10" t="s">
        <v>312</v>
      </c>
      <c r="E36" s="10" t="s">
        <v>313</v>
      </c>
      <c r="F36" s="10" t="s">
        <v>308</v>
      </c>
      <c r="G36" s="10" t="s">
        <v>309</v>
      </c>
      <c r="H36" s="10" t="s">
        <v>285</v>
      </c>
      <c r="I36" s="10" t="s">
        <v>286</v>
      </c>
      <c r="J36" s="10" t="s">
        <v>287</v>
      </c>
      <c r="K36" s="10" t="s">
        <v>278</v>
      </c>
      <c r="L36" s="10" t="s">
        <v>0</v>
      </c>
      <c r="M36" s="10"/>
    </row>
    <row r="37" ht="15.75" customHeight="1">
      <c r="A37" s="10" t="s">
        <v>314</v>
      </c>
      <c r="B37" s="10" t="s">
        <v>66</v>
      </c>
      <c r="C37" s="10" t="s">
        <v>315</v>
      </c>
      <c r="D37" s="10" t="s">
        <v>316</v>
      </c>
      <c r="E37" s="10" t="s">
        <v>313</v>
      </c>
      <c r="F37" s="10" t="s">
        <v>308</v>
      </c>
      <c r="G37" s="10" t="s">
        <v>309</v>
      </c>
      <c r="H37" s="10" t="s">
        <v>285</v>
      </c>
      <c r="I37" s="10" t="s">
        <v>286</v>
      </c>
      <c r="J37" s="10" t="s">
        <v>287</v>
      </c>
      <c r="K37" s="10" t="s">
        <v>278</v>
      </c>
      <c r="L37" s="10" t="s">
        <v>0</v>
      </c>
      <c r="M37" s="10"/>
    </row>
    <row r="38" ht="15.75" customHeight="1">
      <c r="A38" s="10" t="s">
        <v>317</v>
      </c>
      <c r="B38" s="10" t="s">
        <v>66</v>
      </c>
      <c r="C38" s="10" t="s">
        <v>318</v>
      </c>
      <c r="D38" s="10" t="s">
        <v>319</v>
      </c>
      <c r="E38" s="10" t="s">
        <v>313</v>
      </c>
      <c r="F38" s="10" t="s">
        <v>308</v>
      </c>
      <c r="G38" s="10" t="s">
        <v>309</v>
      </c>
      <c r="H38" s="10" t="s">
        <v>285</v>
      </c>
      <c r="I38" s="10" t="s">
        <v>286</v>
      </c>
      <c r="J38" s="10" t="s">
        <v>287</v>
      </c>
      <c r="K38" s="10" t="s">
        <v>278</v>
      </c>
      <c r="L38" s="10" t="s">
        <v>0</v>
      </c>
      <c r="M38" s="10"/>
    </row>
    <row r="39" ht="15.75" customHeight="1">
      <c r="A39" s="10" t="s">
        <v>320</v>
      </c>
      <c r="B39" s="10" t="s">
        <v>66</v>
      </c>
      <c r="C39" s="10" t="s">
        <v>321</v>
      </c>
      <c r="D39" s="10" t="s">
        <v>322</v>
      </c>
      <c r="E39" s="10" t="s">
        <v>313</v>
      </c>
      <c r="F39" s="10" t="s">
        <v>308</v>
      </c>
      <c r="G39" s="10" t="s">
        <v>309</v>
      </c>
      <c r="H39" s="10" t="s">
        <v>285</v>
      </c>
      <c r="I39" s="10" t="s">
        <v>286</v>
      </c>
      <c r="J39" s="10" t="s">
        <v>287</v>
      </c>
      <c r="K39" s="10" t="s">
        <v>278</v>
      </c>
      <c r="L39" s="10" t="s">
        <v>0</v>
      </c>
      <c r="M39" s="10"/>
    </row>
    <row r="40" ht="15.75" customHeight="1">
      <c r="A40" s="10" t="s">
        <v>323</v>
      </c>
      <c r="B40" s="10" t="s">
        <v>66</v>
      </c>
      <c r="C40" s="10" t="s">
        <v>324</v>
      </c>
      <c r="D40" s="10" t="s">
        <v>325</v>
      </c>
      <c r="E40" s="10" t="s">
        <v>313</v>
      </c>
      <c r="F40" s="10" t="s">
        <v>308</v>
      </c>
      <c r="G40" s="10" t="s">
        <v>309</v>
      </c>
      <c r="H40" s="10" t="s">
        <v>285</v>
      </c>
      <c r="I40" s="10" t="s">
        <v>286</v>
      </c>
      <c r="J40" s="10" t="s">
        <v>287</v>
      </c>
      <c r="K40" s="10" t="s">
        <v>278</v>
      </c>
      <c r="L40" s="10" t="s">
        <v>0</v>
      </c>
      <c r="M40" s="10"/>
    </row>
    <row r="41" ht="15.75" customHeight="1">
      <c r="A41" s="10" t="s">
        <v>326</v>
      </c>
      <c r="B41" s="10" t="s">
        <v>68</v>
      </c>
      <c r="C41" s="10" t="s">
        <v>327</v>
      </c>
      <c r="D41" s="10" t="s">
        <v>328</v>
      </c>
      <c r="E41" s="10" t="s">
        <v>329</v>
      </c>
      <c r="F41" s="10" t="s">
        <v>273</v>
      </c>
      <c r="G41" s="10" t="s">
        <v>330</v>
      </c>
      <c r="H41" s="10" t="s">
        <v>331</v>
      </c>
      <c r="I41" s="10" t="s">
        <v>332</v>
      </c>
      <c r="J41" s="10" t="s">
        <v>287</v>
      </c>
      <c r="K41" s="10" t="s">
        <v>278</v>
      </c>
      <c r="L41" s="10" t="s">
        <v>0</v>
      </c>
      <c r="M41" s="10"/>
    </row>
    <row r="42" ht="15.75" customHeight="1">
      <c r="A42" s="10" t="s">
        <v>333</v>
      </c>
      <c r="B42" s="10" t="s">
        <v>68</v>
      </c>
      <c r="C42" s="10" t="s">
        <v>334</v>
      </c>
      <c r="D42" s="10" t="s">
        <v>335</v>
      </c>
      <c r="E42" s="10" t="s">
        <v>336</v>
      </c>
      <c r="F42" s="10" t="s">
        <v>273</v>
      </c>
      <c r="G42" s="10" t="s">
        <v>337</v>
      </c>
      <c r="H42" s="10" t="s">
        <v>338</v>
      </c>
      <c r="I42" s="10" t="s">
        <v>339</v>
      </c>
      <c r="J42" s="10" t="s">
        <v>287</v>
      </c>
      <c r="K42" s="10" t="s">
        <v>278</v>
      </c>
      <c r="L42" s="10" t="s">
        <v>0</v>
      </c>
      <c r="M42" s="10"/>
    </row>
    <row r="43" ht="15.75" customHeight="1">
      <c r="A43" s="10" t="s">
        <v>340</v>
      </c>
      <c r="B43" s="10" t="s">
        <v>68</v>
      </c>
      <c r="C43" s="10" t="s">
        <v>341</v>
      </c>
      <c r="D43" s="10" t="s">
        <v>342</v>
      </c>
      <c r="E43" s="10" t="s">
        <v>343</v>
      </c>
      <c r="F43" s="10" t="s">
        <v>344</v>
      </c>
      <c r="G43" s="10" t="s">
        <v>345</v>
      </c>
      <c r="H43" s="10" t="s">
        <v>346</v>
      </c>
      <c r="I43" s="10" t="s">
        <v>347</v>
      </c>
      <c r="J43" s="10" t="s">
        <v>287</v>
      </c>
      <c r="K43" s="10" t="s">
        <v>278</v>
      </c>
      <c r="L43" s="10" t="s">
        <v>0</v>
      </c>
      <c r="M43" s="10"/>
    </row>
    <row r="44" ht="15.75" customHeight="1">
      <c r="A44" s="10" t="s">
        <v>348</v>
      </c>
      <c r="B44" s="10" t="s">
        <v>68</v>
      </c>
      <c r="C44" s="10" t="s">
        <v>349</v>
      </c>
      <c r="D44" s="10" t="s">
        <v>350</v>
      </c>
      <c r="E44" s="10" t="s">
        <v>351</v>
      </c>
      <c r="F44" s="10" t="s">
        <v>344</v>
      </c>
      <c r="G44" s="10" t="s">
        <v>352</v>
      </c>
      <c r="H44" s="10" t="s">
        <v>88</v>
      </c>
      <c r="I44" s="10" t="s">
        <v>20</v>
      </c>
      <c r="J44" s="10" t="s">
        <v>287</v>
      </c>
      <c r="K44" s="10" t="s">
        <v>353</v>
      </c>
      <c r="L44" s="10" t="s">
        <v>0</v>
      </c>
      <c r="M44" s="10"/>
    </row>
    <row r="45" ht="15.75" customHeight="1">
      <c r="A45" s="10" t="s">
        <v>354</v>
      </c>
      <c r="B45" s="10" t="s">
        <v>68</v>
      </c>
      <c r="C45" s="10" t="s">
        <v>355</v>
      </c>
      <c r="D45" s="10" t="s">
        <v>356</v>
      </c>
      <c r="E45" s="10" t="s">
        <v>357</v>
      </c>
      <c r="F45" s="10" t="s">
        <v>16</v>
      </c>
      <c r="G45" s="10" t="s">
        <v>358</v>
      </c>
      <c r="H45" s="10" t="s">
        <v>359</v>
      </c>
      <c r="I45" s="10" t="s">
        <v>360</v>
      </c>
      <c r="J45" s="10" t="s">
        <v>287</v>
      </c>
      <c r="K45" s="10" t="s">
        <v>361</v>
      </c>
      <c r="L45" s="10" t="s">
        <v>0</v>
      </c>
      <c r="M45" s="10"/>
    </row>
    <row r="46" ht="15.75" customHeight="1">
      <c r="A46" s="10" t="s">
        <v>362</v>
      </c>
      <c r="B46" s="10" t="s">
        <v>68</v>
      </c>
      <c r="C46" s="10" t="s">
        <v>363</v>
      </c>
      <c r="D46" s="10" t="s">
        <v>364</v>
      </c>
      <c r="E46" s="10" t="s">
        <v>365</v>
      </c>
      <c r="F46" s="10" t="s">
        <v>366</v>
      </c>
      <c r="G46" s="10" t="s">
        <v>367</v>
      </c>
      <c r="H46" s="10" t="s">
        <v>88</v>
      </c>
      <c r="I46" s="10" t="s">
        <v>20</v>
      </c>
      <c r="J46" s="10" t="s">
        <v>287</v>
      </c>
      <c r="K46" s="10" t="s">
        <v>303</v>
      </c>
      <c r="L46" s="10" t="s">
        <v>0</v>
      </c>
      <c r="M46" s="10"/>
    </row>
    <row r="47" ht="15.75" customHeight="1">
      <c r="A47" s="10" t="s">
        <v>368</v>
      </c>
      <c r="B47" s="10" t="s">
        <v>68</v>
      </c>
      <c r="C47" s="10" t="s">
        <v>369</v>
      </c>
      <c r="D47" s="10" t="s">
        <v>370</v>
      </c>
      <c r="E47" s="10" t="s">
        <v>371</v>
      </c>
      <c r="F47" s="10" t="s">
        <v>372</v>
      </c>
      <c r="G47" s="10" t="s">
        <v>373</v>
      </c>
      <c r="H47" s="10" t="s">
        <v>88</v>
      </c>
      <c r="I47" s="10" t="s">
        <v>20</v>
      </c>
      <c r="J47" s="10" t="s">
        <v>287</v>
      </c>
      <c r="K47" s="10" t="s">
        <v>374</v>
      </c>
      <c r="L47" s="10" t="s">
        <v>0</v>
      </c>
      <c r="M47" s="10"/>
    </row>
    <row r="48" ht="15.75" customHeight="1">
      <c r="A48" s="10" t="s">
        <v>375</v>
      </c>
      <c r="B48" s="10" t="s">
        <v>69</v>
      </c>
      <c r="C48" s="10" t="s">
        <v>376</v>
      </c>
      <c r="D48" s="10" t="s">
        <v>377</v>
      </c>
      <c r="E48" s="10" t="s">
        <v>378</v>
      </c>
      <c r="F48" s="10" t="s">
        <v>344</v>
      </c>
      <c r="G48" s="10" t="s">
        <v>379</v>
      </c>
      <c r="H48" s="10" t="s">
        <v>380</v>
      </c>
      <c r="I48" s="10" t="s">
        <v>381</v>
      </c>
      <c r="J48" s="10" t="s">
        <v>287</v>
      </c>
      <c r="K48" s="10" t="s">
        <v>278</v>
      </c>
      <c r="L48" s="10" t="s">
        <v>0</v>
      </c>
      <c r="M48" s="10"/>
    </row>
    <row r="49" ht="15.75" customHeight="1">
      <c r="A49" s="10" t="s">
        <v>382</v>
      </c>
      <c r="B49" s="10" t="s">
        <v>69</v>
      </c>
      <c r="C49" s="10" t="s">
        <v>383</v>
      </c>
      <c r="D49" s="10" t="s">
        <v>384</v>
      </c>
      <c r="E49" s="10" t="s">
        <v>385</v>
      </c>
      <c r="F49" s="10" t="s">
        <v>366</v>
      </c>
      <c r="G49" s="10" t="s">
        <v>386</v>
      </c>
      <c r="H49" s="10" t="s">
        <v>387</v>
      </c>
      <c r="I49" s="10" t="s">
        <v>388</v>
      </c>
      <c r="J49" s="10" t="s">
        <v>287</v>
      </c>
      <c r="K49" s="10" t="s">
        <v>389</v>
      </c>
      <c r="L49" s="10" t="s">
        <v>0</v>
      </c>
      <c r="M49" s="10"/>
    </row>
    <row r="50" ht="15.75" customHeight="1">
      <c r="A50" s="10" t="s">
        <v>390</v>
      </c>
      <c r="B50" s="10" t="s">
        <v>69</v>
      </c>
      <c r="C50" s="10" t="s">
        <v>391</v>
      </c>
      <c r="D50" s="10" t="s">
        <v>392</v>
      </c>
      <c r="E50" s="10" t="s">
        <v>393</v>
      </c>
      <c r="F50" s="10" t="s">
        <v>366</v>
      </c>
      <c r="G50" s="10" t="s">
        <v>394</v>
      </c>
      <c r="H50" s="10" t="s">
        <v>88</v>
      </c>
      <c r="I50" s="10" t="s">
        <v>20</v>
      </c>
      <c r="J50" s="10" t="s">
        <v>287</v>
      </c>
      <c r="K50" s="10" t="s">
        <v>303</v>
      </c>
      <c r="L50" s="10" t="s">
        <v>0</v>
      </c>
      <c r="M50" s="10"/>
    </row>
    <row r="51" ht="15.75" customHeight="1">
      <c r="A51" s="10" t="s">
        <v>395</v>
      </c>
      <c r="B51" s="10" t="s">
        <v>69</v>
      </c>
      <c r="C51" s="10" t="s">
        <v>396</v>
      </c>
      <c r="D51" s="10" t="s">
        <v>397</v>
      </c>
      <c r="E51" s="10" t="s">
        <v>398</v>
      </c>
      <c r="F51" s="10" t="s">
        <v>292</v>
      </c>
      <c r="G51" s="10" t="s">
        <v>399</v>
      </c>
      <c r="H51" s="10" t="s">
        <v>88</v>
      </c>
      <c r="I51" s="10" t="s">
        <v>20</v>
      </c>
      <c r="J51" s="10" t="s">
        <v>287</v>
      </c>
      <c r="K51" s="10" t="s">
        <v>303</v>
      </c>
      <c r="L51" s="10" t="s">
        <v>0</v>
      </c>
      <c r="M51" s="10"/>
    </row>
    <row r="52" ht="15.75" customHeight="1">
      <c r="A52" s="10" t="s">
        <v>400</v>
      </c>
      <c r="B52" s="10" t="s">
        <v>70</v>
      </c>
      <c r="C52" s="10" t="s">
        <v>401</v>
      </c>
      <c r="D52" s="10" t="s">
        <v>402</v>
      </c>
      <c r="E52" s="10" t="s">
        <v>403</v>
      </c>
      <c r="F52" s="10" t="s">
        <v>366</v>
      </c>
      <c r="G52" s="10" t="s">
        <v>404</v>
      </c>
      <c r="H52" s="10" t="s">
        <v>405</v>
      </c>
      <c r="I52" s="10" t="s">
        <v>406</v>
      </c>
      <c r="J52" s="10" t="s">
        <v>287</v>
      </c>
      <c r="K52" s="10" t="s">
        <v>278</v>
      </c>
      <c r="L52" s="10" t="s">
        <v>0</v>
      </c>
      <c r="M52" s="10"/>
    </row>
    <row r="53" ht="15.75" customHeight="1">
      <c r="A53" s="10" t="s">
        <v>407</v>
      </c>
      <c r="B53" s="10" t="s">
        <v>70</v>
      </c>
      <c r="C53" s="10" t="s">
        <v>408</v>
      </c>
      <c r="D53" s="10" t="s">
        <v>409</v>
      </c>
      <c r="E53" s="10" t="s">
        <v>410</v>
      </c>
      <c r="F53" s="10" t="s">
        <v>366</v>
      </c>
      <c r="G53" s="10" t="s">
        <v>411</v>
      </c>
      <c r="H53" s="10" t="s">
        <v>412</v>
      </c>
      <c r="I53" s="10" t="s">
        <v>413</v>
      </c>
      <c r="J53" s="10" t="s">
        <v>287</v>
      </c>
      <c r="K53" s="10" t="s">
        <v>278</v>
      </c>
      <c r="L53" s="10" t="s">
        <v>0</v>
      </c>
      <c r="M53" s="10"/>
    </row>
    <row r="54" ht="15.75" customHeight="1">
      <c r="A54" s="10" t="s">
        <v>414</v>
      </c>
      <c r="B54" s="10" t="s">
        <v>70</v>
      </c>
      <c r="C54" s="10" t="s">
        <v>415</v>
      </c>
      <c r="D54" s="10" t="s">
        <v>416</v>
      </c>
      <c r="E54" s="10" t="s">
        <v>417</v>
      </c>
      <c r="F54" s="10" t="s">
        <v>366</v>
      </c>
      <c r="G54" s="10" t="s">
        <v>415</v>
      </c>
      <c r="H54" s="10" t="s">
        <v>88</v>
      </c>
      <c r="I54" s="10" t="s">
        <v>20</v>
      </c>
      <c r="J54" s="10" t="s">
        <v>287</v>
      </c>
      <c r="K54" s="10" t="s">
        <v>303</v>
      </c>
      <c r="L54" s="10" t="s">
        <v>0</v>
      </c>
      <c r="M54" s="10"/>
    </row>
    <row r="55" ht="15.75" customHeight="1">
      <c r="A55" s="10" t="s">
        <v>418</v>
      </c>
      <c r="B55" s="10" t="s">
        <v>70</v>
      </c>
      <c r="C55" s="10" t="s">
        <v>419</v>
      </c>
      <c r="D55" s="10" t="s">
        <v>420</v>
      </c>
      <c r="E55" s="10" t="s">
        <v>421</v>
      </c>
      <c r="F55" s="10" t="s">
        <v>366</v>
      </c>
      <c r="G55" s="10" t="s">
        <v>422</v>
      </c>
      <c r="H55" s="10" t="s">
        <v>423</v>
      </c>
      <c r="I55" s="10" t="s">
        <v>424</v>
      </c>
      <c r="J55" s="10" t="s">
        <v>287</v>
      </c>
      <c r="K55" s="10" t="s">
        <v>278</v>
      </c>
      <c r="L55" s="10" t="s">
        <v>0</v>
      </c>
      <c r="M55" s="10"/>
    </row>
    <row r="56" ht="15.75" customHeight="1">
      <c r="A56" s="10" t="s">
        <v>425</v>
      </c>
      <c r="B56" s="10" t="s">
        <v>70</v>
      </c>
      <c r="C56" s="10" t="s">
        <v>426</v>
      </c>
      <c r="D56" s="10" t="s">
        <v>427</v>
      </c>
      <c r="E56" s="10" t="s">
        <v>428</v>
      </c>
      <c r="F56" s="10" t="s">
        <v>344</v>
      </c>
      <c r="G56" s="10" t="s">
        <v>429</v>
      </c>
      <c r="H56" s="10" t="s">
        <v>88</v>
      </c>
      <c r="I56" s="10" t="s">
        <v>20</v>
      </c>
      <c r="J56" s="10" t="s">
        <v>287</v>
      </c>
      <c r="K56" s="10" t="s">
        <v>430</v>
      </c>
      <c r="L56" s="10" t="s">
        <v>0</v>
      </c>
      <c r="M56" s="10"/>
    </row>
    <row r="57" ht="15.75" customHeight="1">
      <c r="A57" s="10" t="s">
        <v>431</v>
      </c>
      <c r="B57" s="10" t="s">
        <v>72</v>
      </c>
      <c r="C57" s="10" t="s">
        <v>432</v>
      </c>
      <c r="D57" s="10" t="s">
        <v>433</v>
      </c>
      <c r="E57" s="10" t="s">
        <v>434</v>
      </c>
      <c r="F57" s="10" t="s">
        <v>366</v>
      </c>
      <c r="G57" s="10" t="s">
        <v>435</v>
      </c>
      <c r="H57" s="10" t="s">
        <v>436</v>
      </c>
      <c r="I57" s="10" t="s">
        <v>437</v>
      </c>
      <c r="J57" s="10" t="s">
        <v>287</v>
      </c>
      <c r="K57" s="10" t="s">
        <v>278</v>
      </c>
      <c r="L57" s="10" t="s">
        <v>0</v>
      </c>
      <c r="M57" s="10"/>
    </row>
    <row r="58" ht="15.75" customHeight="1">
      <c r="A58" s="10" t="s">
        <v>438</v>
      </c>
      <c r="B58" s="10" t="s">
        <v>72</v>
      </c>
      <c r="C58" s="10" t="s">
        <v>439</v>
      </c>
      <c r="D58" s="10" t="s">
        <v>440</v>
      </c>
      <c r="E58" s="10" t="s">
        <v>441</v>
      </c>
      <c r="F58" s="10" t="s">
        <v>366</v>
      </c>
      <c r="G58" s="10" t="s">
        <v>442</v>
      </c>
      <c r="H58" s="10" t="s">
        <v>443</v>
      </c>
      <c r="I58" s="10" t="s">
        <v>444</v>
      </c>
      <c r="J58" s="10" t="s">
        <v>287</v>
      </c>
      <c r="K58" s="10" t="s">
        <v>278</v>
      </c>
      <c r="L58" s="10" t="s">
        <v>0</v>
      </c>
      <c r="M58" s="10"/>
    </row>
    <row r="59" ht="15.75" customHeight="1">
      <c r="A59" s="10" t="s">
        <v>445</v>
      </c>
      <c r="B59" s="10" t="s">
        <v>72</v>
      </c>
      <c r="C59" s="10" t="s">
        <v>446</v>
      </c>
      <c r="D59" s="10" t="s">
        <v>447</v>
      </c>
      <c r="E59" s="10" t="s">
        <v>448</v>
      </c>
      <c r="F59" s="10" t="s">
        <v>366</v>
      </c>
      <c r="G59" s="10" t="s">
        <v>449</v>
      </c>
      <c r="H59" s="10" t="s">
        <v>450</v>
      </c>
      <c r="I59" s="10" t="s">
        <v>451</v>
      </c>
      <c r="J59" s="10" t="s">
        <v>287</v>
      </c>
      <c r="K59" s="10" t="s">
        <v>278</v>
      </c>
      <c r="L59" s="10" t="s">
        <v>0</v>
      </c>
      <c r="M59" s="10"/>
    </row>
    <row r="60" ht="15.75" customHeight="1">
      <c r="A60" s="10" t="s">
        <v>452</v>
      </c>
      <c r="B60" s="10" t="s">
        <v>72</v>
      </c>
      <c r="C60" s="10" t="s">
        <v>453</v>
      </c>
      <c r="D60" s="10" t="s">
        <v>454</v>
      </c>
      <c r="E60" s="10" t="s">
        <v>455</v>
      </c>
      <c r="F60" s="10" t="s">
        <v>366</v>
      </c>
      <c r="G60" s="10" t="s">
        <v>456</v>
      </c>
      <c r="H60" s="10" t="s">
        <v>88</v>
      </c>
      <c r="I60" s="10" t="s">
        <v>20</v>
      </c>
      <c r="J60" s="10" t="s">
        <v>287</v>
      </c>
      <c r="K60" s="10" t="s">
        <v>303</v>
      </c>
      <c r="L60" s="10" t="s">
        <v>0</v>
      </c>
      <c r="M60" s="10"/>
    </row>
    <row r="61" ht="15.75" customHeight="1">
      <c r="A61" s="10" t="s">
        <v>457</v>
      </c>
      <c r="B61" s="10" t="s">
        <v>72</v>
      </c>
      <c r="C61" s="10" t="s">
        <v>458</v>
      </c>
      <c r="D61" s="10" t="s">
        <v>459</v>
      </c>
      <c r="E61" s="10" t="s">
        <v>460</v>
      </c>
      <c r="F61" s="10" t="s">
        <v>366</v>
      </c>
      <c r="G61" s="10" t="s">
        <v>461</v>
      </c>
      <c r="H61" s="10" t="s">
        <v>88</v>
      </c>
      <c r="I61" s="10" t="s">
        <v>20</v>
      </c>
      <c r="J61" s="10" t="s">
        <v>287</v>
      </c>
      <c r="K61" s="10" t="s">
        <v>462</v>
      </c>
      <c r="L61" s="10" t="s">
        <v>0</v>
      </c>
      <c r="M61" s="10"/>
    </row>
    <row r="62" ht="15.75" customHeight="1">
      <c r="A62" s="10" t="s">
        <v>463</v>
      </c>
      <c r="B62" s="10" t="s">
        <v>73</v>
      </c>
      <c r="C62" s="10" t="s">
        <v>464</v>
      </c>
      <c r="D62" s="10" t="s">
        <v>465</v>
      </c>
      <c r="E62" s="10" t="s">
        <v>466</v>
      </c>
      <c r="F62" s="10" t="s">
        <v>467</v>
      </c>
      <c r="G62" s="10" t="s">
        <v>468</v>
      </c>
      <c r="H62" s="10" t="s">
        <v>88</v>
      </c>
      <c r="I62" s="10" t="s">
        <v>20</v>
      </c>
      <c r="J62" s="10" t="s">
        <v>287</v>
      </c>
      <c r="K62" s="10" t="s">
        <v>469</v>
      </c>
      <c r="L62" s="10" t="s">
        <v>0</v>
      </c>
      <c r="M62" s="10"/>
    </row>
    <row r="63" ht="15.75" customHeight="1">
      <c r="A63" s="10" t="s">
        <v>470</v>
      </c>
      <c r="B63" s="10" t="s">
        <v>73</v>
      </c>
      <c r="C63" s="10" t="s">
        <v>471</v>
      </c>
      <c r="D63" s="10" t="s">
        <v>472</v>
      </c>
      <c r="E63" s="10" t="s">
        <v>473</v>
      </c>
      <c r="F63" s="10" t="s">
        <v>467</v>
      </c>
      <c r="G63" s="10" t="s">
        <v>474</v>
      </c>
      <c r="H63" s="10" t="s">
        <v>88</v>
      </c>
      <c r="I63" s="10" t="s">
        <v>20</v>
      </c>
      <c r="J63" s="10" t="s">
        <v>287</v>
      </c>
      <c r="K63" s="10" t="s">
        <v>475</v>
      </c>
      <c r="L63" s="10" t="s">
        <v>0</v>
      </c>
      <c r="M63" s="10"/>
    </row>
    <row r="64" ht="15.75" customHeight="1">
      <c r="A64" s="10" t="s">
        <v>476</v>
      </c>
      <c r="B64" s="10" t="s">
        <v>73</v>
      </c>
      <c r="C64" s="10" t="s">
        <v>477</v>
      </c>
      <c r="D64" s="10" t="s">
        <v>478</v>
      </c>
      <c r="E64" s="10" t="s">
        <v>479</v>
      </c>
      <c r="F64" s="10" t="s">
        <v>480</v>
      </c>
      <c r="G64" s="10" t="s">
        <v>481</v>
      </c>
      <c r="H64" s="10" t="s">
        <v>387</v>
      </c>
      <c r="I64" s="10" t="s">
        <v>388</v>
      </c>
      <c r="J64" s="10" t="s">
        <v>287</v>
      </c>
      <c r="K64" s="10" t="s">
        <v>482</v>
      </c>
      <c r="L64" s="10" t="s">
        <v>0</v>
      </c>
      <c r="M64" s="10"/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M1"/>
    <mergeCell ref="A2:M2"/>
  </mergeCells>
  <conditionalFormatting sqref="L5:L64">
    <cfRule type="expression" dxfId="5" priority="1">
      <formula>L5="Aprobado"</formula>
    </cfRule>
  </conditionalFormatting>
  <conditionalFormatting sqref="L5:L64">
    <cfRule type="expression" dxfId="6" priority="2">
      <formula>L5="Ajustar"</formula>
    </cfRule>
  </conditionalFormatting>
  <conditionalFormatting sqref="L5:L64">
    <cfRule type="expression" dxfId="7" priority="3">
      <formula>L5="Fuera de alcance"</formula>
    </cfRule>
  </conditionalFormatting>
  <conditionalFormatting sqref="L5:L64">
    <cfRule type="expression" dxfId="8" priority="4">
      <formula>L5="Requiere análisis"</formula>
    </cfRule>
  </conditionalFormatting>
  <conditionalFormatting sqref="K5:K64">
    <cfRule type="expression" dxfId="9" priority="5">
      <formula>ISNUMBER(SEARCH("Confirmado",K5))</formula>
    </cfRule>
  </conditionalFormatting>
  <conditionalFormatting sqref="K5:K64">
    <cfRule type="expression" dxfId="10" priority="6">
      <formula>ISNUMBER(SEARCH("pendiente",LOWER(K5)))</formula>
    </cfRule>
  </conditionalFormatting>
  <conditionalFormatting sqref="K5:K64">
    <cfRule type="expression" dxfId="11" priority="7">
      <formula>OR(ISNUMBER(SEARCH("Contradicción",K5)),ISNUMBER(SEARCH("Diferencia",K5)))</formula>
    </cfRule>
  </conditionalFormatting>
  <dataValidations>
    <dataValidation type="list" allowBlank="1" sqref="L5:L64">
      <formula1>'_Listas'!$A$1:$A$5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8.0"/>
    <col customWidth="1" min="2" max="2" width="14.0"/>
    <col customWidth="1" min="3" max="3" width="42.0"/>
    <col customWidth="1" min="4" max="26" width="8.63"/>
  </cols>
  <sheetData>
    <row r="1" ht="25.5" customHeight="1">
      <c r="A1" s="2" t="s">
        <v>1</v>
      </c>
      <c r="D1" s="3"/>
      <c r="E1" s="3"/>
      <c r="F1" s="3"/>
    </row>
    <row r="3">
      <c r="A3" s="4" t="s">
        <v>7</v>
      </c>
      <c r="B3" s="4" t="s">
        <v>9</v>
      </c>
    </row>
    <row r="4">
      <c r="A4" s="1" t="s">
        <v>10</v>
      </c>
      <c r="B4" s="1">
        <v>60.0</v>
      </c>
    </row>
    <row r="5">
      <c r="A5" s="1" t="s">
        <v>13</v>
      </c>
      <c r="B5" s="1">
        <f>COUNTIF('Matriz Validación'!$L$5:$L$64,"Pendiente")</f>
        <v>60</v>
      </c>
    </row>
    <row r="6">
      <c r="A6" s="1" t="s">
        <v>34</v>
      </c>
      <c r="B6" s="1">
        <f>COUNTIF('Matriz Validación'!$L$5:$L$64,"Aprobado")</f>
        <v>0</v>
      </c>
    </row>
    <row r="7">
      <c r="A7" s="1" t="s">
        <v>3</v>
      </c>
      <c r="B7" s="1">
        <f>COUNTIF('Matriz Validación'!$L$5:$L$64,"Ajustar")</f>
        <v>0</v>
      </c>
    </row>
    <row r="8">
      <c r="A8" s="1" t="s">
        <v>4</v>
      </c>
      <c r="B8" s="1">
        <f>COUNTIF('Matriz Validación'!$L$5:$L$64,"Fuera de alcance")</f>
        <v>0</v>
      </c>
    </row>
    <row r="11">
      <c r="A11" s="4" t="s">
        <v>44</v>
      </c>
      <c r="B11" s="4" t="s">
        <v>48</v>
      </c>
      <c r="C11" s="4" t="s">
        <v>50</v>
      </c>
    </row>
    <row r="12">
      <c r="A12" s="1" t="s">
        <v>51</v>
      </c>
      <c r="B12" s="1">
        <v>4.0</v>
      </c>
      <c r="C12" s="1" t="s">
        <v>53</v>
      </c>
    </row>
    <row r="13">
      <c r="A13" s="1" t="s">
        <v>54</v>
      </c>
      <c r="B13" s="1">
        <v>3.0</v>
      </c>
      <c r="C13" s="1" t="s">
        <v>53</v>
      </c>
    </row>
    <row r="14">
      <c r="A14" s="1" t="s">
        <v>56</v>
      </c>
      <c r="B14" s="1">
        <v>5.0</v>
      </c>
      <c r="C14" s="1" t="s">
        <v>53</v>
      </c>
    </row>
    <row r="15">
      <c r="A15" s="1" t="s">
        <v>58</v>
      </c>
      <c r="B15" s="1">
        <v>4.0</v>
      </c>
      <c r="C15" s="1" t="s">
        <v>53</v>
      </c>
    </row>
    <row r="16">
      <c r="A16" s="1" t="s">
        <v>60</v>
      </c>
      <c r="B16" s="1">
        <v>7.0</v>
      </c>
      <c r="C16" s="1" t="s">
        <v>53</v>
      </c>
    </row>
    <row r="17">
      <c r="A17" s="1" t="s">
        <v>62</v>
      </c>
      <c r="B17" s="1">
        <v>3.0</v>
      </c>
      <c r="C17" s="1" t="s">
        <v>53</v>
      </c>
    </row>
    <row r="18">
      <c r="A18" s="1" t="s">
        <v>64</v>
      </c>
      <c r="B18" s="1">
        <v>1.0</v>
      </c>
      <c r="C18" s="1" t="s">
        <v>53</v>
      </c>
    </row>
    <row r="19">
      <c r="A19" s="1" t="s">
        <v>66</v>
      </c>
      <c r="B19" s="1">
        <v>9.0</v>
      </c>
      <c r="C19" s="1" t="s">
        <v>53</v>
      </c>
    </row>
    <row r="20">
      <c r="A20" s="1" t="s">
        <v>68</v>
      </c>
      <c r="B20" s="1">
        <v>7.0</v>
      </c>
      <c r="C20" s="1" t="s">
        <v>53</v>
      </c>
    </row>
    <row r="21" ht="15.75" customHeight="1">
      <c r="A21" s="1" t="s">
        <v>69</v>
      </c>
      <c r="B21" s="1">
        <v>4.0</v>
      </c>
      <c r="C21" s="1" t="s">
        <v>53</v>
      </c>
    </row>
    <row r="22" ht="15.75" customHeight="1">
      <c r="A22" s="1" t="s">
        <v>70</v>
      </c>
      <c r="B22" s="1">
        <v>5.0</v>
      </c>
      <c r="C22" s="1" t="s">
        <v>53</v>
      </c>
    </row>
    <row r="23" ht="15.75" customHeight="1">
      <c r="A23" s="1" t="s">
        <v>72</v>
      </c>
      <c r="B23" s="1">
        <v>5.0</v>
      </c>
      <c r="C23" s="1" t="s">
        <v>53</v>
      </c>
    </row>
    <row r="24" ht="15.75" customHeight="1">
      <c r="A24" s="1" t="s">
        <v>73</v>
      </c>
      <c r="B24" s="1">
        <v>3.0</v>
      </c>
      <c r="C24" s="1" t="s">
        <v>53</v>
      </c>
    </row>
    <row r="25" ht="15.75" customHeight="1"/>
    <row r="26" ht="15.75" customHeight="1"/>
    <row r="27" ht="15.75" customHeight="1">
      <c r="A27" s="11"/>
    </row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C1"/>
    <mergeCell ref="A27:F27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4.0"/>
    <col customWidth="1" min="2" max="2" width="45.0"/>
    <col customWidth="1" min="3" max="3" width="55.0"/>
    <col customWidth="1" min="4" max="4" width="38.0"/>
    <col customWidth="1" min="5" max="5" width="58.0"/>
    <col customWidth="1" min="6" max="26" width="8.63"/>
  </cols>
  <sheetData>
    <row r="1">
      <c r="A1" s="3" t="s">
        <v>6</v>
      </c>
    </row>
    <row r="3">
      <c r="A3" s="5" t="s">
        <v>8</v>
      </c>
      <c r="B3" s="5" t="s">
        <v>11</v>
      </c>
      <c r="C3" s="5" t="s">
        <v>12</v>
      </c>
      <c r="D3" s="5" t="s">
        <v>14</v>
      </c>
      <c r="E3" s="5" t="s">
        <v>15</v>
      </c>
    </row>
    <row r="4">
      <c r="A4" s="6" t="s">
        <v>16</v>
      </c>
      <c r="B4" s="6" t="s">
        <v>17</v>
      </c>
      <c r="C4" s="6" t="s">
        <v>18</v>
      </c>
      <c r="D4" s="6" t="s">
        <v>19</v>
      </c>
      <c r="E4" s="6" t="s">
        <v>20</v>
      </c>
    </row>
    <row r="5">
      <c r="A5" s="6" t="s">
        <v>21</v>
      </c>
      <c r="B5" s="6" t="s">
        <v>22</v>
      </c>
      <c r="C5" s="6" t="s">
        <v>24</v>
      </c>
      <c r="D5" s="6" t="s">
        <v>25</v>
      </c>
      <c r="E5" s="6" t="s">
        <v>26</v>
      </c>
    </row>
    <row r="6">
      <c r="A6" s="6" t="s">
        <v>21</v>
      </c>
      <c r="B6" s="6" t="s">
        <v>27</v>
      </c>
      <c r="C6" s="6" t="s">
        <v>28</v>
      </c>
      <c r="D6" s="6" t="s">
        <v>29</v>
      </c>
      <c r="E6" s="6" t="s">
        <v>26</v>
      </c>
    </row>
    <row r="7">
      <c r="A7" s="6" t="s">
        <v>21</v>
      </c>
      <c r="B7" s="6" t="s">
        <v>30</v>
      </c>
      <c r="C7" s="6" t="s">
        <v>32</v>
      </c>
      <c r="D7" s="6" t="s">
        <v>33</v>
      </c>
      <c r="E7" s="6" t="s">
        <v>26</v>
      </c>
    </row>
    <row r="8">
      <c r="A8" s="6" t="s">
        <v>21</v>
      </c>
      <c r="B8" s="6" t="s">
        <v>35</v>
      </c>
      <c r="C8" s="6" t="s">
        <v>37</v>
      </c>
      <c r="D8" s="6" t="s">
        <v>38</v>
      </c>
      <c r="E8" s="6" t="s">
        <v>26</v>
      </c>
    </row>
    <row r="9">
      <c r="A9" s="6" t="s">
        <v>39</v>
      </c>
      <c r="B9" s="6" t="s">
        <v>40</v>
      </c>
      <c r="C9" s="6" t="s">
        <v>41</v>
      </c>
      <c r="D9" s="6" t="s">
        <v>42</v>
      </c>
      <c r="E9" s="6" t="s">
        <v>43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E1"/>
  </mergeCell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6" width="8.63"/>
  </cols>
  <sheetData>
    <row r="1">
      <c r="A1" s="1" t="s">
        <v>0</v>
      </c>
    </row>
    <row r="2">
      <c r="A2" s="1" t="s">
        <v>2</v>
      </c>
    </row>
    <row r="3">
      <c r="A3" s="1" t="s">
        <v>3</v>
      </c>
    </row>
    <row r="4">
      <c r="A4" s="1" t="s">
        <v>4</v>
      </c>
    </row>
    <row r="5">
      <c r="A5" s="1" t="s">
        <v>5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