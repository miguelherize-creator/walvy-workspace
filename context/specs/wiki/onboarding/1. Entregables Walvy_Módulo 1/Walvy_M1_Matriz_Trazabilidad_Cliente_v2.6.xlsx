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beli/Downloads/"/>
    </mc:Choice>
  </mc:AlternateContent>
  <xr:revisionPtr revIDLastSave="0" documentId="13_ncr:1_{F4860A88-CE51-0149-A654-72D5D5767A50}" xr6:coauthVersionLast="47" xr6:coauthVersionMax="47" xr10:uidLastSave="{00000000-0000-0000-0000-000000000000}"/>
  <bookViews>
    <workbookView xWindow="29260" yWindow="600" windowWidth="36460" windowHeight="20700" xr2:uid="{00000000-000D-0000-FFFF-FFFF00000000}"/>
  </bookViews>
  <sheets>
    <sheet name="Matriz Trazabilidad" sheetId="1" r:id="rId1"/>
    <sheet name="Historias y CA" sheetId="2" r:id="rId2"/>
    <sheet name="Reglas de Negocio" sheetId="3" r:id="rId3"/>
    <sheet name="Fuentes" sheetId="4" r:id="rId4"/>
    <sheet name="Pendientes Cliente" sheetId="5" r:id="rId5"/>
    <sheet name="Resumen" sheetId="6" r:id="rId6"/>
    <sheet name="Reglas Walvy" sheetId="7" r:id="rId7"/>
    <sheet name="Brechas de Cobertura" sheetId="8" r:id="rId8"/>
    <sheet name="Observaciones Producto" sheetId="9" r:id="rId9"/>
    <sheet name="Anexos Producto" sheetId="10" r:id="rId10"/>
  </sheets>
  <definedNames>
    <definedName name="_xlnm._FilterDatabase" localSheetId="0" hidden="1">'Matriz Trazabilidad'!$A$4:$U$64</definedName>
    <definedName name="_xlnm._FilterDatabase" localSheetId="6" hidden="1">'Reglas Walvy'!$A$4:$Q$23</definedName>
  </definedNames>
  <calcPr calcId="191028" concurrentCalc="0"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8" i="6" l="1"/>
  <c r="F17" i="6"/>
  <c r="B17" i="6"/>
  <c r="F16" i="6"/>
  <c r="B16" i="6"/>
  <c r="F15" i="6"/>
  <c r="B15" i="6"/>
  <c r="F14" i="6"/>
  <c r="B14" i="6"/>
  <c r="B20" i="6"/>
  <c r="B22" i="6"/>
  <c r="B9" i="6"/>
  <c r="B8" i="6"/>
  <c r="B7" i="6"/>
  <c r="B4" i="6"/>
  <c r="B21" i="6"/>
  <c r="C18" i="6"/>
  <c r="C17" i="6"/>
  <c r="C16" i="6"/>
  <c r="C15" i="6"/>
  <c r="C14" i="6"/>
  <c r="G17" i="6"/>
  <c r="G16" i="6"/>
  <c r="G15" i="6"/>
  <c r="G1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10" authorId="0" shapeId="0" xr:uid="{00000000-0006-0000-0800-000001000000}">
      <text>
        <r>
          <rPr>
            <sz val="11"/>
            <rFont val="Carlito"/>
          </rPr>
          <t>Fuentes de apoyo documental:
https://edificateinteligente.sharepoint.com/sites/DesarrollodeProductos-Servicios/_layouts/15/Doc.aspx?sourcedoc=%7B0362B07A-EE19-4E4D-8075-185D159AFE4C%7D&amp;file=Walvy_Onboarding_Diagnostico_Fase3_Reglas_Contextuales_Suficiencia_Semaforo_CTA_v1_0.docx&amp;action=default&amp;mobileredirect=true
https://edificateinteligente.sharepoint.com/sites/DesarrollodeProductos-Servicios/_layouts/15/Doc.aspx?sourcedoc=%7B2F3DBBDC-ED68-41FE-B715-B2AB9083E854%7D&amp;file=Walvy_Modulo5_Presupuesto_Vivo_Fase1_Flujo_Funcional_v1_0.docx&amp;action=default&amp;mobileredirect=true
https://edificateinteligente.sharepoint.com/sites/DesarrollodeProductos-Servicios/_layouts/15/Doc.aspx?sourcedoc=%7B9F928955-1BDC-4EC3-8C10-9AA1ACCBDE0B%7D&amp;file=Walvy_Modulo6_Pagos_Fase1_Definicion_Funcional_v1_0.docx&amp;action=default&amp;mobileredirect=true
https://edificateinteligente.sharepoint.com/sites/DesarrollodeProductos-Servicios/_layouts/15/Doc.aspx?sourcedoc=%7B9CD8AE97-B58F-4375-9C54-9E819B93ABE7%7D&amp;file=000%20Nota%20de%20compatibilidad%20M06-M04.docx&amp;action=default&amp;mobileredirect=true&amp;web=1
Decisión/umbrales: definición PO de esta revisión.</t>
        </r>
      </text>
    </comment>
  </commentList>
</comments>
</file>

<file path=xl/sharedStrings.xml><?xml version="1.0" encoding="utf-8"?>
<sst xmlns="http://schemas.openxmlformats.org/spreadsheetml/2006/main" count="3100" uniqueCount="1908">
  <si>
    <t>WALVY | M1 – Matriz de trazabilidad para validación con Cliente / Product Owner</t>
  </si>
  <si>
    <t>Cadena de trazabilidad: Historia de Usuario → Criterio de Aceptación → Regla de Negocio → Variante → Caso de Prueba → Evidencia QA. Las reglas derivadas de Figma/QA se mantienen identificadas como pendientes de aprobación cuando corresponda.</t>
  </si>
  <si>
    <t>ID Variante</t>
  </si>
  <si>
    <t>Flujo / Subflujo</t>
  </si>
  <si>
    <t>Variante / Escenario</t>
  </si>
  <si>
    <t>Condición / Disparador</t>
  </si>
  <si>
    <t>Comportamiento esperado</t>
  </si>
  <si>
    <t>HU asociada</t>
  </si>
  <si>
    <t>CA asociado</t>
  </si>
  <si>
    <t>Regla de negocio asociada</t>
  </si>
  <si>
    <t>Origen / Estado RN</t>
  </si>
  <si>
    <t>Código fuente RN</t>
  </si>
  <si>
    <t>Descripción fuente RN</t>
  </si>
  <si>
    <t>Caso de Prueba</t>
  </si>
  <si>
    <t>Evidencia QA</t>
  </si>
  <si>
    <t>Estado evidencia</t>
  </si>
  <si>
    <t>Nodo Figma</t>
  </si>
  <si>
    <t>URL Figma</t>
  </si>
  <si>
    <t>Clasificación de soporte</t>
  </si>
  <si>
    <t>Validación Cliente</t>
  </si>
  <si>
    <t>Decisión PO / Comentarios</t>
  </si>
  <si>
    <t>ID Pendiente Cliente</t>
  </si>
  <si>
    <t>Regla Walvy validada</t>
  </si>
  <si>
    <t>M1-V01</t>
  </si>
  <si>
    <t>Acceso / Login</t>
  </si>
  <si>
    <t>Usuario sin sesión guardada</t>
  </si>
  <si>
    <t>Inicio de app sin usuario recordado/biometría activa</t>
  </si>
  <si>
    <t>Mostrar login con correo y contraseña.</t>
  </si>
  <si>
    <t>M1-HU-001</t>
  </si>
  <si>
    <t>CA1-CA3</t>
  </si>
  <si>
    <t>M1-RN-ACC-001 / M1-RN-ACC-003 / M1-RN-ACC-005</t>
  </si>
  <si>
    <t>F-01, F-03 | F-03</t>
  </si>
  <si>
    <t>F-01 – Login Exitoso – Passed – iOS / Android: Acceso con correo y contraseña; llegada a Home.
F-03 – Validar links de la pantalla de login 01/02 – iOS / Android: Links Crear mi cuenta y ¿Olvidaste tu contraseña?; elementos visibles.</t>
  </si>
  <si>
    <t>CP-M1-ACC-001</t>
  </si>
  <si>
    <t>Validar links de la pantalla de login 01/02 – Android/iOS</t>
  </si>
  <si>
    <t>Passed</t>
  </si>
  <si>
    <t>3470:6974</t>
  </si>
  <si>
    <t>https://www.figma.com/design/v45c4HTKnPnU0XABMa5vjY/Walvi-APP---Edificate-Inteligente?node-id=3470-6974</t>
  </si>
  <si>
    <t>Figma + QA / regla funcional pendiente</t>
  </si>
  <si>
    <t>Aprobado</t>
  </si>
  <si>
    <t>M01-RGL-001</t>
  </si>
  <si>
    <t>M1-V02</t>
  </si>
  <si>
    <t>Credenciales válidas</t>
  </si>
  <si>
    <t>Correo/usuario y contraseña válidos</t>
  </si>
  <si>
    <t>Permitir ingreso y dirigir a Home.</t>
  </si>
  <si>
    <t>M1-HU-003</t>
  </si>
  <si>
    <t>M1-RN-ACC-004</t>
  </si>
  <si>
    <t>F-01</t>
  </si>
  <si>
    <t>F-01 – Login Exitoso – Passed – iOS / Android: Acceso con correo y contraseña; llegada a Home.</t>
  </si>
  <si>
    <t>CP-M1-ACC-003</t>
  </si>
  <si>
    <t>Login Exitoso – Android/iOS</t>
  </si>
  <si>
    <t>3361:2744</t>
  </si>
  <si>
    <t>https://www.figma.com/design/v45c4HTKnPnU0XABMa5vjY/Walvi-APP---Edificate-Inteligente?node-id=3361-2744</t>
  </si>
  <si>
    <t>Ajustar</t>
  </si>
  <si>
    <t>Las credenciales válidas no bastan para V02. Solo aplica si la cuenta está activa/verificada y no restringida. Si está pending_verification, derivar a V13; si está restricted, aplicar el tratamiento de acceso restringido (BC-005). Con cuenta habilitada, el destino sigue dependiendo del estado: onboarding pendiente → iniciar/retomar; si corresponde → Home.</t>
  </si>
  <si>
    <t>M1-V03</t>
  </si>
  <si>
    <t>Credenciales inválidas / error de validación</t>
  </si>
  <si>
    <t>Usuario intenta ingresar con datos inválidos</t>
  </si>
  <si>
    <t>No permitir ingreso; mantener usuario en login y mostrar tratamiento de error definido.</t>
  </si>
  <si>
    <t>M1-HU-030</t>
  </si>
  <si>
    <t>M1-RN-ACC-031</t>
  </si>
  <si>
    <t>Figma / pendiente PO-Seguridad</t>
  </si>
  <si>
    <t>Figma 3677:2837</t>
  </si>
  <si>
    <t>Figma – referencia visual en nodo(s): 3677:2837</t>
  </si>
  <si>
    <t>CP-M1-ACC-018</t>
  </si>
  <si>
    <t>Evidencia específica de credenciales inválidas por enlazar</t>
  </si>
  <si>
    <t>Pendiente</t>
  </si>
  <si>
    <t>3677:2837</t>
  </si>
  <si>
    <t>https://www.figma.com/design/v45c4HTKnPnU0XABMa5vjY/Walvi-APP---Edificate-Inteligente?node-id=3677-2837</t>
  </si>
  <si>
    <t>Figma solamente / validar regla</t>
  </si>
  <si>
    <t>En Figma existe un estado con el mensaje “Correo no registrado”, que permite inferir si una cuenta existe. El comportamiento esperado debe utilizar una respuesta genérica, por ejemplo “Correo o contraseña incorrectos”, mantener al usuario en Login y permitir reintentar o recuperar acceso sin revelar si el correo está registrado.</t>
  </si>
  <si>
    <t>PD-M1-01</t>
  </si>
  <si>
    <t>M1-V04</t>
  </si>
  <si>
    <t>Usuario previamente guardado</t>
  </si>
  <si>
    <t>Existe usuario persistido en dispositivo</t>
  </si>
  <si>
    <t>Mostrar correo/usuario persistido y solicitar credencial según diseño.</t>
  </si>
  <si>
    <t>M1-HU-013</t>
  </si>
  <si>
    <t>M1-RN-ACC-025</t>
  </si>
  <si>
    <t>F-10, F-11</t>
  </si>
  <si>
    <t>F-10 – Login biométrico exitoso/fallido – iOS: Acceso biométrico y fallback tras tres intentos fallidos.
F-11 – Reingreso con usuario guardado – Android: Persistencia del usuario y reingreso.</t>
  </si>
  <si>
    <t>CP-M1-ACC-013</t>
  </si>
  <si>
    <t>Reingreso con usuario guardado – Android</t>
  </si>
  <si>
    <t>3470:7098</t>
  </si>
  <si>
    <t>https://www.figma.com/design/v45c4HTKnPnU0XABMa5vjY/Walvi-APP---Edificate-Inteligente?node-id=3470-7098</t>
  </si>
  <si>
    <t>M1-V05</t>
  </si>
  <si>
    <t>Biometría</t>
  </si>
  <si>
    <t>Biometría disponible y activa</t>
  </si>
  <si>
    <t>Usuario guardado tiene biometría habilitada</t>
  </si>
  <si>
    <t>Ofrecer autenticación biométrica.</t>
  </si>
  <si>
    <t>M1-HU-014</t>
  </si>
  <si>
    <t>M1-RN-ACC-026</t>
  </si>
  <si>
    <t>F-10</t>
  </si>
  <si>
    <t>F-10 – Login biométrico exitoso/fallido – iOS: Acceso biométrico y fallback tras tres intentos fallidos.</t>
  </si>
  <si>
    <t>CP-M1-ACC-014</t>
  </si>
  <si>
    <t>Login biométrico – disponibilidad/éxito iOS</t>
  </si>
  <si>
    <t>Passed parcial</t>
  </si>
  <si>
    <t>3470:7080</t>
  </si>
  <si>
    <t>https://www.figma.com/design/v45c4HTKnPnU0XABMa5vjY/Walvi-APP---Edificate-Inteligente?node-id=3470-7080</t>
  </si>
  <si>
    <t>M01-RGL-004</t>
  </si>
  <si>
    <t>M1-V06</t>
  </si>
  <si>
    <t>Biometría exitosa</t>
  </si>
  <si>
    <t>Autenticación biométrica aprobada</t>
  </si>
  <si>
    <t>Ingresar a Home.</t>
  </si>
  <si>
    <t>CA2</t>
  </si>
  <si>
    <t>Login exitoso con usuario biométrico guardado – iOS</t>
  </si>
  <si>
    <t>3470:7138</t>
  </si>
  <si>
    <t>https://www.figma.com/design/v45c4HTKnPnU0XABMa5vjY/Walvi-APP---Edificate-Inteligente?node-id=3470-7138</t>
  </si>
  <si>
    <t>Confirmado por Figma + QA</t>
  </si>
  <si>
    <t>Ajustar el destino posterior a la autenticación biométrica. Una autenticación exitosa permite iniciar sesión, pero no debe fijarse universalmente el destino como Home; la continuidad depende del estado funcional del usuario.</t>
  </si>
  <si>
    <t>M1-V07</t>
  </si>
  <si>
    <t>Biometría fallida / fallback</t>
  </si>
  <si>
    <t>Tres intentos biométricos fallidos según evidencia QA</t>
  </si>
  <si>
    <t>Volver a login con credenciales.</t>
  </si>
  <si>
    <t>M1-HU-015</t>
  </si>
  <si>
    <t>M1-RN-ACC-027</t>
  </si>
  <si>
    <t>CP-M1-ACC-015</t>
  </si>
  <si>
    <t>Login fallido biométrico / 3 intentos / fallback – iOS</t>
  </si>
  <si>
    <t>Confirmado por QA; formalizar regla</t>
  </si>
  <si>
    <t>No se identificó una definición Walvy que establezca tres intentos como umbral funcional. Para esta matriz se acoge el comportamiento referenciado por Kabeli, sustentado en QA + Figma, como criterio observado del flujo; el número de intentos no se eleva a regla transversal de Walvy.</t>
  </si>
  <si>
    <t>M1-V08</t>
  </si>
  <si>
    <t>Registro</t>
  </si>
  <si>
    <t>Acceso a crear cuenta</t>
  </si>
  <si>
    <t>Usuario selecciona “Crear mi cuenta”</t>
  </si>
  <si>
    <t>Abrir formulario de creación de cuenta.</t>
  </si>
  <si>
    <t>M1-HU-004</t>
  </si>
  <si>
    <t>M1-RN-ACC-005</t>
  </si>
  <si>
    <t>F-03</t>
  </si>
  <si>
    <t>F-03 – Validar links de la pantalla de login 01/02 – iOS / Android: Links Crear mi cuenta y ¿Olvidaste tu contraseña?; elementos visibles.</t>
  </si>
  <si>
    <t>CP-M1-ACC-004</t>
  </si>
  <si>
    <t>Links Login / Crear mi cuenta – Android/iOS</t>
  </si>
  <si>
    <t>3470:7249</t>
  </si>
  <si>
    <t>https://www.figma.com/design/v45c4HTKnPnU0XABMa5vjY/Walvi-APP---Edificate-Inteligente?node-id=3470-7249</t>
  </si>
  <si>
    <t>M01-RGL-002</t>
  </si>
  <si>
    <t>M1-V09</t>
  </si>
  <si>
    <t>Datos de registro válidos</t>
  </si>
  <si>
    <t>Correo, confirmación, RUT y contraseña cumplen validación</t>
  </si>
  <si>
    <t>Permitir continuar si además están aceptados T&amp;C y Privacidad.</t>
  </si>
  <si>
    <t>M1-HU-005</t>
  </si>
  <si>
    <t>M1-RN-ACC-006 / M1-RN-ACC-007 / M1-RN-ACC-008 / M1-RN-ACC-009 / M1-RN-ACC-010</t>
  </si>
  <si>
    <t>Evidencia QA | Derivada del flujo | Evidencia visual</t>
  </si>
  <si>
    <t>F-04 | F-04, F-05</t>
  </si>
  <si>
    <t>F-04 – Creación de cuenta / Creación de cuenta exitosa – iOS / Android: Formulario, campos y envío a verificación.
F-05 – Creación de cuenta – validación Términos y Condiciones – iOS / Android: Aceptación y acceso a documentos legales.</t>
  </si>
  <si>
    <t>CP-M1-ACC-005</t>
  </si>
  <si>
    <t>Creación de cuenta / validaciones – Android/iOS</t>
  </si>
  <si>
    <t>3604:3521</t>
  </si>
  <si>
    <t>https://www.figma.com/design/v45c4HTKnPnU0XABMa5vjY/Walvi-APP---Edificate-Inteligente?node-id=3604-3521</t>
  </si>
  <si>
    <t>Completar la condición de aceptación de Términos y Política de Privacidad. Cada documento debe abrirse y su aceptación registrarse desde el propio documento después de alcanzar su final. Solo con el formulario válido y ambas aceptaciones registradas se habilita la creación de la cuenta.</t>
  </si>
  <si>
    <t>M1-V10</t>
  </si>
  <si>
    <t>Campos incompletos o inválidos</t>
  </si>
  <si>
    <t>Uno o más campos no cumplen validación</t>
  </si>
  <si>
    <t>Mantener CTA de creación deshabilitado o impedir avance.</t>
  </si>
  <si>
    <t>3604:3621</t>
  </si>
  <si>
    <t>https://www.figma.com/design/v45c4HTKnPnU0XABMa5vjY/Walvi-APP---Edificate-Inteligente?node-id=3604-3621</t>
  </si>
  <si>
    <t>M1-V11</t>
  </si>
  <si>
    <t>Términos y Condiciones no aceptados</t>
  </si>
  <si>
    <t>Campos válidos, T&amp;C sin aceptar</t>
  </si>
  <si>
    <t>No habilitar creación de cuenta.</t>
  </si>
  <si>
    <t>M1-HU-006</t>
  </si>
  <si>
    <t>M1-RN-ACC-010 / M1-RN-ACC-011</t>
  </si>
  <si>
    <t>F-04, F-05 | F-05</t>
  </si>
  <si>
    <t>CP-M1-ACC-006</t>
  </si>
  <si>
    <t>Validación Términos y Condiciones / Privacidad – Android/iOS</t>
  </si>
  <si>
    <t>3604:3925</t>
  </si>
  <si>
    <t>https://www.figma.com/design/v45c4HTKnPnU0XABMa5vjY/Walvi-APP---Edificate-Inteligente?node-id=3604-3925</t>
  </si>
  <si>
    <t>Figma + QA</t>
  </si>
  <si>
    <t>M1-V12</t>
  </si>
  <si>
    <t>Política de Privacidad no aceptada</t>
  </si>
  <si>
    <t>Campos válidos, Privacidad sin aceptar</t>
  </si>
  <si>
    <t>M1-V13</t>
  </si>
  <si>
    <t>Verificación de cuenta</t>
  </si>
  <si>
    <t>Código en estado inicial</t>
  </si>
  <si>
    <t>Cuenta creada; aún no se completa código</t>
  </si>
  <si>
    <t>Mostrar ingreso/verificación de código; CTA según completitud.</t>
  </si>
  <si>
    <t>M1-HU-007</t>
  </si>
  <si>
    <t>CA1</t>
  </si>
  <si>
    <t>M1-RN-ACC-012 / M1-RN-ACC-013 / M1-RN-ACC-032</t>
  </si>
  <si>
    <t>Evidencia QA | Figma / pendiente PO</t>
  </si>
  <si>
    <t>F-04 | F-07 | Figma 3470:7580</t>
  </si>
  <si>
    <t>F-04 – Creación de cuenta / Creación de cuenta exitosa – iOS / Android: Formulario, campos y envío a verificación.
F-07 – Ingreso primera vez – Completar datos / Omitir y continuar – iOS / Android: Flujo posterior a la activación de cuenta.
Figma – referencia visual en nodo(s): 3470:7580</t>
  </si>
  <si>
    <t>CP-M1-ACC-007</t>
  </si>
  <si>
    <t>Creación de cuenta – verificación – Android/iOS</t>
  </si>
  <si>
    <t>3470:7580</t>
  </si>
  <si>
    <t>https://www.figma.com/design/v45c4HTKnPnU0XABMa5vjY/Walvi-APP---Edificate-Inteligente?node-id=3470-7580</t>
  </si>
  <si>
    <t>Figma + QA / ciclo de código pendiente</t>
  </si>
  <si>
    <t>Ampliar la condición de entrada: V13 aplica tanto inmediatamente después del registro como cuando una cuenta existente en pending_verification intenta iniciar sesión. No crear sesión completa; mostrar/reabrir Verificación de cuenta y permitir completar o reenviar OTP según M01-RGL-002 / M1-DP-010. No requiere nueva variante ni pantalla.</t>
  </si>
  <si>
    <t>PD-M1-02</t>
  </si>
  <si>
    <t>M01-RGL-001 / M01-RGL-002 / M1-DP-010</t>
  </si>
  <si>
    <t>M1-V14</t>
  </si>
  <si>
    <t>Código incorrecto</t>
  </si>
  <si>
    <t>Usuario ingresa código inválido</t>
  </si>
  <si>
    <t>No activar cuenta; informar error y permitir corrección según regla.</t>
  </si>
  <si>
    <t>CA3</t>
  </si>
  <si>
    <t>M1-RN-ACC-015</t>
  </si>
  <si>
    <t>F-06</t>
  </si>
  <si>
    <t>F-06 – Creación de cuenta – verificación código incorrecto – iOS / Android: Tratamiento de código inválido.</t>
  </si>
  <si>
    <t>Verificación código incorrecto – Android/iOS</t>
  </si>
  <si>
    <t>3470:7723</t>
  </si>
  <si>
    <t>https://www.figma.com/design/v45c4HTKnPnU0XABMa5vjY/Walvi-APP---Edificate-Inteligente?node-id=3470-7723</t>
  </si>
  <si>
    <t>M1-V15</t>
  </si>
  <si>
    <t>Código correcto</t>
  </si>
  <si>
    <t>Usuario ingresa código válido</t>
  </si>
  <si>
    <t>Confirmar cuenta y avanzar a primer ingreso.</t>
  </si>
  <si>
    <t>M1-RN-ACC-014</t>
  </si>
  <si>
    <t>F-07</t>
  </si>
  <si>
    <t>F-07 – Ingreso primera vez – Completar datos / Omitir y continuar – iOS / Android: Flujo posterior a la activación de cuenta.</t>
  </si>
  <si>
    <t>Verificación código correcto – Android/iOS</t>
  </si>
  <si>
    <t>3470:7774</t>
  </si>
  <si>
    <t>https://www.figma.com/design/v45c4HTKnPnU0XABMa5vjY/Walvi-APP---Edificate-Inteligente?node-id=3470-7774</t>
  </si>
  <si>
    <t>M1-V16</t>
  </si>
  <si>
    <t>Código vencido / reenvío</t>
  </si>
  <si>
    <t>Temporizador finaliza o el código requiere reenvío</t>
  </si>
  <si>
    <t>Habilitar tratamiento de reenvío/vencimiento conforme regla de Producto.</t>
  </si>
  <si>
    <t>M1-HU-031</t>
  </si>
  <si>
    <t>M1-RN-ACC-033</t>
  </si>
  <si>
    <t>Figma 3470:7626</t>
  </si>
  <si>
    <t>Figma – referencia visual en nodo(s): 3470:7626</t>
  </si>
  <si>
    <t>CP-M1-ACC-019</t>
  </si>
  <si>
    <t>Evidencia QA de vencimiento/reenvío por enlazar</t>
  </si>
  <si>
    <t>3470:7626</t>
  </si>
  <si>
    <t>https://www.figma.com/design/v45c4HTKnPnU0XABMa5vjY/Walvi-APP---Edificate-Inteligente?node-id=3470-7626</t>
  </si>
  <si>
    <t>Figma solamente / decisión Producto</t>
  </si>
  <si>
    <t>Decisión de Producto cerrada. Ver M1-DP-010 y AX-M1-001. Separar vigencia del OTP y temporizador de reenvío: el contador visible solo habilita solicitar un nuevo código; la expiración depende del TTL configurado. Baseline Walvy aceptado por Producto: OTP de 6 dígitos, TTL 10 min, reenvío a 60 s, máximo 5 intentos fallidos acumulados sin reinicio por reenvío, máximo 5 reenvíos en 15 min y cooldown de 15 min al superar el límite. Un nuevo código invalida el anterior; un código incorrecto, vencido, reutilizado o reemplazado no activa la cuenta. Kabeli debe ajustar D/E de V16 y M1-RN-ACC-032/033, mantener los parámetros configurables/versionados y confirmar los valores efectivos o justificar desviaciones. Aplicar rate limiting al menos por cuenta/correo, complementado por IP y, cuando sea viable, sesión/dispositivo; registrar eventos sin registrar el OTP.</t>
  </si>
  <si>
    <t>M1-V17</t>
  </si>
  <si>
    <t>Recuperación de acceso</t>
  </si>
  <si>
    <t>Usuario inicia recuperación</t>
  </si>
  <si>
    <t>Selecciona “¿Olvidaste tu contraseña?”</t>
  </si>
  <si>
    <t>Abrir Recupera tu acceso.</t>
  </si>
  <si>
    <t>M1-HU-010</t>
  </si>
  <si>
    <t>M1-RN-ACC-019</t>
  </si>
  <si>
    <t>F-08</t>
  </si>
  <si>
    <t>F-08 – Confirmar cuenta con correo – código válido/no válido – iOS: Recuperación de acceso y validación de código.</t>
  </si>
  <si>
    <t>CP-M1-ACC-010</t>
  </si>
  <si>
    <t>Confirmar cuenta con correo electrónico – iOS</t>
  </si>
  <si>
    <t>3470:7010</t>
  </si>
  <si>
    <t>https://www.figma.com/design/v45c4HTKnPnU0XABMa5vjY/Walvi-APP---Edificate-Inteligente?node-id=3470-7010</t>
  </si>
  <si>
    <t>M01-RGL-003</t>
  </si>
  <si>
    <t>M1-V18</t>
  </si>
  <si>
    <t>Usuario tiene acceso al correo</t>
  </si>
  <si>
    <t>Ingresa correo válido</t>
  </si>
  <si>
    <t>Permitir envío de código.</t>
  </si>
  <si>
    <t>CA2-CA3</t>
  </si>
  <si>
    <t>M1-RN-ACC-020</t>
  </si>
  <si>
    <t>Recuperación – envío de código – iOS</t>
  </si>
  <si>
    <t>Precisar la condición y el comportamiento. El OTP se envía cuando el correo corresponde a una cuenta registrada; la respuesta visible del flujo de recuperación no debe confirmar si una cuenta existe o no. Este criterio se complementa con el control M01-SEC-003 de prevención de enumeración.</t>
  </si>
  <si>
    <t>M1-V19</t>
  </si>
  <si>
    <t>Usuario no tiene acceso al correo</t>
  </si>
  <si>
    <t>Usuario indica/no puede utilizar correo registrado</t>
  </si>
  <si>
    <t>Derivar al mecanismo de soporte mostrado en diseño; operación debe confirmarse.</t>
  </si>
  <si>
    <t>M1-HU-032</t>
  </si>
  <si>
    <t>M1-RN-ACC-034</t>
  </si>
  <si>
    <t>Figma 3470:7029</t>
  </si>
  <si>
    <t>Figma – referencia visual en nodo(s): 3470:7029</t>
  </si>
  <si>
    <t>CP-M1-ACC-020</t>
  </si>
  <si>
    <t>Evidencia QA alternativa sin acceso al correo por enlazar</t>
  </si>
  <si>
    <t>3470:7029</t>
  </si>
  <si>
    <t>https://www.figma.com/design/v45c4HTKnPnU0XABMa5vjY/Walvi-APP---Edificate-Inteligente?node-id=3470-7029</t>
  </si>
  <si>
    <t>Figma solamente / validar operación</t>
  </si>
  <si>
    <t>Decisión de Producto cerrada. Ver M1-DP-011. Si el usuario no puede acceder al correo registrado, Walvy lo deriva al canal de soporte definido en Figma (soporte@walvy.cl); el contacto con soporte no acredita identidad ni permite por sí solo cambiar correo, contraseña o acceso. Solo una verificación de identidad satisfactoria conforme al procedimiento de Seguridad/Operaciones habilita la recuperación. Si continúa sin acceso al correo actual, el correo sustituto debe ser distinto y verificarse antes de reemplazar al anterior; si recupera acceso al correo original, debe volver al flujo estándar. Al completar la recuperación deben renovarse credenciales, invalidarse sesiones previas y registrarse/notificarse el evento.</t>
  </si>
  <si>
    <t>PD-M1-03</t>
  </si>
  <si>
    <t>M1-V20</t>
  </si>
  <si>
    <t>Código válido</t>
  </si>
  <si>
    <t>Código de recuperación correcto</t>
  </si>
  <si>
    <t>Permitir crear nueva contraseña.</t>
  </si>
  <si>
    <t>M1-HU-011</t>
  </si>
  <si>
    <t>M1-RN-ACC-021</t>
  </si>
  <si>
    <t>F-08, F-09</t>
  </si>
  <si>
    <t>F-08 – Confirmar cuenta con correo – código válido/no válido – iOS: Recuperación de acceso y validación de código.
F-09 – Nueva contraseña: modal, coincidente y no coincidente – iOS / Android: Reglas para guardar nueva contraseña.</t>
  </si>
  <si>
    <t>CP-M1-ACC-011</t>
  </si>
  <si>
    <t>Código válido recuperación – iOS</t>
  </si>
  <si>
    <t>M1-V21</t>
  </si>
  <si>
    <t>Código inválido</t>
  </si>
  <si>
    <t>Código de recuperación incorrecto</t>
  </si>
  <si>
    <t>Bloquear avance y permitir corregir/reintentar conforme regla.</t>
  </si>
  <si>
    <t>Código no válido recuperación – iOS</t>
  </si>
  <si>
    <t>Confirmado por QA; ciclo pendiente</t>
  </si>
  <si>
    <t>M1-V22</t>
  </si>
  <si>
    <t>Nueva contraseña coincide</t>
  </si>
  <si>
    <t>Nueva contraseña y confirmación son iguales</t>
  </si>
  <si>
    <t>Habilitar guardado y retorno a Login.</t>
  </si>
  <si>
    <t>M1-HU-012</t>
  </si>
  <si>
    <t>M1-RN-ACC-022 / M1-RN-ACC-024</t>
  </si>
  <si>
    <t>F-09</t>
  </si>
  <si>
    <t>F-09 – Nueva contraseña: modal, coincidente y no coincidente – iOS / Android: Reglas para guardar nueva contraseña.</t>
  </si>
  <si>
    <t>CP-M1-ACC-012</t>
  </si>
  <si>
    <t>Nueva contraseña coincidente – Android/iOS</t>
  </si>
  <si>
    <t>3655:2970</t>
  </si>
  <si>
    <t>https://www.figma.com/design/v45c4HTKnPnU0XABMa5vjY/Walvi-APP---Edificate-Inteligente?node-id=3655-2970</t>
  </si>
  <si>
    <t>La coincidencia entre nueva contraseña y confirmación no es condición suficiente. La nueva contraseña debe además cumplir la política vigente antes de habilitar el guardado y retorno a Login.</t>
  </si>
  <si>
    <t>M1-V23</t>
  </si>
  <si>
    <t>Nueva contraseña no coincide</t>
  </si>
  <si>
    <t>Nueva contraseña y confirmación son distintas</t>
  </si>
  <si>
    <t>Mostrar error y mantener guardado deshabilitado.</t>
  </si>
  <si>
    <t>M1-RN-ACC-023</t>
  </si>
  <si>
    <t>Nueva contraseña no coincidente – Android/iOS</t>
  </si>
  <si>
    <t>3655:3058</t>
  </si>
  <si>
    <t>https://www.figma.com/design/v45c4HTKnPnU0XABMa5vjY/Walvi-APP---Edificate-Inteligente?node-id=3655-3058</t>
  </si>
  <si>
    <t>M1-V24</t>
  </si>
  <si>
    <t>Primer ingreso</t>
  </si>
  <si>
    <t>Completar datos</t>
  </si>
  <si>
    <t>Cuenta verificada en primer acceso</t>
  </si>
  <si>
    <t>Permitir completar nombre/apellido/alias según diseño y continuar.</t>
  </si>
  <si>
    <t>M1-HU-008</t>
  </si>
  <si>
    <t>M1-RN-ACC-016 / M1-RN-ACC-017 / M1-RN-ACC-018</t>
  </si>
  <si>
    <t>CP-M1-ACC-008</t>
  </si>
  <si>
    <t>Primer ingreso – Completar datos – Android/iOS</t>
  </si>
  <si>
    <t>3470:7207</t>
  </si>
  <si>
    <t>https://www.figma.com/design/v45c4HTKnPnU0XABMa5vjY/Walvi-APP---Edificate-Inteligente?node-id=3470-7207</t>
  </si>
  <si>
    <t>M1-V25</t>
  </si>
  <si>
    <t>Omitir datos</t>
  </si>
  <si>
    <t>Usuario decide omitir paso permitido</t>
  </si>
  <si>
    <t>Continuar sin completar esos datos, conservando el estado correspondiente.</t>
  </si>
  <si>
    <t>M1-HU-009</t>
  </si>
  <si>
    <t>M1-RN-ACC-016</t>
  </si>
  <si>
    <t>CP-M1-ACC-009</t>
  </si>
  <si>
    <t>Primer ingreso – Omitir y continuar – Android/iOS</t>
  </si>
  <si>
    <t>3470:7228</t>
  </si>
  <si>
    <t>https://www.figma.com/design/v45c4HTKnPnU0XABMa5vjY/Walvi-APP---Edificate-Inteligente?node-id=3470-7228</t>
  </si>
  <si>
    <t>Ajustar al comportamiento cerrado en Figma. La acción disponible es “Guardar y salir”: conserva la información ingresada y sale del flujo. No corresponde describirla como una omisión que continúa directamente al siguiente paso.</t>
  </si>
  <si>
    <t>M01-RGL-007</t>
  </si>
  <si>
    <t>M1-V26</t>
  </si>
  <si>
    <t>Ofrecer biometría</t>
  </si>
  <si>
    <t>Primer ingreso posterior a activación</t>
  </si>
  <si>
    <t>Mostrar opción de activar biometría conforme disponibilidad del dispositivo.</t>
  </si>
  <si>
    <t>M1-HU-033</t>
  </si>
  <si>
    <t>M1-RN-ACC-035</t>
  </si>
  <si>
    <t>Figma 4911:5511</t>
  </si>
  <si>
    <t>Figma – referencia visual en nodo(s): 4911:5511</t>
  </si>
  <si>
    <t>CP-M1-ACC-021</t>
  </si>
  <si>
    <t>Evidencia de enrolamiento biométrico por enlazar</t>
  </si>
  <si>
    <t>4911:5511</t>
  </si>
  <si>
    <t>https://www.figma.com/design/v45c4HTKnPnU0XABMa5vjY/Walvi-APP---Edificate-Inteligente?node-id=4911-5511</t>
  </si>
  <si>
    <t>PD-M1-04</t>
  </si>
  <si>
    <t>M1-V27</t>
  </si>
  <si>
    <t>Onboarding</t>
  </si>
  <si>
    <t>Bienvenida / activación</t>
  </si>
  <si>
    <t>Usuario entra al onboarding</t>
  </si>
  <si>
    <t>Explicar valor y ofrecer CTA dominante “Comenzar”.</t>
  </si>
  <si>
    <t>M1-HU-018</t>
  </si>
  <si>
    <t>M1-RN-ACC-029 / M1-RN-ACC-030 / M1-RN-ONB-001 / M1-RN-ONB-012</t>
  </si>
  <si>
    <t>Consolidación funcional | Funcional | MVP</t>
  </si>
  <si>
    <t>F-07, F-13 | S1/S4 | S1/S2/S4</t>
  </si>
  <si>
    <t>S1 – Walvy_Especificacion_UX_Onboarding_App: Secuencia, pantallas, carga documental, postergación y reactivación.
S4 – Walvy_Rector_Producto_y_Funcionalidades_MVP_v1.0_OLD_20260516: Responsabilidad del onboarding y límites transversales.
S2 – Walvy_Onboarding_Diagnostico_Fase3_Reglas_Contextuales_Suficiencia_Semaforo_CTA_v1_0: Suficiencia, diagnóstico parcial, semáforo, presión principal y CTA.
F-07 – Ingreso primera vez – Completar datos / Omitir y continuar – iOS / Android: Flujo posterior a la activación de cuenta.
F-13 – Walvy_Especificacion_UX_Onboarding_App: Continuidad post autenticación hacia onboarding y primera acción útil.</t>
  </si>
  <si>
    <t>CP-M1-ONB-001</t>
  </si>
  <si>
    <t>Evidencia QA onboarding por enlazar</t>
  </si>
  <si>
    <t>6670:13197</t>
  </si>
  <si>
    <t>https://www.figma.com/design/v45c4HTKnPnU0XABMa5vjY/Walvi-APP---Edificate-Inteligente?node-id=6670-13197</t>
  </si>
  <si>
    <t>Confirmado Doc + Figma</t>
  </si>
  <si>
    <t>M01-RGL-005</t>
  </si>
  <si>
    <t>M1-V28</t>
  </si>
  <si>
    <t>Foco del Mes</t>
  </si>
  <si>
    <t>Foco declarado</t>
  </si>
  <si>
    <t>Usuario selecciona un objetivo</t>
  </si>
  <si>
    <t>Registrar foco como declarado y usarlo como contexto; no debe superar señales críticas.</t>
  </si>
  <si>
    <t>M1-HU-019</t>
  </si>
  <si>
    <t>M1-RN-ONB-019 / M1-RN-ONB-011 / M1-RN-ONB-012</t>
  </si>
  <si>
    <t>Documental / validación Producto | MVP</t>
  </si>
  <si>
    <t>HU M1-HU-019; Fase 3 | S2/S3 | S1/S2/S4</t>
  </si>
  <si>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
M1-HU-019 – Historia de Usuario del onboarding utilizada como respaldo funcional.
Fase 3 – Reglas contextuales de suficiencia, semáforo, presión principal y CTA.</t>
  </si>
  <si>
    <t>CP-M1-ONB-002</t>
  </si>
  <si>
    <t>Evidencia QA Foco del Mes por enlazar</t>
  </si>
  <si>
    <t>6670:13227</t>
  </si>
  <si>
    <t>https://www.figma.com/design/v45c4HTKnPnU0XABMa5vjY/Walvi-APP---Edificate-Inteligente?node-id=6670-13227</t>
  </si>
  <si>
    <t>PD-M1-05</t>
  </si>
  <si>
    <t>M01-RGL-006 / RB-FM-001 / RB-FM-002 / RB-FM-003</t>
  </si>
  <si>
    <t>M1-V29</t>
  </si>
  <si>
    <t>Foco no declarado</t>
  </si>
  <si>
    <t>Usuario continúa sin seleccionar foco</t>
  </si>
  <si>
    <t>Permitir continuar; registrar no declarado y no bloquear carga documental.</t>
  </si>
  <si>
    <t>6670:13290</t>
  </si>
  <si>
    <t>https://www.figma.com/design/v45c4HTKnPnU0XABMa5vjY/Walvi-APP---Edificate-Inteligente?node-id=6670-13290</t>
  </si>
  <si>
    <t>Documentado; representación UI a confirmar</t>
  </si>
  <si>
    <t>Ajustar la continuidad. Si el usuario posterga la selección de foco, debe conservarse el estado pendiente y aplicarse la salida de postergación; no corresponde describir esta acción como avance directo a carga documental.</t>
  </si>
  <si>
    <t>M1-V30</t>
  </si>
  <si>
    <t>Foco inferido/sugerido</t>
  </si>
  <si>
    <t>No existe foco declarado y hay señales de comportamiento</t>
  </si>
  <si>
    <t>Puede registrarse como inferido/sugerido; comunicarlo como aproximación y sujeto a regla de Producto.</t>
  </si>
  <si>
    <t>Documento solamente / UI a validar</t>
  </si>
  <si>
    <t>Decisión de Producto cerrada. Ver M1-DP-002 y AX-M1-002. Cuando no exista Foco del Mes activo y haya una versión válida del Diagnóstico, Walvy puede sugerir un foco usando la lectura consolidada de M04, M06 y M05 con prioridad M04 → M06 → M05. M04 deriva a Bajar deuda; M06 a Evitar atrasos cuando exista riesgo temporal de pago/vencimiento y, en caso contrario, a Ordenar compromisos; M05 a Aumentar margen, Ahorrar un monto o Cumplir presupuesto según la señal dominante y las condiciones ya documentadas. La sugerencia se presenta con CTA primario “Usar este foco”, que la guarda directamente como foco activo, y secundario “Revisar foco”, que lleva a Mi Perfil → Mi foco del mes con la opción sugerida premarcada. Si no se acepta, el foco permanece no declarado y puede recalcularse con una nueva versión válida del Diagnóstico. Una vez aceptado, no se reemplaza automáticamente. Ajuste requerido a Kabeli: actualizar D/E de V30 y complementar M1-RN-ONB-019; usar únicamente el estado “sugerido”.</t>
  </si>
  <si>
    <t>RB-FM-004 / RB-FM-006 / M1-DP-002</t>
  </si>
  <si>
    <t>M1-V31</t>
  </si>
  <si>
    <t>Bajar deuda</t>
  </si>
  <si>
    <t>Usuario selecciona Bajar deuda</t>
  </si>
  <si>
    <t>Guardar objetivo y usarlo como contexto de experiencia sin ocultar señal crítica.</t>
  </si>
  <si>
    <t>M1-RN-ONB-020 / M1-RN-ONB-012</t>
  </si>
  <si>
    <t>Figma + reglas de foco / validar vigencia | MVP</t>
  </si>
  <si>
    <t>Figma 6670:13227 | S1/S2/S4</t>
  </si>
  <si>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
Figma – referencia visual en nodo(s): 6670:13227</t>
  </si>
  <si>
    <t>Evidencia QA catálogo Foco del Mes por enlazar</t>
  </si>
  <si>
    <t>PD-M1-06</t>
  </si>
  <si>
    <t>M01-RGL-006 / RB-FM-001</t>
  </si>
  <si>
    <t>M1-V32</t>
  </si>
  <si>
    <t>Ahorrar un monto</t>
  </si>
  <si>
    <t>Usuario selecciona Ahorrar un monto</t>
  </si>
  <si>
    <t>Guardar objetivo y usarlo como contexto.</t>
  </si>
  <si>
    <t>M1-V33</t>
  </si>
  <si>
    <t>Aumentar margen</t>
  </si>
  <si>
    <t>Usuario selecciona Aumentar margen</t>
  </si>
  <si>
    <t>M1-V34</t>
  </si>
  <si>
    <t>Evitar atrasos</t>
  </si>
  <si>
    <t>Usuario selecciona Evitar atrasos</t>
  </si>
  <si>
    <t>M1-V35</t>
  </si>
  <si>
    <t>Cumplir presupuesto</t>
  </si>
  <si>
    <t>Usuario selecciona Cumplir presupuesto</t>
  </si>
  <si>
    <t>M1-V36</t>
  </si>
  <si>
    <t>Ordenar compromisos</t>
  </si>
  <si>
    <t>Usuario selecciona Ordenar compromisos</t>
  </si>
  <si>
    <t>M1-V37</t>
  </si>
  <si>
    <t>Carga documental</t>
  </si>
  <si>
    <t>Sin documento cargado</t>
  </si>
  <si>
    <t>No existe archivo seleccionado</t>
  </si>
  <si>
    <t>Mostrar estado listo para cargar; CTA cargar cartola/documento.</t>
  </si>
  <si>
    <t>M1-HU-020</t>
  </si>
  <si>
    <t>M1-RN-ONB-002 / M1-RN-ONB-006 / M1-RN-ONB-021</t>
  </si>
  <si>
    <t>MVP | Figma / pendiente validación técnica</t>
  </si>
  <si>
    <t>S1/S2/S3 | S2/S3 | Figma 6670:13168</t>
  </si>
  <si>
    <t>S1 – Walvy_Especificacion_UX_Onboarding_App: Secuencia, pantallas, carga documental, postergación y reactivación.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Figma – referencia visual en nodo(s): 6670:13168</t>
  </si>
  <si>
    <t>CP-M1-ONB-003</t>
  </si>
  <si>
    <t>Evidencia QA carga documental por enlazar</t>
  </si>
  <si>
    <t>6670:13168</t>
  </si>
  <si>
    <t>https://www.figma.com/design/v45c4HTKnPnU0XABMa5vjY/Walvi-APP---Edificate-Inteligente?node-id=6670-13168</t>
  </si>
  <si>
    <t>PD-M1-07</t>
  </si>
  <si>
    <t>M01-RGL-009</t>
  </si>
  <si>
    <t>M1-V38</t>
  </si>
  <si>
    <t>Documento seleccionado / subiendo</t>
  </si>
  <si>
    <t>Usuario selecciona archivo</t>
  </si>
  <si>
    <t>Mostrar progreso de carga y mantener continuidad.</t>
  </si>
  <si>
    <t>M1-RN-ONB-002 / M1-RN-ONB-021</t>
  </si>
  <si>
    <t>S1/S2/S3 | Figma 6670:13168</t>
  </si>
  <si>
    <t>6459:8023</t>
  </si>
  <si>
    <t>https://www.figma.com/design/v45c4HTKnPnU0XABMa5vjY/Walvi-APP---Edificate-Inteligente?node-id=6459-8023</t>
  </si>
  <si>
    <t>M1-V39</t>
  </si>
  <si>
    <t>Documento usable</t>
  </si>
  <si>
    <t>Archivo permite extraer información relevante</t>
  </si>
  <si>
    <t>Continuar a revisión/suficiencia.</t>
  </si>
  <si>
    <t>M1-HU-025</t>
  </si>
  <si>
    <t>M1-RN-ONB-004 / M1-RN-ONB-008</t>
  </si>
  <si>
    <t>MVP</t>
  </si>
  <si>
    <t>S2/S3</t>
  </si>
  <si>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</si>
  <si>
    <t>CP-M1-ONB-011</t>
  </si>
  <si>
    <t>Evidencia QA documento usable/base suficiente por enlazar</t>
  </si>
  <si>
    <t>6672:8252</t>
  </si>
  <si>
    <t>https://www.figma.com/design/v45c4HTKnPnU0XABMa5vjY/Walvi-APP---Edificate-Inteligente?node-id=6672-8252</t>
  </si>
  <si>
    <t>M01-RGL-009 / M01-RGL-012</t>
  </si>
  <si>
    <t>M1-V40</t>
  </si>
  <si>
    <t>Documento no usable/no procesable</t>
  </si>
  <si>
    <t>Archivo no permite extracción relevante o no corresponde</t>
  </si>
  <si>
    <t>No habilitar diagnóstico; pedir subir otro/revisar archivo.</t>
  </si>
  <si>
    <t>M1-HU-022</t>
  </si>
  <si>
    <t>M1-RN-ONB-006 / M1-RN-ONB-007</t>
  </si>
  <si>
    <t>S2/S3 | S1/S2</t>
  </si>
  <si>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t>
  </si>
  <si>
    <t>CP-M1-ONB-007</t>
  </si>
  <si>
    <t>Evidencia QA documento no procesable por enlazar</t>
  </si>
  <si>
    <t>Documentado; pantalla exacta a validar</t>
  </si>
  <si>
    <t>M01-RGL-010</t>
  </si>
  <si>
    <t>M1-V41</t>
  </si>
  <si>
    <t>Documento con contraseña</t>
  </si>
  <si>
    <t>Archivo protegido requiere tratamiento</t>
  </si>
  <si>
    <t>Solicitar contraseña o tratamiento definido en diseño; regla técnica/seguridad debe formalizarse.</t>
  </si>
  <si>
    <t>M1-HU-034</t>
  </si>
  <si>
    <t>M1-RN-ONB-022</t>
  </si>
  <si>
    <t>Figma / pendiente PO-Técnica</t>
  </si>
  <si>
    <t>Figma 6672:7841; 6672:7945; 6672:8098</t>
  </si>
  <si>
    <t>Figma – referencia visual en nodo(s): 6672:7841, 6672:7945, 6672:8098</t>
  </si>
  <si>
    <t>CP-M1-ONB-021</t>
  </si>
  <si>
    <t>Evidencia QA documento protegido por enlazar</t>
  </si>
  <si>
    <t>6672:7841</t>
  </si>
  <si>
    <t>https://www.figma.com/design/v45c4HTKnPnU0XABMa5vjY/Walvi-APP---Edificate-Inteligente?node-id=6672-7841</t>
  </si>
  <si>
    <t>Figma solamente / formalizar regla</t>
  </si>
  <si>
    <t>Decisión de Producto cerrada. Ver M1-DP-003. Baseline Walvy: para un documento protegido asociado al RUT, intentar como máximo tres variantes automáticas, una vez cada una y detenerse al abrir: (1) RUT numérico completo sin dígito verificador, (2) últimos 4 dígitos sin DV y (3) primeros 4 dígitos sin DV. Si ninguna funciona, solicitar contraseña manual. Una contraseña manual incorrecta permite corregir/reintentar o cargar otro documento, sin bloquear la cuenta ni crear un contador propio de Producto para el MVP. Ninguna contraseña automática o manual debe persistirse ni registrarse en logs, analytics, eventos o checkpoints. Kabeli/Seguridad debe validar catálogo, orden, manejo temporal seguro, ausencia de persistencia y comportamiento de error, e informar cualquier restricción que exija modificar este baseline.</t>
  </si>
  <si>
    <t>PD-M1-08</t>
  </si>
  <si>
    <t>M1-DP-003 (baseline funcional/técnico PO; validación Kabeli/Seguridad pendiente)</t>
  </si>
  <si>
    <t>M1-V42</t>
  </si>
  <si>
    <t>Documento desactualizado</t>
  </si>
  <si>
    <t>Dato existe pero no corresponde al período/vigencia</t>
  </si>
  <si>
    <t>Reducir confianza o pedir corrección; no tratar como base suficiente sin regla.</t>
  </si>
  <si>
    <t>M1-RN-ONB-023 / M1-RN-ONB-008</t>
  </si>
  <si>
    <t>Anexo BDD / UI por validar | MVP</t>
  </si>
  <si>
    <t>D2-S3 | S2/S3</t>
  </si>
  <si>
    <t>D2-S3 – Walvy_Onboarding_Diagnostico_Fase3_Anexo_BDD_Reglas_Productivas_v1_0: Datos, enums, eventos, versionamiento, retoma y trazabilidad.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</si>
  <si>
    <t>CP-M1-ONB-022</t>
  </si>
  <si>
    <t>Evidencia QA documento desactualizado por enlazar</t>
  </si>
  <si>
    <t>PD-M1-09</t>
  </si>
  <si>
    <t>M1-V43</t>
  </si>
  <si>
    <t>Documento duplicado</t>
  </si>
  <si>
    <t>Documento ya fue cargado/detectado como duplicado</t>
  </si>
  <si>
    <t>Aplicar tratamiento productivo definido; evitar duplicar información.</t>
  </si>
  <si>
    <t>M1-RN-ONB-024 / M1-RN-ONB-008</t>
  </si>
  <si>
    <t>CP-M1-ONB-023</t>
  </si>
  <si>
    <t>Evidencia QA duplicado por enlazar</t>
  </si>
  <si>
    <t>Documento / validación técnica-producto</t>
  </si>
  <si>
    <t>Decisión de Producto cerrada. Ver M1-DP-004. La deduplicación debe operar por cuenta/usuario mediante una huella de contenido (hash o token equivalente) sin requerir almacenamiento permanente del archivo. Si la misma huella corresponde a un documento procesado correctamente y permanece vigente, no admitir una nueva carga ni reprocesarla; informar que el archivo ya fue cargado y evitar duplicar datos/suficiencia. Si el procesamiento anterior falló por una causa técnica transitoria, permitir retry/reprocesamiento sin tratarlo como duplicado. Si el documento fue determinísticamente no procesable, puede conservarse temporalmente la huella junto con motivo y versión del procesador para evitar reprocesamientos idénticos hasta su expiración o cambio de procesador. Kabeli debe ajustar D/E y M1-RN-ONB-024, manteniendo el archivo como insumo temporal y la metadata mínima necesaria para deduplicación.</t>
  </si>
  <si>
    <t>M1-DP-004</t>
  </si>
  <si>
    <t>M1-V44</t>
  </si>
  <si>
    <t>Procesamiento</t>
  </si>
  <si>
    <t>Procesamiento normal</t>
  </si>
  <si>
    <t>Documento cargado y análisis en curso</t>
  </si>
  <si>
    <t>Mostrar progreso guiado.</t>
  </si>
  <si>
    <t>M1-HU-021</t>
  </si>
  <si>
    <t>M1-RN-ONB-002 / M1-RN-ONB-008</t>
  </si>
  <si>
    <t>S1/S2/S3 | S2/S3</t>
  </si>
  <si>
    <t>S1 – Walvy_Especificacion_UX_Onboarding_App: Secuencia, pantallas, carga documental, postergación y reactivación.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</si>
  <si>
    <t>CP-M1-ONB-004</t>
  </si>
  <si>
    <t>Evidencia QA procesamiento por enlazar</t>
  </si>
  <si>
    <t>6459:8394</t>
  </si>
  <si>
    <t>https://www.figma.com/design/v45c4HTKnPnU0XABMa5vjY/Walvi-APP---Edificate-Inteligente?node-id=6459-8394</t>
  </si>
  <si>
    <t>Completar el comportamiento esperado. Durante el procesamiento debe mostrarse el progreso y permitirse continuar más tarde o salir sin perder los documentos ni el avance, conservando el estado necesario para retomar cuando corresponda.</t>
  </si>
  <si>
    <t>M01-RGL-014 / M01-RGL-008</t>
  </si>
  <si>
    <t>M1-V45</t>
  </si>
  <si>
    <t>Demora suave</t>
  </si>
  <si>
    <t>Análisis supera umbral configurable inicial</t>
  </si>
  <si>
    <t>Mostrar que tarda más de lo esperado y permitir esperar o salir sin perder avance.</t>
  </si>
  <si>
    <t>M1-RN-ONB-013 / M1-RN-ONB-014 / M1-RN-ONB-018</t>
  </si>
  <si>
    <t>Requiere validación técnica | MVP</t>
  </si>
  <si>
    <t>S2/S3 | S1/S2/S3 | S3</t>
  </si>
  <si>
    <t>CP-M1-ONB-006</t>
  </si>
  <si>
    <t>Evidencia QA demora por enlazar</t>
  </si>
  <si>
    <t>6670:13533</t>
  </si>
  <si>
    <t>https://www.figma.com/design/v45c4HTKnPnU0XABMa5vjY/Walvi-APP---Edificate-Inteligente?node-id=6670-13533</t>
  </si>
  <si>
    <t>Doc + Figma / parámetro por validar</t>
  </si>
  <si>
    <t>PD-M1-10</t>
  </si>
  <si>
    <t>M1-V46</t>
  </si>
  <si>
    <t>Demora extendida</t>
  </si>
  <si>
    <t>Análisis supera segundo umbral configurable</t>
  </si>
  <si>
    <t>Ofrecer salida segura: avisarme/volver después/seguir esperando según implementación.</t>
  </si>
  <si>
    <t>M1-V47</t>
  </si>
  <si>
    <t>Procesamiento fallido</t>
  </si>
  <si>
    <t>No se puede procesar documento o dato crítico</t>
  </si>
  <si>
    <t>Pedir nueva carga o completar información clave; registrar fallback/error.</t>
  </si>
  <si>
    <t>M1-HU-021 / M1-HU-022</t>
  </si>
  <si>
    <t>M1-RN-ONB-025 / M1-RN-ONB-006</t>
  </si>
  <si>
    <t>Documental + Figma / validar copy | MVP</t>
  </si>
  <si>
    <t>D2-S1/D2-S2 | S2/S3</t>
  </si>
  <si>
    <t>D2-S1 – Walvy_Especificacion_UX_Onboarding_App: Secuencia, pantallas, carga documental, postergación y reactivación.
D2-S2 – Walvy_Onboarding_Diagnostico_Fase3_Reglas_Contextuales_Suficiencia_Semaforo_CTA_v1_0: Suficiencia, diagnóstico parcial, semáforo, presión principal y CTA.
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t>
  </si>
  <si>
    <t>Evidencia QA fallo de procesamiento por enlazar</t>
  </si>
  <si>
    <t>Decisión de Producto cerrada. Ver M1-DP-005. V47 corresponde exclusivamente a un fallo técnico recuperable/transitorio ocurrido después de admitir el documento y durante el procesamiento/análisis. No debe mezclarse con documento no procesable (V40) ni con insuficiencia de datos (V50/V51). Ante V47 no se genera Diagnóstico; se conservan documentos, selección y checkpoint. CTA primario: Reintentar. CTA secundario: Volver a revisión, desde donde el usuario puede reemplazar o agregar documentación; Continuar más tarde puede mantenerse si la capacidad de retoma está disponible. El nuevo intento debe quedar trazado al job original y no duplicar documentos ni datos. Kabeli debe ajustar D/E y precisar M1-RN-ONB-025 sin crear una nueva RN. Además, en la próxima versión Kabeli debe corregir la asociación documental: V47 debe quedar en M1-HU-021 + M1-RN-ONB-025; M1-HU-022 / M1-RN-ONB-006 corresponden a documento no procesable/insuficiencia y no deben permanecer mezclados.</t>
  </si>
  <si>
    <t>PD-M1-11</t>
  </si>
  <si>
    <t>M01-RGL-014 / M1-DP-005</t>
  </si>
  <si>
    <t>M1-V48</t>
  </si>
  <si>
    <t>Suficiencia</t>
  </si>
  <si>
    <t>Base suficiente</t>
  </si>
  <si>
    <t>Documento usable + ingreso y movimientos detectados/confirmados + compromisos o recurrentes + confianza suficiente</t>
  </si>
  <si>
    <t>Permitir diagnóstico completo; CTA Comenzar diagnóstico.</t>
  </si>
  <si>
    <t>M1-RN-ONB-004 / M1-RN-ONB-009 / M1-RN-ONB-011 / M1-RN-ONB-012 / M1-RN-ONB-016</t>
  </si>
  <si>
    <t>S2/S3 | S1/S2/S4 | S1/S2</t>
  </si>
  <si>
    <t>S2 – Walvy_Onboarding_Diagnostico_Fase3_Reglas_Contextuales_Suficiencia_Semaforo_CTA_v1_0: Suficiencia, diagnóstico parcial, semáforo, presión principal y CTA.
S3 – Walvy_Onboarding_Diagnostico_Fase3_Anexo_BDD_Reglas_Productivas_v1_0: Datos, enums, eventos, versionamiento, retoma y trazabilidad.
S1 – Walvy_Especificacion_UX_Onboarding_App: Secuencia, pantallas, carga documental, postergación y reactivación.
S4 – Walvy_Rector_Producto_y_Funcionalidades_MVP_v1.0_OLD_20260516: Responsabilidad del onboarding y límites transversales.</t>
  </si>
  <si>
    <t>Evidencia QA diagnóstico completo por enlazar</t>
  </si>
  <si>
    <t>6670:13387</t>
  </si>
  <si>
    <t>https://www.figma.com/design/v45c4HTKnPnU0XABMa5vjY/Walvi-APP---Edificate-Inteligente?node-id=6670-13387</t>
  </si>
  <si>
    <t>Corrección de trazabilidad: V48 representa revisión/suficiencia previa al Diagnóstico, no cierre del onboarding. En la próxima versión Kabeli debe retirar de V48 las asociaciones de diagnóstico/cierre (HU-025; RN-ONB-009/011/012/016 según corresponda) y alinearla con revisión/suficiencia (HU-024; M01-RGL-011/012/013). D/E se mantienen.</t>
  </si>
  <si>
    <t>M01-RGL-011 / M01-RGL-012 / M01-RGL-013 / M1-DP-009</t>
  </si>
  <si>
    <t>M1-V49</t>
  </si>
  <si>
    <t>Datos por confirmar no bloqueantes</t>
  </si>
  <si>
    <t>Base documental usable y faltantes puntuales que no cambian lectura central</t>
  </si>
  <si>
    <t>Permitir diagnóstico parcial con advertencia; CTA principal completar y secundario comenzar con esta base cuando corresponda.</t>
  </si>
  <si>
    <t>M1-HU-026</t>
  </si>
  <si>
    <t>M1-RN-ONB-005 / M1-RN-ONB-008</t>
  </si>
  <si>
    <t>MVP condicionado | MVP</t>
  </si>
  <si>
    <t>CP-M1-ONB-012</t>
  </si>
  <si>
    <t>Evidencia QA diagnóstico parcial por enlazar</t>
  </si>
  <si>
    <t>6459:8169</t>
  </si>
  <si>
    <t>https://www.figma.com/design/v45c4HTKnPnU0XABMa5vjY/Walvi-APP---Edificate-Inteligente?node-id=6459-8169</t>
  </si>
  <si>
    <t>M1-V50</t>
  </si>
  <si>
    <t>Datos por confirmar críticos</t>
  </si>
  <si>
    <t>Dato pendiente puede cambiar diagnóstico central</t>
  </si>
  <si>
    <t>Bloquear diagnóstico parcial hasta confirmar/completar.</t>
  </si>
  <si>
    <t>M1-HU-027 / M1-HU-023</t>
  </si>
  <si>
    <t>M1-RN-ONB-006 / M1-RN-ONB-007 / M1-RN-ONB-010</t>
  </si>
  <si>
    <t>CP-M1-ONB-014</t>
  </si>
  <si>
    <t>Evidencia QA bloqueo/suficiencia por enlazar</t>
  </si>
  <si>
    <t>Decisión de Producto cerrada. Ver M1-DP-008 y AX-M1-003. M01-RGL-012 permanece como único gate de suficiencia. Cada indicador conserva detection_status, data_origin, confidence y evidence, pero debe normalizarse primero a sufficient, pending o missing; el gate evalúa luego disponibilidad mínima y criticidad funcional. Falta elemento mínimo obligatorio → blocked; base mínima + pendiente crítico → partial bloqueado; base mínima + solo pendientes no críticos → partial permitido; sin pendientes relevantes → complete. Fronteras documentadas: movimientos recientes pendientes bloquean; pagos recurrentes pendientes pueden permitir parcial cuando ingreso, movimientos y compromisos están suficientemente establecidos; ausencia de instrumentos de pago no bloquea por sí sola. No extrapolar combinaciones no cubiertas por reglas/fixtures. Kabeli debe sustituir la condición subjetiva actual y hacer que E responda al output determinista del gate.</t>
  </si>
  <si>
    <t>PD-M1-13</t>
  </si>
  <si>
    <t>M01-RGL-011 / M01-RGL-012 / M01-RGL-013 / M1-DP-008 / M1-DP-009</t>
  </si>
  <si>
    <t>M1-V51</t>
  </si>
  <si>
    <t>Datos clave insuficientes</t>
  </si>
  <si>
    <t>Falta documento usable, ingreso, movimientos o base mínima de compromisos/pagos</t>
  </si>
  <si>
    <t>Bloquear diagnóstico; solicitar completar/cargar más información.</t>
  </si>
  <si>
    <t>6459:8282</t>
  </si>
  <si>
    <t>https://www.figma.com/design/v45c4HTKnPnU0XABMa5vjY/Walvi-APP---Edificate-Inteligente?node-id=6459-8282</t>
  </si>
  <si>
    <t>M1-V52</t>
  </si>
  <si>
    <t>Sin base documental</t>
  </si>
  <si>
    <t>No hay documentos o se intenta omitir carga inicial</t>
  </si>
  <si>
    <t>No habilitar diagnóstico ni ruta manual sustitutiva; CTA cargar documentos.</t>
  </si>
  <si>
    <t>Documentado / UI a validar</t>
  </si>
  <si>
    <t>Reutilizar el mismo patrón visual rojo/bloqueante de suficiencia para Sin base documental. Copy: título “Falta información para tu diagnóstico”; bajada “Carga tus documentos para completar la información de tu mes.”; CTA “Cargar documentos”. No habilitar diagnóstico mientras no exista base documental usable.</t>
  </si>
  <si>
    <t>M01-RGL-012 / M1-DP-009</t>
  </si>
  <si>
    <t>M1-V53</t>
  </si>
  <si>
    <t>Diagnóstico</t>
  </si>
  <si>
    <t>En control</t>
  </si>
  <si>
    <t>Base suficiente, sin presión principal crítica</t>
  </si>
  <si>
    <t>Mostrar lectura favorable y una acción dominante.</t>
  </si>
  <si>
    <t>M1-RN-ONB-009 / M1-RN-ONB-011 / M1-RN-ONB-012</t>
  </si>
  <si>
    <t>S2/S3 | S1/S2/S4</t>
  </si>
  <si>
    <t>Evidencia QA semáforo En control por enlazar</t>
  </si>
  <si>
    <t>6670:13628</t>
  </si>
  <si>
    <t>https://www.figma.com/design/v45c4HTKnPnU0XABMa5vjY/Walvi-APP---Edificate-Inteligente?node-id=6670-13628</t>
  </si>
  <si>
    <t>Decisión de Producto cerrada. Ver M1-DP-006 y AX-M1-004. V53 aplica cuando M01-RGL-012 habilita Diagnóstico, no existe mora_confirmada y el ratio canónico del snapshot mensual (egreso mensual proyectado / ingreso mensual reconocido) es &lt; 0,90. Mostrar En control; la presión y CTA se seleccionan posteriormente mediante M01-RGL-015 y no cambian el color por sí solas. Kabeli debe ajustar D/E y M1-RN-ONB-009 para reflejar la regla canónica y su versionamiento.</t>
  </si>
  <si>
    <t>PD-M1-12</t>
  </si>
  <si>
    <t>M01-RGL-012 / M01-RGL-015 / M01-RGL-016 / M1-DP-006</t>
  </si>
  <si>
    <t>M1-V54</t>
  </si>
  <si>
    <t>Atención</t>
  </si>
  <si>
    <t>Base usable con datos por confirmar, movimientos pendientes, fugas/recurrentes o margen ajustado</t>
  </si>
  <si>
    <t>Mostrar atención con presión principal y CTA dominante adecuado.</t>
  </si>
  <si>
    <t>M1-HU-025 / M1-HU-028</t>
  </si>
  <si>
    <t>CP-M1-ONB-015</t>
  </si>
  <si>
    <t>Evidencia QA semáforo/presión por enlazar</t>
  </si>
  <si>
    <t>6670:13717</t>
  </si>
  <si>
    <t>https://www.figma.com/design/v45c4HTKnPnU0XABMa5vjY/Walvi-APP---Edificate-Inteligente?node-id=6670-13717</t>
  </si>
  <si>
    <t>Decisión de Producto cerrada. Ver M1-DP-006 y AX-M1-004. V54 aplica cuando M01-RGL-012 habilita Diagnóstico, no existe mora_confirmada y 0,90 &lt;= ratio canónico del snapshot mensual &lt; 1,00. Datos por confirmar, movimientos pendientes, fugas o compromisos no generan Atención por sí solos: la calidad/completitud pertenece al gate de suficiencia y las señales económicas explican presión/CTA después de determinar el estado. Un diagnóstico parcial permitido puede, por ejemplo, seguir mostrando En control si el ratio está bajo el umbral. Kabeli debe ajustar D/E, M1-RN-ONB-009 y los fixtures que hoy coloreen Atención directamente desde señales.</t>
  </si>
  <si>
    <t>M1-V55</t>
  </si>
  <si>
    <t>Riesgo</t>
  </si>
  <si>
    <t>Base usable con señales fuertes de sobrecarga/compromisos que presionan</t>
  </si>
  <si>
    <t>Mostrar riesgo con acción prioritaria serena y trazable.</t>
  </si>
  <si>
    <t>6670:13805</t>
  </si>
  <si>
    <t>https://www.figma.com/design/v45c4HTKnPnU0XABMa5vjY/Walvi-APP---Edificate-Inteligente?node-id=6670-13805</t>
  </si>
  <si>
    <t>Decisión de Producto cerrada. Ver M1-DP-006 y AX-M1-004. V55 aplica cuando M01-RGL-012 habilita Diagnóstico y el ratio canónico del snapshot mensual es &gt;= 1,00, o cuando existe el único override determinista de Riesgo aprobado para el MVP: mora_confirmada = obligación vencida + saldo pendiente + evidencia suficiente. Otras señales no cambian directamente el color; alimentan ratio, presión o CTA. Riesgo no activa automáticamente M04: Ruta Despeje mantiene sus propios criterios de deuda confirmada, suficiencia y presión. Kabeli debe ajustar D/E, M1-RN-ONB-009 y alinear M01-RGL-015 para que opere después del estado.</t>
  </si>
  <si>
    <t>M1-V56</t>
  </si>
  <si>
    <t>Sin diagnóstico</t>
  </si>
  <si>
    <t>No existe base suficiente para lectura confiable</t>
  </si>
  <si>
    <t>No usar rojo por falta de información; mostrar bloqueo/completitud.</t>
  </si>
  <si>
    <t>M1-HU-027</t>
  </si>
  <si>
    <t>M1-RN-ONB-009 / M1-RN-ONB-010</t>
  </si>
  <si>
    <t>Evidencia QA Sin diagnóstico por enlazar</t>
  </si>
  <si>
    <t>Sin diagnóstico se resuelve mediante los gates de suficiencia previos al diagnóstico y no requiere una cuarta tarjeta equivalente a En control / Atención / Riesgo. Cuando no existe información suficiente para una lectura confiable, Walvy bloquea el diagnóstico, explica qué información falta y permite completar la base necesaria. No usar Riesgo/rojo como sustituto de falta de información.</t>
  </si>
  <si>
    <t>M01-RGL-012 / M01-RGL-015 / M1-DP-007</t>
  </si>
  <si>
    <t>M1-V57</t>
  </si>
  <si>
    <t>Una presión principal / un CTA dominante</t>
  </si>
  <si>
    <t>Evaluación detecta múltiples señales</t>
  </si>
  <si>
    <t>Seleccionar una presión principal única y una acción dominante; el resto queda secundario.</t>
  </si>
  <si>
    <t>M1-HU-028</t>
  </si>
  <si>
    <t>M1-RN-ONB-011 / M1-RN-ONB-012</t>
  </si>
  <si>
    <t>Evidencia QA múltiples señales por enlazar</t>
  </si>
  <si>
    <t>Regla documental transversal</t>
  </si>
  <si>
    <t>Mantener una única presión principal y un CTA dominante; las demás señales quedan como información secundaria. La presión y el CTA explican y orientan la acción sobre el estado financiero, pero no reemplazan la regla canónica que determina En control / Atención / Riesgo.</t>
  </si>
  <si>
    <t>M01-RGL-015 / M01-RGL-016</t>
  </si>
  <si>
    <t>M1-V58</t>
  </si>
  <si>
    <t>Retoma</t>
  </si>
  <si>
    <t>Pausa antes de carga</t>
  </si>
  <si>
    <t>Usuario posterga en bienvenida/foco</t>
  </si>
  <si>
    <t>Conservar estado aplicable y retomar desde punto de mayor valor pendiente.</t>
  </si>
  <si>
    <t>M1-HU-029</t>
  </si>
  <si>
    <t>CA1-CA2</t>
  </si>
  <si>
    <t>M1-RN-ONB-014</t>
  </si>
  <si>
    <t>S1/S2/S3</t>
  </si>
  <si>
    <t>CP-M1-ONB-016</t>
  </si>
  <si>
    <t>Evidencia QA pausa/retoma por enlazar</t>
  </si>
  <si>
    <t>Documentado / UI parcial</t>
  </si>
  <si>
    <t>Permitir postergar antes de la carga conservando el checkpoint alcanzado y retomar desde el punto de mayor valor pendiente, sin generar una primera lectura concluyente mientras no se complete la base requerida.</t>
  </si>
  <si>
    <t>M01-RGL-007 / M01-RGL-008 / M1-DP-009</t>
  </si>
  <si>
    <t>M1-V59</t>
  </si>
  <si>
    <t>Pausa después de carga parcial</t>
  </si>
  <si>
    <t>Usuario sale con carga procesada o parcial</t>
  </si>
  <si>
    <t>Conservar evidencia ya cargada; no reiniciar desde cero.</t>
  </si>
  <si>
    <t>Documentado</t>
  </si>
  <si>
    <t>Conservar documentos/evidencia y avance ya obtenido al salir después de una carga parcial o procesada. La retoma debe continuar desde el checkpoint correspondiente sin reiniciar el onboarding ni duplicar documentos o jobs.</t>
  </si>
  <si>
    <t>M01-RGL-008 / M01-RGL-014 / M1-DP-009</t>
  </si>
  <si>
    <t>M1-V60</t>
  </si>
  <si>
    <t>Salida durante análisis</t>
  </si>
  <si>
    <t>Usuario sale mientras procesamiento continúa</t>
  </si>
  <si>
    <t>Permitir salir sin perder avance y retomar análisis o resultado.</t>
  </si>
  <si>
    <t>M1-HU-021 / M1-HU-029</t>
  </si>
  <si>
    <t>CA2 / CA1-CA2</t>
  </si>
  <si>
    <t>M1-RN-ONB-013 / M1-RN-ONB-014</t>
  </si>
  <si>
    <t>S2/S3 | S1/S2/S3</t>
  </si>
  <si>
    <t>CP-M1-ONB-005 / CP-M1-ONB-016</t>
  </si>
  <si>
    <t>Evidencia QA salida durante análisis por enlazar</t>
  </si>
  <si>
    <t>Confirmado regla; UI parcial</t>
  </si>
  <si>
    <t>Permitir salir durante el análisis sin perder documentos, job ni progreso. Al retomar, recuperar el análisis en curso o el resultado disponible según el estado alcanzado, evitando reprocesamiento o duplicación.</t>
  </si>
  <si>
    <t>WALVY | M1 – Historias de Usuario y Criterios de Aceptación</t>
  </si>
  <si>
    <t>ID</t>
  </si>
  <si>
    <t>Historia</t>
  </si>
  <si>
    <t>Redacción</t>
  </si>
  <si>
    <t>Criterios de aceptación</t>
  </si>
  <si>
    <t>Visualizar la pantalla de acceso</t>
  </si>
  <si>
    <t>Como usuario, quiero visualizar la pantalla de Login para conocer las opciones disponibles de acceso.</t>
  </si>
  <si>
    <t>CA1. La pantalla de Login muestra logo, mensaje de bienvenida, correo electrónico, contraseña, control para mostrar u ocultar la contraseña y botón Entrar.
CA2. Desde Login se visualizan las opciones Crear mi cuenta y ¿Olvidaste tu contraseña?.
CA3. Los elementos y enlaces visibles permiten navegar a los flujos definidos.</t>
  </si>
  <si>
    <t>M1-HU-002</t>
  </si>
  <si>
    <t>Controlar habilitación de Entrar</t>
  </si>
  <si>
    <t>Como usuario, quiero que el botón Entrar se habilite solo cuando complete los datos necesarios.</t>
  </si>
  <si>
    <t>CA1. Con correo o contraseña vacíos, el botón Entrar permanece deshabilitado.
CA2. Al completar los datos requeridos, el usuario puede ejecutar el intento de acceso.
CA3. La habilitación del botón no reemplaza la validación posterior de credenciales.</t>
  </si>
  <si>
    <t>Iniciar sesión</t>
  </si>
  <si>
    <t>Como usuario registrado, quiero ingresar con correo y contraseña para acceder a Walvy.</t>
  </si>
  <si>
    <t>CA1. Dadas credenciales válidas, al seleccionar Entrar el sistema autentica al usuario.
CA2. El resultado esperado de un login exitoso es el acceso al Home.
CA3. La contraseña puede mantenerse oculta o mostrarse mediante el control disponible.</t>
  </si>
  <si>
    <t>Navegar a registro o recuperación</t>
  </si>
  <si>
    <t>Como usuario, quiero acceder desde Login a crear una cuenta o recuperar mi contraseña.</t>
  </si>
  <si>
    <t>CA1. Crear mi cuenta abre la vista de registro.
CA2. ¿Olvidaste tu contraseña? abre el flujo Recupera tu acceso.
CA3. Las pantallas asociadas permiten retornar al Login cuando corresponde.</t>
  </si>
  <si>
    <t>Crear cuenta</t>
  </si>
  <si>
    <t>Como usuario nuevo, quiero registrar mis datos para crear una cuenta Walvy.</t>
  </si>
  <si>
    <t>CA1. El formulario solicita correo, confirmación de correo, RUT y contraseña.
CA2. Los correos deben coincidir, el RUT debe ser válido según la regla técnica y la contraseña debe cumplir los requisitos visibles.
CA3. Con datos válidos y las aceptaciones requeridas, el flujo permite enviar la creación de cuenta y avanzar a verificación.</t>
  </si>
  <si>
    <t>Aceptar documentos legales</t>
  </si>
  <si>
    <t>Como usuario nuevo, quiero revisar y aceptar Términos y Condiciones y Política de Privacidad antes de crear mi cuenta.</t>
  </si>
  <si>
    <t>CA1. Se muestran Términos y Condiciones y Política de Privacidad con sus controles de aceptación.
CA2. Los textos legales están disponibles mediante enlaces.
CA3. La creación de cuenta permanece condicionada a las aceptaciones obligatorias.</t>
  </si>
  <si>
    <t>Verificar la cuenta</t>
  </si>
  <si>
    <t>Como usuario nuevo, quiero ingresar el código recibido para activar mi cuenta.</t>
  </si>
  <si>
    <t>CA1. Después de crear la cuenta se presenta una vista de ingreso de código con campos inicialmente vacíos.
CA2. Un código válido permite verificar la cuenta y continuar al primer ingreso.
CA3. Un código incorrecto no confirma la cuenta y mantiene al usuario en el flujo de verificación.</t>
  </si>
  <si>
    <t>Completar datos del primer ingreso</t>
  </si>
  <si>
    <t>Como usuario recién verificado, quiero completar nombre, apellido y alias para continuar.</t>
  </si>
  <si>
    <t>CA1. El primer ingreso permite completar nombre, apellido y alias.
CA2. Al completar datos válidos se habilita Guardar y continuar.
CA3. El resultado esperado es la continuidad hacia Onboarding Welcome.</t>
  </si>
  <si>
    <t>Omitir información de primer ingreso</t>
  </si>
  <si>
    <t>Como usuario recién verificado, quiero omitir la completitud inicial y continuar sin perder el avance.</t>
  </si>
  <si>
    <t>CA1. El primer ingreso presenta la opción Omitir y continuar.
CA2. Al utilizarla, el usuario avanza a la siguiente vista definida por el flujo.
CA3. La omisión no debe borrar el estado ya alcanzado en la activación de la cuenta.</t>
  </si>
  <si>
    <t>Solicitar recuperación de acceso</t>
  </si>
  <si>
    <t>Como usuario que olvidó su contraseña, quiero solicitar un código usando mi correo.</t>
  </si>
  <si>
    <t>CA1. La recuperación se inicia desde ¿Olvidaste tu contraseña? y solicita correo electrónico.
CA2. Al ingresar el correo se habilita Enviar código.
CA3. Después del envío se presenta la vista para ingresar y validar el código.</t>
  </si>
  <si>
    <t>Validar código de recuperación</t>
  </si>
  <si>
    <t>Como usuario, quiero validar el código recibido para poder crear una nueva contraseña.</t>
  </si>
  <si>
    <t>CA1. Un código válido muestra confirmación y habilita Crear nueva contraseña.
CA2. Un código inválido no permite avanzar al cambio de contraseña.
CA3. El usuario permanece dentro del flujo de recuperación hasta validar correctamente o volver al Login.</t>
  </si>
  <si>
    <t>Crear nueva contraseña</t>
  </si>
  <si>
    <t>Como usuario verificado, quiero registrar y confirmar una nueva contraseña.</t>
  </si>
  <si>
    <t>CA1. La vista solicita una nueva contraseña y su confirmación, mostrando los requisitos aplicables.
CA2. Si las contraseñas no coinciden, se muestra error y Guardar contraseña permanece deshabilitado.
CA3. Si coinciden y cumplen los requisitos, se habilita Guardar, se actualiza la contraseña y se retorna al Login.</t>
  </si>
  <si>
    <t>Reingresar con usuario guardado</t>
  </si>
  <si>
    <t>Como usuario recurrente, quiero que Walvy reconozca mi usuario para facilitar el acceso.</t>
  </si>
  <si>
    <t>CA1. La aplicación puede reconocer y mostrar un usuario previamente guardado.
CA2. La vista ofrece acciones para entrar, cambiar usuario o ingresar con clave.
CA3. El usuario conserva una alternativa de acceso tradicional.</t>
  </si>
  <si>
    <t>Acceder mediante biometría</t>
  </si>
  <si>
    <t>Como usuario con biometría activa, quiero autenticarme sin escribir la contraseña.</t>
  </si>
  <si>
    <t>CA1. La opción biométrica se presenta cuando existe usuario guardado y biometría activa.
CA2. Una validación biométrica exitosa permite acceder al Home.
CA3. El resultado queda sujeto a las capacidades y permisos del dispositivo.</t>
  </si>
  <si>
    <t>Usar fallback de biometría</t>
  </si>
  <si>
    <t>Como usuario, quiero volver a las credenciales cuando la biometría falle.</t>
  </si>
  <si>
    <t>CA1. Los intentos biométricos fallidos no conceden acceso.
CA2. Después de tres intentos fallidos, la aplicación presenta el acceso mediante credenciales.
CA3. El fallback permite continuar sin quedar bloqueado en la biometría.</t>
  </si>
  <si>
    <t>M1-HU-016</t>
  </si>
  <si>
    <t>Conservar el estado al minimizar</t>
  </si>
  <si>
    <t>Como usuario, quiero que el ingreso no se reinicie al minimizar la aplicación.</t>
  </si>
  <si>
    <t>CA1. Al minimizar la aplicación durante el ingreso, el sistema conserva el estado esperado del flujo.
CA2. Al retomar, la aplicación no reinicia indebidamente la navegación o los datos ya ingresados.
CA3. La persistencia debe validarse en los puntos cubiertos por las evidencias de QA.</t>
  </si>
  <si>
    <t>M1-HU-017</t>
  </si>
  <si>
    <t>Continuar al onboarding</t>
  </si>
  <si>
    <t>Como usuario autenticado por primera vez, quiero comenzar el onboarding para recibir el valor inicial de Walvy.</t>
  </si>
  <si>
    <t>CA1. Después de la activación o primer ingreso se muestra Onboarding Welcome.
CA2. El usuario puede continuar desde esa vista al onboarding y diagnóstico inicial.
CA3. El onboarding es continuidad posterior y no reemplaza los flujos de acceso, registro o recuperación.</t>
  </si>
  <si>
    <t>Iniciar el onboarding</t>
  </si>
  <si>
    <t>Como usuario que ingresa por primera vez, quiero comprender qué valor obtendré al completar el onboarding, para decidir comenzar sin sentir que debo reconstruir toda mi vida financiera.</t>
  </si>
  <si>
    <t>CA1. Dado que no tengo onboarding iniciado, cuando abro el flujo, entonces veo una bienvenida centrada en el beneficio y un CTA dominante “Comenzar”.
CA2. La pantalla no presenta un tour de menús, listado extenso de funciones ni lenguaje bancario o punitivo.
CA3. Si postergo, el flujo queda pendiente sin marcarse como fallido.</t>
  </si>
  <si>
    <t>Declarar un Foco del Mes</t>
  </si>
  <si>
    <t>Como usuario, quiero declarar o mantener un foco mensual, para que Walvy personalice la retoma y la priorización secundaria de acciones.</t>
  </si>
  <si>
    <t>CA1. El foco puede registrarse como declarado, no declarado o inferido, según lo permitido por producto.
CA2. La falta de foco no bloquea la carga documental.
CA3. Una señal crítica posterior puede prevalecer sobre el foco.</t>
  </si>
  <si>
    <t>Cargar documentación</t>
  </si>
  <si>
    <t>Como usuario, quiero cargar una cartola, estado de cuenta o movimientos recientes, para que Walvy construya una lectura inicial con una fuente de mayor confianza.</t>
  </si>
  <si>
    <t>CA1. Antes de cargar, se explica qué documentos sirven y qué valor se desbloquea.
CA2. La aplicación permite seleccionar y procesar uno o más documentos soportados.
CA3. No se ofrece captura manual exhaustiva como ruta sustitutiva.</t>
  </si>
  <si>
    <t>Conocer el estado de procesamiento</t>
  </si>
  <si>
    <t>Como usuario, quiero saber si mi documento está subiendo, procesándose, demorado o falló, para entender qué ocurre y actuar sin perder avance.</t>
  </si>
  <si>
    <t>CA1. Se contemplan estados listo, subiendo, procesando, demora suave, demora prolongada, completado y fallido.
CA2. Si el procesamiento demora, puedo salir sin perder avance.
CA3. Los umbrales de demora deben ser configurables y trazables.</t>
  </si>
  <si>
    <t>Recibir tratamiento de documento no usable</t>
  </si>
  <si>
    <t>Como usuario, quiero recibir una explicación cuando un documento no pueda utilizarse, para corregirlo o cargar otro.</t>
  </si>
  <si>
    <t>CA1. Un documento no procesable no habilita diagnóstico.
CA2. La acción dominante permite revisar el archivo o subir otro.
CA3. El motivo de rechazo queda registrado.</t>
  </si>
  <si>
    <t>M1-HU-023</t>
  </si>
  <si>
    <t>Completar evidencia insuficiente</t>
  </si>
  <si>
    <t>Como usuario que ya realizó una carga útil pero insuficiente, quiero saber qué falta, para aportar más evidencia sin sentir que el avance se perdió.</t>
  </si>
  <si>
    <t>CA1. La carga insuficiente se comunica como avance, no como error.
CA2. No se habilita diagnóstico si faltan datos críticos.
CA3. El CTA dominante solicita cargar más información o completar el dato clave permitido.</t>
  </si>
  <si>
    <t>M1-HU-024</t>
  </si>
  <si>
    <t>Revisar el perfil detectado</t>
  </si>
  <si>
    <t>Como usuario, quiero revisar y confirmar los indicadores que Walvy detectó, para corregir lo mínimo antes del diagnóstico.</t>
  </si>
  <si>
    <t>CA1. La revisión resume ingreso, compromisos, recurrencias, movimientos e instrumentos disponibles.
CA2. Se permite confirmar o corregir datos puntuales sin convertir la pantalla en formulario largo.
CA3. Los datos manuales/asistidos quedan con menor confianza y origen trazable.</t>
  </si>
  <si>
    <t>Obtener diagnóstico completo</t>
  </si>
  <si>
    <t>Como usuario con base suficiente, quiero ver una lectura inicial confiable del mes, para saber qué está ocurriendo y cuál es mi próxima acción.</t>
  </si>
  <si>
    <t>CA1. Existe documento usable, ingreso y movimientos detectados/confirmados y al menos compromisos o pagos recurrentes disponibles.
CA2. El diagnóstico se marca como completo y conserva su nivel de confianza.
CA3. Se muestran semáforo, presión principal, señales y CTA dominante.</t>
  </si>
  <si>
    <t>Obtener diagnóstico parcial controlado</t>
  </si>
  <si>
    <t>Como usuario con datos por confirmar no bloqueantes, quiero avanzar con una lectura parcial, para obtener valor mientras mejoro la precisión.</t>
  </si>
  <si>
    <t>CA1. Solo se habilita con base documental usable y no más de un indicador crítico faltante no bloqueante.
CA2. La pantalla informa que la precisión es menor y mantiene una acción para mejorar los datos.
CA3. No se presentan inferencias como certeza.</t>
  </si>
  <si>
    <t>Bloquear diagnóstico por datos críticos</t>
  </si>
  <si>
    <t>Como usuario sin base suficiente, quiero que Walvy evite conclusiones débiles, para no recibir una lectura engañosa.</t>
  </si>
  <si>
    <t>CA1. Si falta documento usable, ingreso, movimientos o base mínima de compromisos/pagos, el diagnóstico queda bloqueado.
CA2. El semáforo debe ser “Sin diagnóstico”, no rojo por falta de datos.
CA3. Se muestra una acción concreta para completar, corregir o cargar información.</t>
  </si>
  <si>
    <t>Ver una presión principal y acción dominante</t>
  </si>
  <si>
    <t>Como usuario, quiero que el diagnóstico destaque una sola presión principal y una sola acción, para entender qué conviene atender primero.</t>
  </si>
  <si>
    <t>CA1. Cada evaluación tiene un único dominant_pressure_code.
CA2. Los CTAs secundarios tienen menor peso visual.
CA3. La explicación indica qué pasa, por qué importa y qué conviene hacer ahora.</t>
  </si>
  <si>
    <t>Pausar y retomar</t>
  </si>
  <si>
    <t>Como usuario, quiero pausar el onboarding y retomarlo desde el punto pendiente, para continuar sin repetir pasos ya completados.</t>
  </si>
  <si>
    <t>CA1. Se guarda la última puerta completada y la siguiente mejor acción.
CA2. Al retomar, se omiten pasos ya resueltos.
CA3. Cuando el diagnóstico ya fue mostrado, el onboarding se considera cumplido.</t>
  </si>
  <si>
    <t>Gestionar intento de acceso inválido</t>
  </si>
  <si>
    <t>Como usuario que ingresa credenciales no válidas, quiero recibir un tratamiento de error claro sin acceder a la aplicación, para poder corregir el intento de acceso.</t>
  </si>
  <si>
    <t>CA1. Credenciales inválidas no permiten acceder al Home.
CA2. El usuario permanece en el flujo de Login y recibe el mensaje definido por Producto/Seguridad.
CA3. La cantidad de intentos, bloqueo temporal y mensajes de seguridad quedan sujetos a definición formal de Producto/Seguridad.</t>
  </si>
  <si>
    <t>Gestionar vencimiento y reenvío del código de verificación</t>
  </si>
  <si>
    <t>Como usuario que está verificando su cuenta, quiero saber cuándo puedo solicitar un nuevo código, para completar la activación si el código anterior ya no puede utilizarse.</t>
  </si>
  <si>
    <t>CA1. Figma contempla un estado de temporizador finalizado y una acción de reenvío.
CA2. El reenvío no debe confirmar la cuenta por sí mismo; el nuevo código debe validarse antes de continuar.
CA3. La vigencia exacta, número de reenvíos e intentos máximos requieren aprobación de Producto/Seguridad.</t>
  </si>
  <si>
    <t>Recuperar acceso cuando no se dispone del correo</t>
  </si>
  <si>
    <t>Como usuario que no tiene acceso al correo registrado, quiero disponer de una alternativa de soporte, para saber cómo continuar con la recuperación de mi cuenta.</t>
  </si>
  <si>
    <t>CA1. Figma contempla una variante en la que el usuario declara no tener acceso al correo.
CA2. El flujo debe derivar a la alternativa de soporte aprobada y no saltarse la verificación de identidad.
CA3. El canal, validaciones y condiciones de recuperación deben ser confirmados por Producto/Seguridad.</t>
  </si>
  <si>
    <t>Configurar biometría en el primer ingreso</t>
  </si>
  <si>
    <t>Como usuario recién activado, quiero poder habilitar biometría o postergarla, para definir cómo accederé posteriormente a Walvy.</t>
  </si>
  <si>
    <t>CA1. Figma muestra la opción de activar reconocimiento facial o huella cuando el dispositivo lo permita.
CA2. El usuario puede continuar sin activarla y configurarla después.
CA3. El enrolamiento efectivo queda sujeto a permisos y capacidades del dispositivo y a la política de Seguridad.</t>
  </si>
  <si>
    <t>Gestionar documentos con restricciones o duplicidad</t>
  </si>
  <si>
    <t>Como usuario que carga documentación, quiero recibir un tratamiento claro cuando un archivo tenga contraseña, esté desactualizado o sea duplicado, para saber cómo corregirlo sin perder el avance.</t>
  </si>
  <si>
    <t>CA1. Un documento protegido requiere el tratamiento de desbloqueo definido antes de considerarse usable.
CA2. Un documento desactualizado o duplicado no debe mejorar artificialmente la suficiencia de datos.
CA3. El usuario recibe una acción concreta para corregir, reemplazar o continuar según el estado del archivo.</t>
  </si>
  <si>
    <t>WALVY | M1 – Matriz completa de Reglas de Negocio</t>
  </si>
  <si>
    <t>Nombre / Grupo</t>
  </si>
  <si>
    <t>Regla</t>
  </si>
  <si>
    <t>Estado / Origen</t>
  </si>
  <si>
    <t>M1-RN-ACC-001</t>
  </si>
  <si>
    <t>Acceso</t>
  </si>
  <si>
    <t>La pantalla de Login debe mostrar correo electrónico y contraseña como datos de acceso.</t>
  </si>
  <si>
    <t>F-01, F-03</t>
  </si>
  <si>
    <t>M1-RN-ACC-002</t>
  </si>
  <si>
    <t>El botón Entrar debe permanecer deshabilitado cuando falte el correo o la contraseña.</t>
  </si>
  <si>
    <t>F-02</t>
  </si>
  <si>
    <t>F-02 – Validar botón Entrar deshabilitado – iOS / Android: Botón deshabilitado cuando correo o contraseña están vacíos.</t>
  </si>
  <si>
    <t>M1-RN-ACC-003</t>
  </si>
  <si>
    <t>El campo contraseña debe contar con control para mostrar u ocultar su contenido.</t>
  </si>
  <si>
    <t>Con credenciales válidas, el resultado esperado es acceso al Home.</t>
  </si>
  <si>
    <t>Navegación</t>
  </si>
  <si>
    <t>Desde Login deben estar disponibles Crear mi cuenta y ¿Olvidaste tu contraseña?.</t>
  </si>
  <si>
    <t>M1-RN-ACC-006</t>
  </si>
  <si>
    <t>La creación de cuenta requiere correo, confirmación de correo, RUT y contraseña.</t>
  </si>
  <si>
    <t>F-04</t>
  </si>
  <si>
    <t>F-04 – Creación de cuenta / Creación de cuenta exitosa – iOS / Android: Formulario, campos y envío a verificación.</t>
  </si>
  <si>
    <t>M1-RN-ACC-007</t>
  </si>
  <si>
    <t>Los correos ingresados en registro deben coincidir para continuar.</t>
  </si>
  <si>
    <t>Derivada del flujo</t>
  </si>
  <si>
    <t>M1-RN-ACC-008</t>
  </si>
  <si>
    <t>La ruta aceptada utiliza un RUT válido. La regla completa de validación debe confirmarse técnicamente.</t>
  </si>
  <si>
    <t>M1-RN-ACC-009</t>
  </si>
  <si>
    <t>La interfaz debe mostrar requisitos de contraseña. En la evidencia se observan al menos ocho caracteres, una mayúscula y un número.</t>
  </si>
  <si>
    <t>Evidencia visual</t>
  </si>
  <si>
    <t>M1-RN-ACC-010</t>
  </si>
  <si>
    <t>Términos y Condiciones y Política de Privacidad deben aceptarse antes de habilitar Crear mi cuenta.</t>
  </si>
  <si>
    <t>F-04, F-05</t>
  </si>
  <si>
    <t>M1-RN-ACC-011</t>
  </si>
  <si>
    <t>Los textos de Términos y Condiciones y Política de Privacidad deben estar disponibles mediante links.</t>
  </si>
  <si>
    <t>F-05</t>
  </si>
  <si>
    <t>F-05 – Creación de cuenta – validación Términos y Condiciones – iOS / Android: Aceptación y acceso a documentos legales.</t>
  </si>
  <si>
    <t>M1-RN-ACC-012</t>
  </si>
  <si>
    <t>Verificación</t>
  </si>
  <si>
    <t>Después de crear la cuenta se debe presentar el ingreso de código de verificación.</t>
  </si>
  <si>
    <t>M1-RN-ACC-013</t>
  </si>
  <si>
    <t>Los campos de código deben mostrarse vacíos al iniciar la verificación.</t>
  </si>
  <si>
    <t>Un código válido habilita la verificación y permite continuar al primer ingreso.</t>
  </si>
  <si>
    <t>Un código incorrecto no debe confirmar la cuenta.</t>
  </si>
  <si>
    <t>El usuario debe disponer de las alternativas Completar datos y Omitir y continuar.</t>
  </si>
  <si>
    <t>M1-RN-ACC-017</t>
  </si>
  <si>
    <t>Al completar nombre, apellido y alias válidos se habilita Guardar y continuar.</t>
  </si>
  <si>
    <t>M1-RN-ACC-018</t>
  </si>
  <si>
    <t>El resultado de completar datos es la continuidad hacia Onboarding Welcome.</t>
  </si>
  <si>
    <t>Recuperación</t>
  </si>
  <si>
    <t>La recuperación debe iniciarse desde ¿Olvidaste tu contraseña? y solicitar un correo electrónico.</t>
  </si>
  <si>
    <t>Al ingresar correo se habilita Enviar código.</t>
  </si>
  <si>
    <t>Un código válido muestra confirmación y habilita Crear nueva contraseña.</t>
  </si>
  <si>
    <t>M1-RN-ACC-022</t>
  </si>
  <si>
    <t>Guardar contraseña permanece deshabilitado mientras no exista una nueva contraseña válida y confirmada.</t>
  </si>
  <si>
    <t>Si las contraseñas no coinciden se muestra el mensaje de error y no se permite guardar.</t>
  </si>
  <si>
    <t>M1-RN-ACC-024</t>
  </si>
  <si>
    <t>Si las contraseñas coinciden, se permite guardar y retornar al Login.</t>
  </si>
  <si>
    <t>Usuario guardado</t>
  </si>
  <si>
    <t>La aplicación puede mostrar un usuario previamente guardado y permitir cambiar usuario o ingresar con clave.</t>
  </si>
  <si>
    <t>Con biometría activa y validación exitosa, el usuario accede al Home.</t>
  </si>
  <si>
    <t>Después de tres intentos biométricos fallidos se debe habilitar el acceso con credenciales.</t>
  </si>
  <si>
    <t>M1-RN-ACC-028</t>
  </si>
  <si>
    <t>Persistencia</t>
  </si>
  <si>
    <t>Minimizar y retomar la aplicación no debe reiniciar indebidamente el flujo de ingreso.</t>
  </si>
  <si>
    <t>F-12</t>
  </si>
  <si>
    <t>F-12 – Persistencia al minimizar durante el ingreso – Android: Conservación de estado al enviar la app a segundo plano.</t>
  </si>
  <si>
    <t>M1-RN-ACC-029</t>
  </si>
  <si>
    <t>El onboarding es posterior a la autenticación/activación y no reemplaza el alcance de acceso, registro y recuperación.</t>
  </si>
  <si>
    <t>Consolidación funcional</t>
  </si>
  <si>
    <t>F-07, F-13</t>
  </si>
  <si>
    <t>F-07 – Ingreso primera vez – Completar datos / Omitir y continuar – iOS / Android: Flujo posterior a la activación de cuenta.
F-13 – Walvy_Especificacion_UX_Onboarding_App: Continuidad post autenticación hacia onboarding y primera acción útil.</t>
  </si>
  <si>
    <t>M1-RN-ACC-030</t>
  </si>
  <si>
    <t>El usuario debe poder continuar desde Onboarding Welcome hacia el flujo posterior definido por Producto.</t>
  </si>
  <si>
    <t>Funcional</t>
  </si>
  <si>
    <t>M1-RN-ONB-001</t>
  </si>
  <si>
    <t>Activación, no tutorial</t>
  </si>
  <si>
    <t>El onboarding conduce a diagnóstico y primera acción; no enseña menús.</t>
  </si>
  <si>
    <t>S1/S4</t>
  </si>
  <si>
    <t>S1 – Walvy_Especificacion_UX_Onboarding_App: Secuencia, pantallas, carga documental, postergación y reactivación.
S4 – Walvy_Rector_Producto_y_Funcionalidades_MVP_v1.0_OLD_20260516: Responsabilidad del onboarding y límites transversales.</t>
  </si>
  <si>
    <t>M1-RN-ONB-002</t>
  </si>
  <si>
    <t>Ruta documental preferente</t>
  </si>
  <si>
    <t>La carga documental es la fuente principal para habilitar diagnóstico.</t>
  </si>
  <si>
    <t>M1-RN-ONB-003</t>
  </si>
  <si>
    <t>Sin sustituto manual</t>
  </si>
  <si>
    <t>Voz, texto o formulario no reemplazan la carga documental inicial.</t>
  </si>
  <si>
    <t>M1-RN-ONB-004</t>
  </si>
  <si>
    <t>Requiere documento usable, ingreso, movimientos y compromisos o pagos recurrentes detectados/confirmados.</t>
  </si>
  <si>
    <t>M1-RN-ONB-005</t>
  </si>
  <si>
    <t>Diagnóstico parcial</t>
  </si>
  <si>
    <t>Solo se habilita con base usable, faltantes no bloqueantes y advertencia de precisión.</t>
  </si>
  <si>
    <t>MVP condicionado</t>
  </si>
  <si>
    <t>M1-RN-ONB-006</t>
  </si>
  <si>
    <t>Bloqueo por insuficiencia</t>
  </si>
  <si>
    <t>Sin base mínima o con confianza insuficiente, no se muestra diagnóstico como certeza.</t>
  </si>
  <si>
    <t>M1-RN-ONB-007</t>
  </si>
  <si>
    <t>Carga insuficiente no es error</t>
  </si>
  <si>
    <t>Una carga útil pero insuficiente se muestra como avance y solicita más evidencia.</t>
  </si>
  <si>
    <t>S1/S2</t>
  </si>
  <si>
    <t>S1 – Walvy_Especificacion_UX_Onboarding_App: Secuencia, pantallas, carga documental, postergación y reactivación.
S2 – Walvy_Onboarding_Diagnostico_Fase3_Reglas_Contextuales_Suficiencia_Semaforo_CTA_v1_0: Suficiencia, diagnóstico parcial, semáforo, presión principal y CTA.</t>
  </si>
  <si>
    <t>M1-RN-ONB-008</t>
  </si>
  <si>
    <t>Trazabilidad del dato</t>
  </si>
  <si>
    <t>Cada indicador registra origen, estado, confianza, evidencia y confirmación.</t>
  </si>
  <si>
    <t>M1-RN-ONB-009</t>
  </si>
  <si>
    <t>Semáforo general propio</t>
  </si>
  <si>
    <t>Usa En control, Atención, Riesgo o Sin diagnóstico; no copia S0-S4 de deuda.</t>
  </si>
  <si>
    <t>M1-RN-ONB-010</t>
  </si>
  <si>
    <t>Sin riesgo por falta de datos</t>
  </si>
  <si>
    <t>La insuficiencia produce Sin diagnóstico/bloqueo, no un estado rojo financiero.</t>
  </si>
  <si>
    <t>M1-RN-ONB-011</t>
  </si>
  <si>
    <t>Presión única</t>
  </si>
  <si>
    <t>Existe una única presión dominante por evaluación.</t>
  </si>
  <si>
    <t>M1-RN-ONB-012</t>
  </si>
  <si>
    <t>CTA dominante</t>
  </si>
  <si>
    <t>Cada estado posee una acción principal y secundarios subordinados.</t>
  </si>
  <si>
    <t>S1/S2/S4</t>
  </si>
  <si>
    <t>S1 – Walvy_Especificacion_UX_Onboarding_App: Secuencia, pantallas, carga documental, postergación y reactivación.
S2 – Walvy_Onboarding_Diagnostico_Fase3_Reglas_Contextuales_Suficiencia_Semaforo_CTA_v1_0: Suficiencia, diagnóstico parcial, semáforo, presión principal y CTA.
S4 – Walvy_Rector_Producto_y_Funcionalidades_MVP_v1.0_OLD_20260516: Responsabilidad del onboarding y límites transversales.</t>
  </si>
  <si>
    <t>M1-RN-ONB-013</t>
  </si>
  <si>
    <t>Demora configurable</t>
  </si>
  <si>
    <t>Los umbrales de demora se gestionan como parámetros versionados; la fuente propone 45/90 segundos.</t>
  </si>
  <si>
    <t>Requiere validación técnica</t>
  </si>
  <si>
    <t>Retoma sin reinicio</t>
  </si>
  <si>
    <t>Se persiste el avance y se retorna al punto de mayor valor pendiente.</t>
  </si>
  <si>
    <t>M1-RN-ONB-015</t>
  </si>
  <si>
    <t>Manual/asistido posterior</t>
  </si>
  <si>
    <t>Solo complementa datos puntuales después de una carga válida y mantiene menor confianza.</t>
  </si>
  <si>
    <t>M1-RN-ONB-016</t>
  </si>
  <si>
    <t>Cierre con valor</t>
  </si>
  <si>
    <t>El onboarding se cumple al mostrar diagnóstico inicial y próxima acción.</t>
  </si>
  <si>
    <t>M1-RN-ONB-017</t>
  </si>
  <si>
    <t>Deuda como señal dependiente</t>
  </si>
  <si>
    <t>La deuda puede alimentar el semáforo cuando existe dato, pero no gobierna el diagnóstico general por defecto.</t>
  </si>
  <si>
    <t>Dependencia</t>
  </si>
  <si>
    <t>S2/S4</t>
  </si>
  <si>
    <t>S2 – Walvy_Onboarding_Diagnostico_Fase3_Reglas_Contextuales_Suficiencia_Semaforo_CTA_v1_0: Suficiencia, diagnóstico parcial, semáforo, presión principal y CTA.
S4 – Walvy_Rector_Producto_y_Funcionalidades_MVP_v1.0_OLD_20260516: Responsabilidad del onboarding y límites transversales.</t>
  </si>
  <si>
    <t>M1-RN-ONB-018</t>
  </si>
  <si>
    <t>Versionamiento</t>
  </si>
  <si>
    <t>rule_version y evaluated_at son obligatorios para auditoría y recálculo.</t>
  </si>
  <si>
    <t>S3</t>
  </si>
  <si>
    <t>S3 – Walvy_Onboarding_Diagnostico_Fase3_Anexo_BDD_Reglas_Productivas_v1_0: Datos, enums, eventos, versionamiento, retoma y trazabilidad.</t>
  </si>
  <si>
    <t>Credenciales inválidas</t>
  </si>
  <si>
    <t>Un intento con credenciales inválidas no concede acceso y mantiene al usuario en Login con el tratamiento de error aprobado. Intentos máximos, bloqueo y copy de seguridad quedan pendientes de definición formal.</t>
  </si>
  <si>
    <t>M1-RN-ACC-032</t>
  </si>
  <si>
    <t>Código de seis dígitos</t>
  </si>
  <si>
    <t>La interfaz de verificación representada en Figma utiliza un código de 6 dígitos. La vigencia y política de intentos no se infieren del diseño y deben aprobarse por Producto/Seguridad.</t>
  </si>
  <si>
    <t>Figma / pendiente PO</t>
  </si>
  <si>
    <t>Figma 3470:7580</t>
  </si>
  <si>
    <t>Figma – referencia visual en nodo(s): 3470:7580</t>
  </si>
  <si>
    <t>Reenvío de código</t>
  </si>
  <si>
    <t>Figma contempla un estado de temporizador finalizado y una acción para reenviar el código. La duración exacta, frecuencia y límites de reenvío requieren definición formal.</t>
  </si>
  <si>
    <t>Recuperación sin acceso al correo</t>
  </si>
  <si>
    <t>Cuando el usuario declara no disponer del correo registrado, Figma deriva a una alternativa de soporte. El canal y la validación de identidad deben ser aprobados antes de producción.</t>
  </si>
  <si>
    <t>Biometría en primer ingreso</t>
  </si>
  <si>
    <t>Figma permite ofrecer activación de reconocimiento facial o huella en el primer ingreso y continuar sin activarla para configurarla posteriormente.</t>
  </si>
  <si>
    <t>M1-RN-ONB-019</t>
  </si>
  <si>
    <t>Estado del Foco del Mes</t>
  </si>
  <si>
    <t>El Foco del Mes puede estar declarado, no declarado o inferido/sugerido; la ausencia de foco no bloquea la carga documental y una señal crítica puede prevalecer.</t>
  </si>
  <si>
    <t>Documental / validación Producto</t>
  </si>
  <si>
    <t>HU M1-HU-019; Fase 3</t>
  </si>
  <si>
    <t>M1-HU-019 – Historia de Usuario del onboarding utilizada como respaldo funcional.
Fase 3 – Reglas contextuales de suficiencia, semáforo, presión principal y CTA.</t>
  </si>
  <si>
    <t>M1-RN-ONB-020</t>
  </si>
  <si>
    <t>Catálogo de Foco del Mes</t>
  </si>
  <si>
    <t>Figma presenta seis opciones de foco: Bajar deuda, Ahorrar un monto, Aumentar margen, Evitar atrasos, Cumplir presupuesto y Ordenar compromisos.</t>
  </si>
  <si>
    <t>Figma + reglas de foco / validar vigencia</t>
  </si>
  <si>
    <t>Figma 6670:13227</t>
  </si>
  <si>
    <t>Figma – referencia visual en nodo(s): 6670:13227</t>
  </si>
  <si>
    <t>M1-RN-ONB-021</t>
  </si>
  <si>
    <t>Restricciones de carga visibles</t>
  </si>
  <si>
    <t>Figma informa máximo 15 documentos, formatos PDF/Excel/CSV y hasta 30 MB. Estos límites deben ratificarse técnicamente antes del cierre y mantenerse configurables cuando aplique.</t>
  </si>
  <si>
    <t>Figma / pendiente validación técnica</t>
  </si>
  <si>
    <t>Figma 6670:13168</t>
  </si>
  <si>
    <t>Figma – referencia visual en nodo(s): 6670:13168</t>
  </si>
  <si>
    <t>Documento protegido</t>
  </si>
  <si>
    <t>Un documento protegido con contraseña debe tratarse como restringido hasta completar el mecanismo de desbloqueo definido; no debe considerarse usable antes de ese tratamiento.</t>
  </si>
  <si>
    <t>M1-RN-ONB-023</t>
  </si>
  <si>
    <t>Un documento identificado como desactualizado debe conservar trazabilidad de su estado y no mejorar la suficiencia como evidencia vigente hasta la acción definida por Producto.</t>
  </si>
  <si>
    <t>Anexo BDD / UI por validar</t>
  </si>
  <si>
    <t>D2-S3</t>
  </si>
  <si>
    <t>D2-S3 – Walvy_Onboarding_Diagnostico_Fase3_Anexo_BDD_Reglas_Productivas_v1_0: Datos, enums, eventos, versionamiento, retoma y trazabilidad.</t>
  </si>
  <si>
    <t>M1-RN-ONB-024</t>
  </si>
  <si>
    <t>Un documento identificado como duplicado debe registrarse como tal y no contabilizarse dos veces para la suficiencia o el diagnóstico.</t>
  </si>
  <si>
    <t>M1-RN-ONB-025</t>
  </si>
  <si>
    <t>Si el procesamiento falla, la evidencia fallida no habilita diagnóstico; el usuario debe recibir una acción de reintento, reemplazo o completitud definida.</t>
  </si>
  <si>
    <t>Documental + Figma / validar copy</t>
  </si>
  <si>
    <t>D2-S1/D2-S2</t>
  </si>
  <si>
    <t>D2-S1 – Walvy_Especificacion_UX_Onboarding_App: Secuencia, pantallas, carga documental, postergación y reactivación.
D2-S2 – Walvy_Onboarding_Diagnostico_Fase3_Reglas_Contextuales_Suficiencia_Semaforo_CTA_v1_0: Suficiencia, diagnóstico parcial, semáforo, presión principal y CTA.</t>
  </si>
  <si>
    <t>WALVY | M1 – Fuentes documentales, QA y Figma</t>
  </si>
  <si>
    <t>Código</t>
  </si>
  <si>
    <t>Fuente</t>
  </si>
  <si>
    <t>Tipo</t>
  </si>
  <si>
    <t>Uso / cobertura</t>
  </si>
  <si>
    <t>Equivalencia / referencia</t>
  </si>
  <si>
    <t>M1-DOC</t>
  </si>
  <si>
    <t>Walvy_M1_Documentacion_Formal_Consolidada_Completa_v3.0</t>
  </si>
  <si>
    <t>Documento formal</t>
  </si>
  <si>
    <t>HU, CA, reglas de acceso/onboarding y trazabilidad base</t>
  </si>
  <si>
    <t>Documento consolidado base</t>
  </si>
  <si>
    <t>M1-FIG</t>
  </si>
  <si>
    <t>Walvi APP – Módulo 1</t>
  </si>
  <si>
    <t>Figma</t>
  </si>
  <si>
    <t>Acceso, registro, recuperación, primer ingreso, onboarding y diagnóstico</t>
  </si>
  <si>
    <t>Nodo raíz 3361:2744</t>
  </si>
  <si>
    <t>D1</t>
  </si>
  <si>
    <t>Walvy_M1_Documentacion_Formal_Acceso_Registro_Recuperacion_Primer_Ingreso_v2.0.docx</t>
  </si>
  <si>
    <t>Acceso, login, registro, verificación, recuperación, biometría, usuario guardado y primer ingreso</t>
  </si>
  <si>
    <t>Fuente consolidada en M1 v3.0</t>
  </si>
  <si>
    <t>D2</t>
  </si>
  <si>
    <t>Walvy_M1_Documentacion_Formal_Onboarding_Diagnostico_v1.0.docx</t>
  </si>
  <si>
    <t>Onboarding, carga documental, suficiencia, diagnóstico, semáforo, presión, CTA y retoma</t>
  </si>
  <si>
    <t>Login Exitoso – Passed – iOS / Android</t>
  </si>
  <si>
    <t>Evidencia QA / fuente funcional</t>
  </si>
  <si>
    <t>Acceso con correo y contraseña; llegada a Home.</t>
  </si>
  <si>
    <t>Equivale a D1-F-01</t>
  </si>
  <si>
    <t>Validar botón Entrar deshabilitado – iOS / Android</t>
  </si>
  <si>
    <t>Botón deshabilitado cuando correo o contraseña están vacíos.</t>
  </si>
  <si>
    <t>Equivale a D1-F-02</t>
  </si>
  <si>
    <t>Validar links de la pantalla de login 01/02 – iOS / Android</t>
  </si>
  <si>
    <t>Links Crear mi cuenta y ¿Olvidaste tu contraseña?; elementos visibles.</t>
  </si>
  <si>
    <t>Equivale a D1-F-03</t>
  </si>
  <si>
    <t>Creación de cuenta / Creación de cuenta exitosa – iOS / Android</t>
  </si>
  <si>
    <t>Formulario, campos y envío a verificación.</t>
  </si>
  <si>
    <t>Equivale a D1-F-04</t>
  </si>
  <si>
    <t>Creación de cuenta – validación Términos y Condiciones – iOS / Android</t>
  </si>
  <si>
    <t>Aceptación y acceso a documentos legales.</t>
  </si>
  <si>
    <t>Equivale a D1-F-05</t>
  </si>
  <si>
    <t>Creación de cuenta – verificación código incorrecto – iOS / Android</t>
  </si>
  <si>
    <t>Tratamiento de código inválido.</t>
  </si>
  <si>
    <t>Equivale a D1-F-06</t>
  </si>
  <si>
    <t>Ingreso primera vez – Completar datos / Omitir y continuar – iOS / Android</t>
  </si>
  <si>
    <t>Flujo posterior a la activación de cuenta.</t>
  </si>
  <si>
    <t>Equivale a D1-F-07</t>
  </si>
  <si>
    <t>Confirmar cuenta con correo – código válido/no válido – iOS</t>
  </si>
  <si>
    <t>Recuperación de acceso y validación de código.</t>
  </si>
  <si>
    <t>Equivale a D1-F-08</t>
  </si>
  <si>
    <t>Nueva contraseña: modal, coincidente y no coincidente – iOS / Android</t>
  </si>
  <si>
    <t>Reglas para guardar nueva contraseña.</t>
  </si>
  <si>
    <t>Equivale a D1-F-09</t>
  </si>
  <si>
    <t>Login biométrico exitoso/fallido – iOS</t>
  </si>
  <si>
    <t>Acceso biométrico y fallback tras tres intentos fallidos.</t>
  </si>
  <si>
    <t>Equivale a D1-F-10</t>
  </si>
  <si>
    <t>F-11</t>
  </si>
  <si>
    <t>Persistencia del usuario y reingreso.</t>
  </si>
  <si>
    <t>Equivale a D1-F-11</t>
  </si>
  <si>
    <t>Persistencia al minimizar durante el ingreso – Android</t>
  </si>
  <si>
    <t>Conservación de estado al enviar la app a segundo plano.</t>
  </si>
  <si>
    <t>Equivale a D1-F-12</t>
  </si>
  <si>
    <t>F-13</t>
  </si>
  <si>
    <t>Walvy_Especificacion_UX_Onboarding_App</t>
  </si>
  <si>
    <t>Documento funcional</t>
  </si>
  <si>
    <t>Continuidad post autenticación hacia onboarding y primera acción útil.</t>
  </si>
  <si>
    <t>Equivale a D1-F-13</t>
  </si>
  <si>
    <t>S1</t>
  </si>
  <si>
    <t>Documento funcional / reglas</t>
  </si>
  <si>
    <t>Secuencia, pantallas, carga documental, postergación y reactivación.</t>
  </si>
  <si>
    <t>Equivale a D2-S1</t>
  </si>
  <si>
    <t>S2</t>
  </si>
  <si>
    <t>Walvy_Onboarding_Diagnostico_Fase3_Reglas_Contextuales_Suficiencia_Semaforo_CTA_v1_0</t>
  </si>
  <si>
    <t>Suficiencia, diagnóstico parcial, semáforo, presión principal y CTA.</t>
  </si>
  <si>
    <t>Equivale a D2-S2</t>
  </si>
  <si>
    <t>Walvy_Onboarding_Diagnostico_Fase3_Anexo_BDD_Reglas_Productivas_v1_0</t>
  </si>
  <si>
    <t>Datos, enums, eventos, versionamiento, retoma y trazabilidad.</t>
  </si>
  <si>
    <t>Equivale a D2-S3</t>
  </si>
  <si>
    <t>S4</t>
  </si>
  <si>
    <t>Walvy_Rector_Producto_y_Funcionalidades_MVP_v1.0_OLD_20260516</t>
  </si>
  <si>
    <t>Responsabilidad del onboarding y límites transversales.</t>
  </si>
  <si>
    <t>Equivale a D2-S4</t>
  </si>
  <si>
    <t>WALVY | M1 – Decisiones funcionales pendientes del Cliente / Product Owner</t>
  </si>
  <si>
    <t>Esta pestaña NO replica las variantes pendientes de aprobación. Incluye únicamente definiciones, parámetros o comportamientos que aún requieren una decisión explícita. La aprobación de cada variante se registra en la columna “Validación Cliente” de la Matriz Trazabilidad.</t>
  </si>
  <si>
    <t>ID Pendiente</t>
  </si>
  <si>
    <t>Tipo de decisión</t>
  </si>
  <si>
    <t>Variantes / RN afectadas</t>
  </si>
  <si>
    <t>Tema a definir</t>
  </si>
  <si>
    <t>Motivo / Fuente</t>
  </si>
  <si>
    <t>Nodo(s) Figma</t>
  </si>
  <si>
    <t>Estado decisión</t>
  </si>
  <si>
    <t>Observación Producto relacionada</t>
  </si>
  <si>
    <t>Estado Observación Producto</t>
  </si>
  <si>
    <t>Producto / Seguridad</t>
  </si>
  <si>
    <t>M1-V03 | M1-RN-ACC-031</t>
  </si>
  <si>
    <t>Definir el tratamiento de credenciales inválidas.</t>
  </si>
  <si>
    <t>Figma representa el estado de error, pero la política funcional/seguridad asociada no está formalizada en la documentación de Producto.</t>
  </si>
  <si>
    <t>Resuelto</t>
  </si>
  <si>
    <t>Resuelto desde Producto. V03 debe usar respuesta genérica ante credenciales inválidas, mantener al usuario en Login y permitir reintento/recuperación sin revelar existencia de cuenta. La política de intentos, rate limiting, cooldown, logging y controles antiabuso queda como parametrización/validación de Seguridad/Kabeli y no mantiene abierto el análisis de Producto.</t>
  </si>
  <si>
    <t>M1-V13, M1-V16 | M1-RN-ACC-032, M1-RN-ACC-033</t>
  </si>
  <si>
    <t>Definir ciclo de vida del código de verificación: vigencia, vencimiento, reenvío y condiciones de reintento.</t>
  </si>
  <si>
    <t>El flujo está representado en Figma y parcialmente respaldado por QA, pero estos parámetros no están formalizados.</t>
  </si>
  <si>
    <t>3470:7580 / 3470:7626</t>
  </si>
  <si>
    <t>Resuelto por Producto mediante M1-DP-010 / AX-M1-001. Se separa la vigencia del OTP del temporizador de reenvío y se adopta un baseline parametrizable para TTL, reenvío, intentos, límites, invalidación, rate limiting y logging. Kabeli/Seguridad debe confirmar los valores efectivos implementados o justificar desviaciones y propagarlos a M1-V13/M1-V16, M1-RN-ACC-032/033 y casos de prueba. V16 pasa a Ajustar. Tras la revisión de trazabilidad, V13 también pasa a Ajustar únicamente para ampliar su condición de entrada a cuentas pending_verification que intentan Login; no se reabre el baseline OTP ni esta decisión de Producto.</t>
  </si>
  <si>
    <t>M1-DP-010</t>
  </si>
  <si>
    <t>Producto / Operación</t>
  </si>
  <si>
    <t>M1-V19 | M1-RN-ACC-034</t>
  </si>
  <si>
    <t>Definir qué debe ocurrir cuando el usuario no tiene acceso al correo registrado.</t>
  </si>
  <si>
    <t>Figma muestra una alternativa de soporte, pero la operación y resolución del caso requieren confirmación.</t>
  </si>
  <si>
    <t>Resuelto por Producto mediante M1-DP-011. Para el MVP, sin acceso al correo registrado → soporte@walvy.cl → verificación de identidad conforme a procedimiento Seguridad/Operaciones → nuevo correo distinto y verificado antes de sustituir el anterior. Si el usuario recupera acceso al correo original, vuelve al recovery estándar. El contacto con soporte por sí solo no habilita cambio de correo, contraseña ni acceso. El procedimiento/evidencia concreta queda pendiente de formalización Seguridad/Operaciones.</t>
  </si>
  <si>
    <t>M1-DP-011</t>
  </si>
  <si>
    <t>M1-V26 | M1-RN-ACC-035</t>
  </si>
  <si>
    <t>Confirmar cuándo se ofrece activar biometría en el primer ingreso y el comportamiento esperado según disponibilidad del dispositivo.</t>
  </si>
  <si>
    <t>La opción está representada en Figma; la regla formal y su alcance entre plataformas requieren ratificación.</t>
  </si>
  <si>
    <t>Resuelto desde Producto. La biometría es opcional, se ofrece según disponibilidad del dispositivo, puede omitirse/activarse posteriormente y mantiene contraseña como fallback. La autenticación biométrica se delega al sistema operativo; plataforma, permisos, desactivación y evidencia de no persistencia/transmisión de plantillas corresponden a validación Técnica/Seguridad.</t>
  </si>
  <si>
    <t>Producto</t>
  </si>
  <si>
    <t>M1-V28, M1-V29, M1-V30 | M1-RN-ONB-019</t>
  </si>
  <si>
    <t>Ratificar los estados del Foco del Mes: declarado, no declarado e inferido/sugerido, y cómo se comunica un foco inferido.</t>
  </si>
  <si>
    <t>La documentación funcional define el concepto, pero la aplicación exacta del foco inferido/sugerido queda sujeta a validación de Producto.</t>
  </si>
  <si>
    <t>6670:13227 / 3361:2744</t>
  </si>
  <si>
    <t>Resuelto por Producto mediante M1-DP-002 / AX-M1-002. Cuando no exista foco activo y haya Diagnóstico válido, Walvy puede sugerir un foco con prioridad M04 → M06 → M05. Se usa únicamente el estado “sugerido”. CTA primario Usar este foco guarda directamente; CTA secundario Revisar foco lleva a Mi Perfil → Mi foco del mes con la sugerencia premarcada. Sin aceptación permanece no declarado y puede recalcularse; una vez aceptado no cambia automáticamente. Kabeli debe ajustar V30 y M1-RN-ONB-019.</t>
  </si>
  <si>
    <t>M1-DP-002</t>
  </si>
  <si>
    <t>M1-V31 a M1-V36 | M1-RN-ONB-020</t>
  </si>
  <si>
    <t>Confirmar el catálogo vigente de seis opciones de Foco del Mes y sus denominaciones.</t>
  </si>
  <si>
    <t>El catálogo está representado en Figma y alineado con reglas de foco, pero debe ratificarse su vigencia como catálogo oficial.</t>
  </si>
  <si>
    <t>Catálogo vigente confirmado: Bajar deuda, Ahorrar un monto, Aumentar margen, Evitar atrasos, Cumplir presupuesto y Ordenar compromisos. No queda decisión funcional abierta sobre las seis denominaciones.</t>
  </si>
  <si>
    <t>Producto / Técnica</t>
  </si>
  <si>
    <t>M1-V37, M1-V38 | M1-RN-ONB-021</t>
  </si>
  <si>
    <t>Formalizar los parámetros técnicos de carga documental asociados a los estados sin documento y documento subiendo.</t>
  </si>
  <si>
    <t>La matriz define el comportamiento funcional y Figma muestra los estados; los parámetros técnicos de carga aún requieren validación.</t>
  </si>
  <si>
    <t>6670:13168 / 6459:8023</t>
  </si>
  <si>
    <t>Resuelto desde Producto. M01-RGL-009 ya formaliza el baseline MVP de admisión documental: PDF/XLSX/CSV, archivo &lt;30 MB y máximo 15 documentos, con rechazo controlado cuando no se cumplen las condiciones. Lo pendiente es validación técnica/parametrización efectiva en Kabeli y evidencia backend/QA; no una decisión funcional adicional de Producto.</t>
  </si>
  <si>
    <t>Producto / Técnica / Seguridad</t>
  </si>
  <si>
    <t>M1-V41 | M1-RN-ONB-022</t>
  </si>
  <si>
    <t>Definir el tratamiento de documentos protegidos con contraseña.</t>
  </si>
  <si>
    <t>Figma contempla este escenario, pero la regla técnica/seguridad no está formalizada.</t>
  </si>
  <si>
    <t>Resuelto desde Producto mediante M1-DP-003. Baseline a validar por Kabeli/Seguridad: máximo tres variantes automáticas del RUT sin DV, en orden RUT completo → últimos 4 → primeros 4, un intento por variante y detención al abrir; si ninguna funciona, contraseña manual. Error manual permite corregir/reintentar o cargar otro documento. No persistir ni registrar contraseñas. Queda pendiente únicamente validación técnica/seguridad del baseline y evidencia.</t>
  </si>
  <si>
    <t>M1-DP-003</t>
  </si>
  <si>
    <t>Producto / UX</t>
  </si>
  <si>
    <t>M1-V42, M1-V43 | M1-RN-ONB-023, M1-RN-ONB-024</t>
  </si>
  <si>
    <t>Confirmar el tratamiento visible para documento desactualizado y documento duplicado.</t>
  </si>
  <si>
    <t>El Anexo BDD respalda los estados productivos, pero la representación y acción exacta en UI requieren validación.</t>
  </si>
  <si>
    <t>Resuelto por Producto mediante M1-DP-004. Dedupe por cuenta/usuario mediante huella de contenido sin almacenamiento permanente del archivo. Procesado OK → bloquear duplicado; fallo transitorio → permitir retry; no procesable → conservar temporalmente huella/motivo/versión para bloquear reprocesamiento idéntico hasta expiración o cambio de procesador. Kabeli debe ajustar V43 y M1-RN-ONB-024.</t>
  </si>
  <si>
    <t>M1-V45, M1-V46, M1-V60 | M1-RN-ONB-013, M1-RN-ONB-014, M1-RN-ONB-018</t>
  </si>
  <si>
    <t>Validar umbrales de demora y comportamiento al salir durante el análisis.</t>
  </si>
  <si>
    <t>La documentación propone manejo de demora y retoma, pero los umbrales y el comportamiento técnico definitivo requieren confirmación.</t>
  </si>
  <si>
    <t>6670:13533 / 3361:2744</t>
  </si>
  <si>
    <t>Resuelto desde Producto. Los recorridos de demora/salida/retoma ya están definidos por M01-RGL-014 y M01-RGL-008. Los umbrales 45/90 s deben tratarse como parámetros internos versionados, no copy UX fijo. Kabeli debe validar valores efectivos, persistencia de job/estado, retoma del análisis o resultado y ausencia de reprocesamiento/duplicación.</t>
  </si>
  <si>
    <t>M1-V47 | M1-RN-ONB-025, M1-RN-ONB-006</t>
  </si>
  <si>
    <t>Confirmar mensaje y acción de recuperación ante procesamiento fallido.</t>
  </si>
  <si>
    <t>El escenario está documentado y representado en Figma, pero el copy/acción final debe ser validado.</t>
  </si>
  <si>
    <t>Resuelto por Producto mediante M1-DP-005. V47 queda acotado a fallo técnico recuperable/transitorio después de admitir el documento. Conservar documentos/checkpoint, no generar Diagnóstico, CTA primario Reintentar y secundario Volver a revisión; el retry debe mantener correlación con el job original y no duplicar datos. Documento no procesable e insuficiencia se tratan en sus estados propios.</t>
  </si>
  <si>
    <t>M1-DP-005</t>
  </si>
  <si>
    <t>Producto / Reglas / Arquitectura</t>
  </si>
  <si>
    <t>M1-V53, M1-V54, M1-V55 | M1-RN-ONB-009, M1-RN-ONB-011, M1-RN-ONB-012</t>
  </si>
  <si>
    <t>Completar regla canónica del Estado Financiero del Mes y contrato intermodular.</t>
  </si>
  <si>
    <t>M1-DP-006. Las variantes existen, pero las condiciones actuales de la trazabilidad no incorporan la política inicial de Producto ni separan completamente calidad de dato de estado financiero.</t>
  </si>
  <si>
    <t>6670:13628 / 6670:13717 / 6670:13805</t>
  </si>
  <si>
    <t>Resuelto por Producto mediante M1-DP-006 / AX-M1-004. M01-RGL-012 gobierna suficiencia; una regla canónica única por snapshot gobierna En control/Atención/Riesgo mediante ratio y override; M01-RGL-015 opera después para presión/CTA. Umbrales: &lt;90% / 90%-&lt;100% / &gt;=100%. Único override MVP: mora_confirmada = obligación vencida + saldo pendiente + evidencia suficiente. Kabeli debe ajustar V53–V55, M1-RN-ONB-009 y fixtures/reglas que mezclen señales con color.</t>
  </si>
  <si>
    <t>M1-DP-006</t>
  </si>
  <si>
    <t>Producto / Desarrollo</t>
  </si>
  <si>
    <t>M1-V50 | M1-RN-ONB-006, M1-RN-ONB-007, M1-RN-ONB-010</t>
  </si>
  <si>
    <t>Completar parametrización productiva de la regla de suficiencia.</t>
  </si>
  <si>
    <t>M1-DP-008. La política funcional identifica indicadores críticos y reglas generales de avance/bloqueo, pero falta una combinación determinista implementable.</t>
  </si>
  <si>
    <t>Resuelto por Producto mediante M1-DP-008 / AX-M1-003. M01-RGL-012 se mantiene como gate único. Normalizar cada indicador a sufficient/pending/missing y aplicar criticidad: falta mínimo obligatorio → blocked; pendiente crítico → partial bloqueado; solo pendientes no críticos → partial permitido; sin pendientes relevantes → complete. Los reasons explican el output; no crear ramas de código por cada combinación técnica ni extrapolar combinaciones no cubiertas.</t>
  </si>
  <si>
    <t>M1-DP-008</t>
  </si>
  <si>
    <t>WALVY | M1 – Resumen de trazabilidad</t>
  </si>
  <si>
    <t>Indicador</t>
  </si>
  <si>
    <t>Valor</t>
  </si>
  <si>
    <t>Cómo revisar con el cliente</t>
  </si>
  <si>
    <t>Variantes</t>
  </si>
  <si>
    <t>1</t>
  </si>
  <si>
    <t>Revisar HU/CA</t>
  </si>
  <si>
    <t>Confirmar que la intención y criterios representan el comportamiento esperado.</t>
  </si>
  <si>
    <t>Historias de Usuario</t>
  </si>
  <si>
    <t>2</t>
  </si>
  <si>
    <t>Revisar RN</t>
  </si>
  <si>
    <t>Ratificar las reglas y especialmente las marcadas como Figma/pendiente.</t>
  </si>
  <si>
    <t>Reglas de Negocio</t>
  </si>
  <si>
    <t>3</t>
  </si>
  <si>
    <t>Revisar variante</t>
  </si>
  <si>
    <t>Aprobar, ajustar o excluir cada escenario.</t>
  </si>
  <si>
    <t>Variantes con evidencia Passed</t>
  </si>
  <si>
    <t>4</t>
  </si>
  <si>
    <t>Revisar CP/QA</t>
  </si>
  <si>
    <t>Confirmar que exista un caso de prueba y que luego se vincule evidencia real.</t>
  </si>
  <si>
    <t>Variantes con evidencia pendiente</t>
  </si>
  <si>
    <t>Puntos de decisión/validación Cliente</t>
  </si>
  <si>
    <t>Nota Fuente RN</t>
  </si>
  <si>
    <t>El código identifica el artefacto de origen; la descripción explica su nombre y cobertura para revisión del Cliente.</t>
  </si>
  <si>
    <t>Métrica de revisión del Cliente</t>
  </si>
  <si>
    <t>Decisiones funcionales pendientes</t>
  </si>
  <si>
    <t>Estado de validación</t>
  </si>
  <si>
    <t>Cantidad</t>
  </si>
  <si>
    <t>% del total</t>
  </si>
  <si>
    <t>Requiere análisis</t>
  </si>
  <si>
    <t>Fuera de alcance</t>
  </si>
  <si>
    <t>Variantes revisadas</t>
  </si>
  <si>
    <t>Avance de revisión</t>
  </si>
  <si>
    <t>Aprobación sobre revisadas</t>
  </si>
  <si>
    <t>M1 – Reglas Walvy y trazabilidad documental</t>
  </si>
  <si>
    <t>Las reglas de esta hoja provienen del assessment M01 existente; no se crean en esta revisión. Se conserva su redacción, resultado esperado y fuentes para transparentar cómo se construyó cada regla. “Uso en revisión Kabeli” indica si ya fue aplicada al validar la matriz de variantes.</t>
  </si>
  <si>
    <t>Regla ID</t>
  </si>
  <si>
    <t>Subárea</t>
  </si>
  <si>
    <t>Tipo de control</t>
  </si>
  <si>
    <t>Regla / criterio a verificar</t>
  </si>
  <si>
    <t>Resultado esperado</t>
  </si>
  <si>
    <t>Fuente principal (IDs)</t>
  </si>
  <si>
    <t>Ubicación fuente</t>
  </si>
  <si>
    <t>Estado documental</t>
  </si>
  <si>
    <t>Prioridad</t>
  </si>
  <si>
    <t>Bloqueante si falla</t>
  </si>
  <si>
    <t>Validador principal</t>
  </si>
  <si>
    <t>Evidencia requerida</t>
  </si>
  <si>
    <t>Caso de prueba</t>
  </si>
  <si>
    <t>Observaciones</t>
  </si>
  <si>
    <t>Uso en revisión Kabeli</t>
  </si>
  <si>
    <t>Variantes Kabeli asociadas</t>
  </si>
  <si>
    <t>Origen</t>
  </si>
  <si>
    <t>Flujo funcional</t>
  </si>
  <si>
    <t>Autenticar a una cuenta activa y verificada con correo y contraseña; rechazar credenciales inválidas sin revelar si la cuenta existe; y bloquear de forma recuperable el acceso de una cuenta restringida.</t>
  </si>
  <si>
    <t>Credenciales válidas de una cuenta habilitada crean sesión y abren el destino correspondiente. Credenciales inválidas mantienen Login con respuesta genérica. Una cuenta restringida no crea sesión, muestra “Acceso restringido”, permite contactar a soporte y volver a Login sin exponer el motivo interno.</t>
  </si>
  <si>
    <t>SRC-02 / SRC-25 / SRC-30</t>
  </si>
  <si>
    <t>Alcance MVP fila 2 + build/endpoints de autenticación de SRC-25 + capturas congeladas de acceso restringido en SRC-30</t>
  </si>
  <si>
    <t>Cerrado</t>
  </si>
  <si>
    <t>Alta</t>
  </si>
  <si>
    <t>Sí</t>
  </si>
  <si>
    <t>Andrea</t>
  </si>
  <si>
    <t>Video de acceso válido, inválido y restringido + build/plataforma + respuesta observable + identificación de usuarios sintéticos</t>
  </si>
  <si>
    <t>TC-M01-001 / TC-M01-002</t>
  </si>
  <si>
    <t>Absorbe M01-ACC-002. TC-M01-001 y TC-M01-002 permanecen separados; TC-M01-002 contiene credenciales inválidas y cuenta restringida como subescenarios con no creación de sesión.</t>
  </si>
  <si>
    <t>Aplicada en V01–V23</t>
  </si>
  <si>
    <t>M1-V01, M1-V02, M1-V03, M1-V04, M1-V13</t>
  </si>
  <si>
    <t>Walvy_Assessment_Validacion_M01_v1.1 (diferido_onboarding) · hoja 02_Reglas_M01</t>
  </si>
  <si>
    <t>Flujo funcional / validaciones</t>
  </si>
  <si>
    <t>Registrar una cuenta con correo, confirmación de correo, RUT, contraseña y las aceptaciones obligatorias visibles. Términos y Política de privacidad no pueden aceptarse directamente desde el formulario de Registro: cada documento debe abrirse y su acción «Aceptar» solo se habilita después de que el usuario alcance el final del contenido. Cerrar o volver antes de aceptar conserva el documento pendiente. Verificar el correo mediante un código de 6 dígitos antes del primer acceso.</t>
  </si>
  <si>
    <t>Correos coinciden; RUT válido; Términos y Política permanecen pendientes hasta abrir cada documento, alcanzar el final y seleccionar «Aceptar» dentro de este. Cerrar o volver antes no registra la aceptación. «Crear mi cuenta» solo se habilita con el formulario válido y ambas aceptaciones registradas. El OTP válido activa la cuenta.</t>
  </si>
  <si>
    <t>SRC-02 / SRC-27 / SRC-29</t>
  </si>
  <si>
    <t>Alcance MVP fila 4 + ManifestLegalM01/MatrizAceptacionesM01 + referencia visual congelada de Registro M01</t>
  </si>
  <si>
    <t>Must</t>
  </si>
  <si>
    <t>Video del registro y verificación + video de apertura, scroll y aceptación de cada documento + capturas de los estados bloqueados y habilitados + correo OTP + payload de registro/aceptaciones + manifest legal + build/plataforma</t>
  </si>
  <si>
    <t>TC-M01-003 / TC-M01-004</t>
  </si>
  <si>
    <t>Absorbe M01-ACC-004. Campos obligatorios: correo, confirmación de correo, RUT, contraseña, Términos y Política de privacidad. No exigir nombre dentro del formulario de Registro. Decisión funcional Walvy: las aceptaciones legales solo se registran desde el documento correspondiente después de alcanzar el final; no se permite aceptarlas directamente desde Registro.</t>
  </si>
  <si>
    <t>M1-V08 a M1-V16</t>
  </si>
  <si>
    <t>Restablecer la contraseña mediante OTP enviado al correo registrado, aplicando la política de contraseña y la confirmación coincidente antes de habilitar el cambio.</t>
  </si>
  <si>
    <t>OTP válido y contraseña aceptada/coincidente cambian la clave una sola vez; OTP inválido, expirado o reutilizado, contraseña fuera de política o confirmación distinta no habilitan el cambio.</t>
  </si>
  <si>
    <t>SRC-02 / SRC-25 / SRC-27 / SRC-30</t>
  </si>
  <si>
    <t>Alcance MVP + Release Note QA + ParametrosSeguridadM01 + estados visuales de nueva contraseña en SRC-30</t>
  </si>
  <si>
    <t>Correo con OTP + video de validaciones y éxito + respuestas API controladas + acceso con nueva contraseña</t>
  </si>
  <si>
    <t>TC-M01-005</t>
  </si>
  <si>
    <t>El único mecanismo aprobado es OTP por correo. TC-M01-005 incluye política, confirmación y CTA; seguridad del OTP permanece en M01-SEC-002.</t>
  </si>
  <si>
    <t>M1-V17 a M1-V23</t>
  </si>
  <si>
    <t>Capacidad opcional</t>
  </si>
  <si>
    <t>Permitir activar, usar y desactivar biometría local, manteniendo la contraseña como alternativa.</t>
  </si>
  <si>
    <t>Éxito, cancelación y fallo conservan el fallback; desactivar elimina la solicitud biométrica.</t>
  </si>
  <si>
    <t>SRC-02 / SRC-27</t>
  </si>
  <si>
    <t>Alcance MVP fila 3 + contrato biométrico local</t>
  </si>
  <si>
    <t>Media</t>
  </si>
  <si>
    <t>Condicional</t>
  </si>
  <si>
    <t>Video en dispositivo compatible: activación, uso, cancelación, fallo, fallback y desactivación</t>
  </si>
  <si>
    <t>TC-M01-006</t>
  </si>
  <si>
    <t>Condicional a dispositivo/plataforma compatible. M01-BIO-001 mantiene la evidencia técnica separada.</t>
  </si>
  <si>
    <t>Aplicada en V01–V36</t>
  </si>
  <si>
    <t>M1-V05, M1-V06, M1-V07, M1-V26</t>
  </si>
  <si>
    <t>Flujo integral</t>
  </si>
  <si>
    <t>Completar Bienvenida → Concientización → Foco → Carga/Revisión → Suficiencia → Primera lectura, preservando el avance y habilitando el diagnóstico solo con datos requeridos completos.</t>
  </si>
  <si>
    <t>Secuencia y CTA aprobados; foco y documentos persisten; faltantes requeridos se corrigen, ingresan o categorizan; la base suficiente habilita el diagnóstico.</t>
  </si>
  <si>
    <t>SRC-06 / SRC-21 / SRC-22 / SRC-23 / SRC-26</t>
  </si>
  <si>
    <t>Secuencia UX congelada + fixtures ONB/DOC/SUF/DIA y matrices de completitud</t>
  </si>
  <si>
    <t>Jose</t>
  </si>
  <si>
    <t>Video E2E + checkpoints + manifest de fixtures + payload de suficiencia/diagnóstico + build/plataforma</t>
  </si>
  <si>
    <t>TC-M01-007</t>
  </si>
  <si>
    <t>Absorbe M01-ONB-002, M01-ONB-003 y la navegación inicial de M01-ONB-005. La completitud dirigida se valida en M01-RGL-011/TC-M01-031.</t>
  </si>
  <si>
    <t>Aplicada en V24–V36 y brecha M1-BC-001</t>
  </si>
  <si>
    <t>M1-V27; M1-BC-001</t>
  </si>
  <si>
    <t>M01-RGL-006</t>
  </si>
  <si>
    <t>Foco del mes</t>
  </si>
  <si>
    <t>Regla de negocio / persistencia</t>
  </si>
  <si>
    <t>Persistir el foco y usarlo solo para personalización contextual, sin alterar la conclusión financiera central.</t>
  </si>
  <si>
    <t>Con la misma evidencia financiera, el estado y la conclusión central permanecen; el foco persiste.</t>
  </si>
  <si>
    <t>SRC-08 / SRC-22 / SRC-26</t>
  </si>
  <si>
    <t>Flujo funcional + DATA-M01-FOCO-01 + matriz de empate contextual</t>
  </si>
  <si>
    <t>Dos ejecuciones con el mismo fixture financiero + persistencia del foco + comparación de resultado</t>
  </si>
  <si>
    <t>TC-M01-008</t>
  </si>
  <si>
    <t>No permite que el foco sustituya evidencia financiera ni modifique el estado central.</t>
  </si>
  <si>
    <t>Aplicada en V24–V36</t>
  </si>
  <si>
    <t>M1-V28, M1-V31 a M1-V36</t>
  </si>
  <si>
    <t>Omisión/postergación</t>
  </si>
  <si>
    <t>Continuidad explícita</t>
  </si>
  <si>
    <t>Permitir salir desde un checkpoint no concluido, guardar el avance y retornar a Inicio sin generar una primera lectura concluyente.</t>
  </si>
  <si>
    <t>CTA y modal coinciden con la referencia; el checkpoint persiste; Inicio refleja estado pendiente y la retoma continúa desde el punto guardado.</t>
  </si>
  <si>
    <t>SRC-21 / SRC-22 / SRC-26</t>
  </si>
  <si>
    <t>Figma modal 6670:13499 + DATA-M01-PARTIAL-01 + MatrizContinuidadM01</t>
  </si>
  <si>
    <t>Video de dos puntos de salida + capturas de CTA/modal/Home + checkpoint persistido</t>
  </si>
  <si>
    <t>TC-M01-009</t>
  </si>
  <si>
    <t>Absorbe M01-CON-001 y la mitad pendiente de M01-CON-004. El detalle de copy/nodos queda en fuentes/caso, no en la regla.</t>
  </si>
  <si>
    <t>Aplicada en V24–V36 y V58</t>
  </si>
  <si>
    <t>M1-V25, M1-V29, M1-V58</t>
  </si>
  <si>
    <t>M01-RGL-008</t>
  </si>
  <si>
    <t>Continuidad transversal</t>
  </si>
  <si>
    <t>Recuperar el mismo checkpoint, selección documental, job o resultado después de cerrar la app o cerrar sesión.</t>
  </si>
  <si>
    <t>No se repiten pasos completados ni se duplican documentos/jobs; cada checkpoint reabre en el destino y estado correctos.</t>
  </si>
  <si>
    <t>SRC-08 / SRC-23 / SRC-26</t>
  </si>
  <si>
    <t>MatrizContinuidadM01 + fixtures de carga/análisis/retoma</t>
  </si>
  <si>
    <t>Videos de retoma + document_ids/job_id/checkpoint + ausencia de duplicados</t>
  </si>
  <si>
    <t>TC-M01-010 / TC-M01-014 / TC-M01-022</t>
  </si>
  <si>
    <t>Absorbe M01-DOC-007 y M01-ANA-004. M01-CON-002/TC-M01-049 se elimina como meta-caso.</t>
  </si>
  <si>
    <t>Aplicada en V37–V60</t>
  </si>
  <si>
    <t>M1-V44, M1-V45, M1-V46, M1-V58, M1-V59, M1-V60</t>
  </si>
  <si>
    <t>Seleccionar, cargar, quitar y reintentar documentos admitidos dentro de los formatos y límites vigentes antes de iniciar el análisis.</t>
  </si>
  <si>
    <t>La selección es editable; admisión, progreso, cancelación y reintento coinciden con la matriz; no se procesa un archivo cancelado.</t>
  </si>
  <si>
    <t>SRC-21 / SRC-23 / SRC-24</t>
  </si>
  <si>
    <t>Figma 6670:13168 + MatrizAdmisionDS + fixtures MULTI/UPLOAD</t>
  </si>
  <si>
    <t>Video + archivos/manifest + estados de selección/carga/cancelación/reintento</t>
  </si>
  <si>
    <t>TC-M01-011 / TC-M01-012</t>
  </si>
  <si>
    <t>Absorbe M01-DOC-002 y M01-DOC-003. Los estados dejan de tener una regla separada y se validan en los casos que los producen.</t>
  </si>
  <si>
    <t>Aplicada en V37–V52</t>
  </si>
  <si>
    <t>M1-V37, M1-V38</t>
  </si>
  <si>
    <t>Ruta negativa</t>
  </si>
  <si>
    <t>Cuando un documento no pueda utilizarse para construir el diagnóstico por incumplir las condiciones de admisión, no contener datos procesables o estar desactualizado, informar la causa y permitir reemplazarlo o cargar otra evidencia.</t>
  </si>
  <si>
    <t>El documento queda identificado como Rechazado, No procesable o Desactualizado; se muestra una acción siguiente adecuada y el diagnóstico permanece bloqueado hasta contar con información suficiente.</t>
  </si>
  <si>
    <t>SRC-23 / SRC-24 / SRC-27</t>
  </si>
  <si>
    <t>MatrizAdmisionDS + fixtures REJECT/NONPROC + control DOCSEC-001</t>
  </si>
  <si>
    <t>Video/capturas + payload/código de estado + parámetro de vigencia + manifest</t>
  </si>
  <si>
    <t>TC-M01-013</t>
  </si>
  <si>
    <t>Una regla con tres subescenarios en el mismo caso porque comparten el oráculo de negocio: explicar, recuperar y no habilitar el diagnóstico. DOCSEC-001 conserva la validación técnica de admisión segura.</t>
  </si>
  <si>
    <t>M1-V40, M1-V42</t>
  </si>
  <si>
    <t>M01-RGL-011</t>
  </si>
  <si>
    <t>Revisión documental</t>
  </si>
  <si>
    <t>Regla de negocio / completitud dirigida</t>
  </si>
  <si>
    <t>Antes del diagnóstico, permitir confirmar, corregir, ingresar o categorizar únicamente los datos requeridos que la extracción no resolvió.</t>
  </si>
  <si>
    <t>Los datos clave quedan completos o confirmados; un documento usable parcial se conserva; no se habilita diagnóstico con faltantes bloqueantes.</t>
  </si>
  <si>
    <t>SRC-23 / SRC-24</t>
  </si>
  <si>
    <t>07_Fixtures_DS: MatrizCompletitudDS + MatrizIndicadoresDS</t>
  </si>
  <si>
    <t>Video + payload antes/después + fixture de corrección/ingreso/categorización</t>
  </si>
  <si>
    <t>TC-M01-030 / TC-M01-031</t>
  </si>
  <si>
    <t>Absorbe M01-DOC-005 y M01-DOC-009. Permite intervención puntual; no crea una ruta manual integral paralela. En M01, “Completar información clave” orquesta capacidades ya definidas en módulos dueños: M05 para ingreso/movimientos/categorización; M06 para compromisos/pagos/recurrencias; M04 para deuda/atraso/mora cuando exista señal. Debe abrir el contexto mínimo necesario, devolver el dato confirmado/corregido y recalcular M01-RGL-012. No crear formularios paralelos en M01 ni exigir M04 como condición universal del Diagnóstico.</t>
  </si>
  <si>
    <t>M1-V48, M1-V49, M1-V50, M1-V51</t>
  </si>
  <si>
    <t>M01-RGL-012</t>
  </si>
  <si>
    <t>Regla de negocio / gate</t>
  </si>
  <si>
    <t>Resolver complete, partial permitido, partial bloqueado o blocked mediante una matriz única de indicadores y motivos.</t>
  </si>
  <si>
    <t>Estado, CTA, warning o bloqueo coinciden con el fixture; instrumentos de pago no bloquea por sí solo; solo los estados permitidos habilitan diagnóstico.</t>
  </si>
  <si>
    <t>07_Fixtures_DS: CatalogoFixturesDS + MatrizIndicadoresDS</t>
  </si>
  <si>
    <t>Matriz ejecutada por fixture + capturas + payload de status/mode/reason/CTA</t>
  </si>
  <si>
    <t>TC-M01-015 / TC-M01-016 / TC-M01-017 / TC-M01-032</t>
  </si>
  <si>
    <t>Absorbe SUF-002/003/004/006/008/009. Instrumentos de pago no bloquea por sí solo.</t>
  </si>
  <si>
    <t>M1-V39, M1-V48, M1-V49, M1-V50, M1-V51, M1-V52, M1-V56</t>
  </si>
  <si>
    <t>M01-RGL-013</t>
  </si>
  <si>
    <t>Trazabilidad de datos</t>
  </si>
  <si>
    <t>Mantener por indicador estado, origen, confianza y evidencia equivalentes entre UI y payload.</t>
  </si>
  <si>
    <t>Los cinco indicadores núcleo aparecen con valores canónicos; detectado no equivale a confirmado; la trazabilidad es reproducible.</t>
  </si>
  <si>
    <t>MatrizIndicadoresDS + ContratoEventosM01</t>
  </si>
  <si>
    <t>UI + payload/API + evidence_id + evento de confirmación + mapa de equivalencia</t>
  </si>
  <si>
    <t>TC-M01-018 / TC-M01-019</t>
  </si>
  <si>
    <t>Absorbe SUF-005 y DAT-005. UI y payload se mantienen como evidencias separadas.</t>
  </si>
  <si>
    <t>Aplicada en V48–V51</t>
  </si>
  <si>
    <t>M01-RGL-014</t>
  </si>
  <si>
    <t>Análisis</t>
  </si>
  <si>
    <t>Flujo y recuperación</t>
  </si>
  <si>
    <t>Mostrar progreso del análisis y tratar demora o fallo recuperable sin perder documentos ni generar un diagnóstico espurio.</t>
  </si>
  <si>
    <t>Etapas correctas; demora permite esperar o salir; fallo conserva documentos, ofrece reintento y mantiene correlación con el job original.</t>
  </si>
  <si>
    <t>SRC-26 / SRC-28</t>
  </si>
  <si>
    <t>08_Fixtures_Diagnostico: ANA-PROGRESS/DELAY/FAIL + readiness</t>
  </si>
  <si>
    <t>Video + payload/job_id/correlation_id + parámetros efectivos + manifest</t>
  </si>
  <si>
    <t>TC-M01-020 / TC-M01-021</t>
  </si>
  <si>
    <t>Absorbe ANA-002. La retoma del job se vincula a M01-RGL-008.</t>
  </si>
  <si>
    <t>M1-V44, M1-V45, M1-V46, M1-V47, M1-V59, M1-V60</t>
  </si>
  <si>
    <t>M01-RGL-015</t>
  </si>
  <si>
    <t>Diagnóstico / primera lectura</t>
  </si>
  <si>
    <t>Regla de negocio determinista</t>
  </si>
  <si>
    <t>Generar estado, señales, confianza, presión dominante y CTA según fixtures y matrices aprobadas.</t>
  </si>
  <si>
    <t>En control, Atención, Riesgo y Sin diagnóstico; presión, prioridad, señales, confianza y CTA coinciden con el fixture; el foco solo personaliza o desempata.</t>
  </si>
  <si>
    <t>SRC-10 / SRC-12 / SRC-13 / SRC-21 / SRC-26</t>
  </si>
  <si>
    <t>08_Fixtures_Diagnostico: CatalogoFixturesDIA + MatrizPresionesCTA + MatrizEstadosCopyM01</t>
  </si>
  <si>
    <t>Matriz por fixture + capturas + payload + rule/config_version + evento CTA</t>
  </si>
  <si>
    <t>TC-M01-023 / TC-M01-024 / TC-M01-025 / TC-M01-033</t>
  </si>
  <si>
    <t>Absorbe DIA-002/003/007/011/012. UX/copy se traslada a checklist y no genera casos independientes.
Ajuste editorial PO aprobado: separar la determinación del Estado Financiero del Mes de la matriz de presiones. Primero, una regla canónica por snapshot determina En control/Atención/Riesgo mediante ratio y overrides aprobados una vez superado M01-RGL-012; después M01-RGL-015 selecciona presión dominante, prioridad, señales y CTA. Calidad/completitud de dato, movimientos pendientes, fugas o compromisos no cambian el color por sí solos. Ver M1-DP-006 / AX-M1-004.</t>
  </si>
  <si>
    <t>Aplicada en V53–V60</t>
  </si>
  <si>
    <t>M1-V53, M1-V54, M1-V55, M1-V56, M1-V57</t>
  </si>
  <si>
    <t>M01-RGL-016</t>
  </si>
  <si>
    <t>Cierre del onboarding</t>
  </si>
  <si>
    <t>Persistencia / destino</t>
  </si>
  <si>
    <t>Persistir la primera lectura, cerrar el onboarding y aterrizar en Home/Inicio de M01.</t>
  </si>
  <si>
    <t>El resultado persiste; el onboarding no se repite; Inicio refleja el estado completado.</t>
  </si>
  <si>
    <t>SRC-21 / SRC-26</t>
  </si>
  <si>
    <t>Primera lectura 6670:13628 + definición Home/Inicio + MatrizContinuidadM01</t>
  </si>
  <si>
    <t>Video E2E + estado API/BDD + captura Home/Inicio + reingreso</t>
  </si>
  <si>
    <t>TC-M01-026</t>
  </si>
  <si>
    <t>Absorbe la mitad completada de M01-CON-004. Mi Perfil Financiero permanece como dependencia M02.</t>
  </si>
  <si>
    <t>Aplicada al cierre del Diagnóstico</t>
  </si>
  <si>
    <t>M1-V53, M1-V54, M1-V55, M1-V57</t>
  </si>
  <si>
    <t>M01-RGL-017</t>
  </si>
  <si>
    <t>Datos y eventos</t>
  </si>
  <si>
    <t>Control técnico</t>
  </si>
  <si>
    <t>Registrar eventos mínimos de carga, análisis, diagnóstico, CTA, pausa/retoma y cierre sin datos sensibles.</t>
  </si>
  <si>
    <t>Los payloads cumplen campos obligatorios, null controlado y correlación técnica; no contienen PII ni contenido financiero.</t>
  </si>
  <si>
    <t>SRC-26 / SRC-27 / SRC-28</t>
  </si>
  <si>
    <t>ContratoEventosM01 + DiccionarioEvidenciaM01</t>
  </si>
  <si>
    <t>Erick</t>
  </si>
  <si>
    <t>Export de eventos + matriz campo/fixture + logs redaccionados + correlación</t>
  </si>
  <si>
    <t>TC-M01-027</t>
  </si>
  <si>
    <t>Absorbe M01-ANA-003/TC-M01-036. No duplicar con M01-LOG-001: DAT-001 valida contrato; LOG-001 valida no exposición.</t>
  </si>
  <si>
    <t>Control transversal de QA; no requiere variante visual específica M01.</t>
  </si>
  <si>
    <t>M01-RGL-018</t>
  </si>
  <si>
    <t>Control técnico / readiness</t>
  </si>
  <si>
    <t>Asociar resultados y parámetros efectivos a versiones, fuente y vigencia verificables.</t>
  </si>
  <si>
    <t>rule_version, config_version, parameter_source, effective_from y evaluated_at permiten reproducir el diagnóstico.</t>
  </si>
  <si>
    <t>Manifest técnico + registry de regla/configuración + parámetros efectivos</t>
  </si>
  <si>
    <t>Registros versionados + configuración/pipeline + payloads comparados</t>
  </si>
  <si>
    <t>TC-M01-028</t>
  </si>
  <si>
    <t>Absorbe M01-DOC-008/TC-M01-025 como parámetro versionado. Gate de cumplimiento: Preproducción.</t>
  </si>
  <si>
    <t>Control transversal de readiness/versionamiento; no requiere variante visual específica M01.</t>
  </si>
  <si>
    <t>M01-RGL-019</t>
  </si>
  <si>
    <t>Errores globales</t>
  </si>
  <si>
    <t>Recuperación / navegación</t>
  </si>
  <si>
    <t>Mostrar una salida recuperable ante una ruta inexistente o una indisponibilidad temporal, evitando cierres inesperados, ciclos de reintento y pérdida del estado seguro previo.</t>
  </si>
  <si>
    <t>Una ruta inexistente muestra “No encontramos esta página” y «Volver» retorna a la pantalla anterior. Una falla temporal muestra “No pudimos cargar la información”; «Reintentar» recupera la carga cuando el servicio vuelve, sin duplicar acciones ni perder el estado seguro de sesión.</t>
  </si>
  <si>
    <t>SRC-30</t>
  </si>
  <si>
    <t>Capturas congeladas: página no encontrada y falla temporal de servidor; harness técnico para provocar ambas condiciones</t>
  </si>
  <si>
    <t>Video de ambos subescenarios + ruta/request y código de respuesta + estado antes/después + evidencia de no duplicación</t>
  </si>
  <si>
    <t>TC-M01-049</t>
  </si>
  <si>
    <t>Regla transversal para errores globales. No sustituye los errores específicos de autenticación, documentos o análisis; reutiliza el mismo caso con dos subescenarios porque comparten el oráculo de recuperación y preservación de estado.</t>
  </si>
  <si>
    <t>Control transversal de navegación/recuperación; no requiere variante visual específica M01.</t>
  </si>
  <si>
    <t>RB-FM-001</t>
  </si>
  <si>
    <t>Regla de negocio / priorización CTA</t>
  </si>
  <si>
    <t>Si el usuario tiene un Objetivo Foco del Mes activo, Walvy debe priorizar los CTAs asociados a ese foco en Home, Perfil Financiero, Mi Foco del Mes, recomendaciones y pantallas relacionadas, salvo que exista una señal financiera crítica de mayor prioridad.</t>
  </si>
  <si>
    <t>La experiencia prioriza el foco activo cuando no exista una señal financiera crítica de mayor prioridad.</t>
  </si>
  <si>
    <t>Walvy_Regla_Priorizacion_CTA_por_Foco_Mes_v1_0.docx</t>
  </si>
  <si>
    <t>Sección 6 · Regla de negocio principal</t>
  </si>
  <si>
    <t>Oficial entregado a Kabeli</t>
  </si>
  <si>
    <t>PO</t>
  </si>
  <si>
    <t>Se conserva el identificador y contenido de la regla oficial; cualquier pendiente de implementación se registra por separado.
Ajuste editorial PO aprobado: hacer explícito que el foco activo puede orientar CTAs, recomendaciones, alertas/notificaciones in-app y próximos pasos cuando no exista una señal funcional superior; opera como orientación/desempate y no como override.</t>
  </si>
  <si>
    <t>Aplicada en V28 y V31–V36</t>
  </si>
  <si>
    <t>Walvy_Regla_Priorizacion_CTA_por_Foco_Mes_v1_0.docx · documento oficial entregado a Kabeli</t>
  </si>
  <si>
    <t>RB-FM-002</t>
  </si>
  <si>
    <t>Regla de negocio / prioridad</t>
  </si>
  <si>
    <t>Una señal crítica de salud financiera siempre prevalece sobre el foco declarado.</t>
  </si>
  <si>
    <t>Las señales críticas no pueden quedar ocultas o subordinadas por el foco elegido.</t>
  </si>
  <si>
    <t>Sección 9 · Reglas complementarias</t>
  </si>
  <si>
    <t>Se conserva el identificador y contenido de la regla oficial; cualquier pendiente de implementación se registra por separado.
Ajuste editorial PO aprobado: para sugerencia/priorización contextual sin foco activo, hacer visible la prioridad funcional M04 → M06 → M05. Las señales críticas/superiores siguen prevaleciendo sobre cualquier foco.</t>
  </si>
  <si>
    <t>Aplicada en V28</t>
  </si>
  <si>
    <t>RB-FM-003</t>
  </si>
  <si>
    <t>Regla de negocio / CTA</t>
  </si>
  <si>
    <t>Si no hay señales críticas, el CTA dominante debe alinearse con el Foco del Mes activo.</t>
  </si>
  <si>
    <t>El CTA dominante refleja el foco activo cuando no existe una señal crítica superior.</t>
  </si>
  <si>
    <t>Se conserva el identificador y contenido de la regla oficial; cualquier pendiente de implementación se registra por separado.</t>
  </si>
  <si>
    <t>RB-FM-004</t>
  </si>
  <si>
    <t>Regla de negocio / sugerencia de foco</t>
  </si>
  <si>
    <t>Si el usuario no tiene foco activo, Walvy puede sugerir uno según Perfil Financiero.</t>
  </si>
  <si>
    <t>La capacidad de sugerencia existe cuando no hay foco activo; la selección específica del foco requiere una lógica determinista de Producto todavía pendiente.</t>
  </si>
  <si>
    <t>Se conserva el identificador y contenido de la regla oficial; cualquier pendiente de implementación se registra por separado.
Ajuste editorial PO aprobado: cuando no exista foco activo, la sugerencia consume una versión válida del Diagnóstico y aplica prioridad M04 → M06 → M05 usando las condiciones ya documentadas por foco, sin crear umbrales nuevos en M01. Ver M1-DP-002 / AX-M1-002.</t>
  </si>
  <si>
    <t>Aplicada en V30</t>
  </si>
  <si>
    <t>RB-FM-005</t>
  </si>
  <si>
    <t>Guardrail funcional</t>
  </si>
  <si>
    <t>El foco elegido no debe ocultar deuda presionada, mora, atrasos, vencimientos críticos o disponible insuficiente.</t>
  </si>
  <si>
    <t>Una señal crítica visible mantiene prioridad aunque exista un foco activo.</t>
  </si>
  <si>
    <t>Disponible para validación posterior</t>
  </si>
  <si>
    <t>RB-FM-006</t>
  </si>
  <si>
    <t>Trazabilidad indicador → foco</t>
  </si>
  <si>
    <t>Cada foco debe estar trazado a uno o más indicadores del Perfil Financiero.</t>
  </si>
  <si>
    <t>Toda sugerencia de foco debe poder justificarse por indicadores del Perfil Financiero; la matriz determinista indicador→foco queda pendiente de definición PO.</t>
  </si>
  <si>
    <t>RB-FM-007</t>
  </si>
  <si>
    <t>Jerarquía CTA</t>
  </si>
  <si>
    <t>No deben mostrarse dos CTAs con el mismo peso visual. Debe existir una acción dominante y accesos secundarios si corresponde.</t>
  </si>
  <si>
    <t>La pantalla presenta una acción dominante y subordina las secundarias.</t>
  </si>
  <si>
    <t>Se conserva el identificador y contenido de la regla oficial; cualquier pendiente de implementación se registra por separado.
Ajuste editorial PO aprobado: cuando se presenta un foco sugerido puede existir CTA primario “Usar este foco” para aceptación directa y CTA secundario “Revisar foco” hacia Mi Perfil → Mi foco del mes, manteniendo una única acción dominante.</t>
  </si>
  <si>
    <t>RB-FM-008</t>
  </si>
  <si>
    <t>Calidad de dato</t>
  </si>
  <si>
    <t>Si la calidad del dato es insuficiente para sostener el foco, debe priorizarse completar o confirmar información.</t>
  </si>
  <si>
    <t>Walvy no sostiene una personalización de foco con datos insuficientes; prioriza completar o confirmar información.</t>
  </si>
  <si>
    <t>RB-FM-009</t>
  </si>
  <si>
    <t>Persistencia / superficies</t>
  </si>
  <si>
    <t>El foco activo puede influir en recomendaciones, Home, Perfil Financiero y Mi Foco del Mes.</t>
  </si>
  <si>
    <t>El foco activo puede personalizar las superficies definidas sin reemplazar señales críticas.</t>
  </si>
  <si>
    <t>Se conserva el identificador y contenido de la regla oficial; cualquier pendiente de implementación se registra por separado.
Ajuste editorial PO aprobado: incluir explícitamente alertas/notificaciones in-app y próximos pasos entre las superficies influenciables por el foco, sin reemplazar señales superiores.</t>
  </si>
  <si>
    <t>RB-FM-010</t>
  </si>
  <si>
    <t>Gestión del foco</t>
  </si>
  <si>
    <t>El usuario debe poder cambiar su foco, pero Walvy debe advertir si existe una señal crítica más prioritaria.</t>
  </si>
  <si>
    <t>El cambio de foco no oculta ni desplaza una señal crítica superior.</t>
  </si>
  <si>
    <t>RB-FM-011</t>
  </si>
  <si>
    <t>Trazabilidad catálogo / UI</t>
  </si>
  <si>
    <t>Si la UI muestra menos focos que el catálogo funcional, la selección visible debe justificarse por contexto, espacio o personalización; no debe eliminar la trazabilidad funcional.</t>
  </si>
  <si>
    <t>El catálogo funcional completo conserva trazabilidad aunque una superficie muestre una selección contextual.</t>
  </si>
  <si>
    <t>Catálogo de fuentes citadas por las reglas</t>
  </si>
  <si>
    <t>Fuente ID</t>
  </si>
  <si>
    <t>Documento / fuente</t>
  </si>
  <si>
    <t>Nivel</t>
  </si>
  <si>
    <t>Estado</t>
  </si>
  <si>
    <t>Uso en assessment M01</t>
  </si>
  <si>
    <t>Ubicación / referencia</t>
  </si>
  <si>
    <t>SRC-02</t>
  </si>
  <si>
    <t>MVP_CheckApp_VF_10032026_alineado_estrategia.xlsx</t>
  </si>
  <si>
    <t>N1 alcance</t>
  </si>
  <si>
    <t>Vigente</t>
  </si>
  <si>
    <t>Alcance funcional y criterios de aceptación del MVP.</t>
  </si>
  <si>
    <t>Alcance MVP, filas 2 a 7</t>
  </si>
  <si>
    <t>SRC-06</t>
  </si>
  <si>
    <t>Walvy_Especificacion_UX_Onboarding_App.docx</t>
  </si>
  <si>
    <t>N2 UX</t>
  </si>
  <si>
    <t>Principios, pantallas, estados y salida del onboarding.</t>
  </si>
  <si>
    <t>Secciones 1 a 6</t>
  </si>
  <si>
    <t>SRC-08</t>
  </si>
  <si>
    <t>Walvy_Onboarding_Diagnostico_Fase1_Flujo_Funcional_v1_0.docx</t>
  </si>
  <si>
    <t>N2 funcional</t>
  </si>
  <si>
    <t>Flujo punta a punta, suficiencia, retoma y criterios QA.</t>
  </si>
  <si>
    <t>Tablas 6 a 26</t>
  </si>
  <si>
    <t>SRC-10</t>
  </si>
  <si>
    <t>Walvy_Onboarding_Diagnostico_Fase3_Reglas_Contextuales_Suficiencia_Semaforo_CTA_v1_0.docx</t>
  </si>
  <si>
    <t>N2 reglas</t>
  </si>
  <si>
    <t>Cerrado con candidatos</t>
  </si>
  <si>
    <t>Reglas de suficiencia, semáforo, presión y CTA dominante.</t>
  </si>
  <si>
    <t>Tablas 5 a 28</t>
  </si>
  <si>
    <t>SRC-12</t>
  </si>
  <si>
    <t>00 Matriz_Estados_Visibles_Walvy_v1_0_cards_M01_M02_banco_documental.docx</t>
  </si>
  <si>
    <t>N3 QA visual</t>
  </si>
  <si>
    <t>Estados visibles y textos exactos aprobados para M01.</t>
  </si>
  <si>
    <t>Tablas 0, 4, 5 y 6</t>
  </si>
  <si>
    <t>SRC-13</t>
  </si>
  <si>
    <t>00 Walvy_Catalogo_Maestro_CTA_Contextuales_Walvy_v1_0.docx</t>
  </si>
  <si>
    <t>N3 CTA</t>
  </si>
  <si>
    <t>Vigente con dependencias</t>
  </si>
  <si>
    <t>CTA contextuales y dependencias futuras entre M01 y los módulos dueños.</t>
  </si>
  <si>
    <t>Tablas 3, 4 y 19</t>
  </si>
  <si>
    <t>SRC-21</t>
  </si>
  <si>
    <t>Figma M01 congelado para QA · Acceso, Onboarding y estados disponibles</t>
  </si>
  <si>
    <t>N2 UX ejecutable</t>
  </si>
  <si>
    <t>Vigente · congelado 24-07-2026</t>
  </si>
  <si>
    <t>Referencia visual exacta únicamente para los node IDs enumerados. Registro se valida contra SRC-29 mientras no exista node exacto congelado. Los estados sin frame se validan por comportamiento, copy y jerarquía contra las fuentes funcionales declaradas.</t>
  </si>
  <si>
    <t>https://www.figma.com/design/v45c4HTKnPnU0XABMa5vjY?node-id=3361-2744
Archivo v45c4HTKnPnU0XABMa5vjY · sección 3361:2744. Nodos: bienvenida inicial “Tu mes, en claro” 6670:13197; bienvenida/concientización 6670:13103, 6670:13126 y 6670:13145; foco 6670:13227; carga documental 6670:13168; revisión/base suficiente 6459:7869; modal de salida 6670:13499; anotación de transición a Home 6670:13526 (no corresponde a un frame de pantalla); primera lectura 6670:13628; verificación de cuenta 3470:7580, 3470:7774 y 3470:7862. Los demás estados DOC/SUF usan la fuente funcional alternativa declarada en SRC-24 hasta incorporar sus node IDs.</t>
  </si>
  <si>
    <t>SRC-22</t>
  </si>
  <si>
    <t>Catálogo de usuarios y fixtures sintéticos QA M01 · especificación 1.3</t>
  </si>
  <si>
    <t>N3 QA ejecutable</t>
  </si>
  <si>
    <t>Vigente · especificación v1.3; manifest obligatorio antes de ejecutar</t>
  </si>
  <si>
    <t>USUARIOS
QA-ACC-NEW-01: nuevo/no registrado. QA-ACC-ACT-01: activo/verificado, onboarding pendiente. QA-ACC-BIO-01: activo/verificado, biometría configurada. QA-ACC-REC-01: activo/verificado, buzón de prueba. QA-ACC-REST-01: activo/verificado, access_state=restricted, credenciales válidas, motivo interno no expuesto y canal de soporte configurado.
DATA-M01-DOC-01 | SPEC-1.2
Alias de DATA-M01-SUF-FULL-01 definido en SRC-23. Usuario QA-ACC-ACT-01; foco “Bajar deuda”; inicio en Selección de foco, sin documentos ni diagnóstico. Los archivos se materializan dentro de la ventana de vigencia efectiva del build. Esperado: documentos visibles, análisis iniciado, cinco indicadores núcleo visibles, estado “Base suficiente para empezar” y CTA dominante “Comenzar diagnóstico”; secundarias “Cargar más documentos” y “Continuar más tarde”.
DATA-M01-ONB-01 | SPEC-1.2
QA-ACC-ACT-01; foco “Bajar deuda”; cuenta activa/verificada; onboarding pendiente; sin documentos ni primera lectura. Insumo DOC-01. Resultado intermedio: “Base suficiente para empezar”. Resultado final: “Tu primera lectura está lista” / “En control”; Margen Saludable, Compromisos Bajo control y Movimientos Sin alertas. Los destinos M06/M02 visibles no se ejecutan para cerrar M01.
DATA-M01-REG-VALID-01 | SPEC-1.0
QA-ACC-NEW-01; correo qa.m01.registro+001@walvy.test y confirmación idéntica; RUT sintético válido 11.111.111-1; contraseña válida; Términos=true; Política=true. Esperado: CTA habilitado, cuenta pending_verification, OTP válido activa la cuenta.
DATA-M01-REG-ERROR-01 | SPEC-1.0
A: correos distintos. B: RUT 12.345.678-9 inválido. C: Términos=false. D: Política=false. Cada subcaso muestra error específico y mantiene CTA deshabilitado hasta corregirse.</t>
  </si>
  <si>
    <t>DATA-M01-FOCO-01 | SPEC-1.2
Dos ejecuciones de ONB-01 con focos “Bajar deuda” y “Ahorrar un monto”. Esperado: mismo semáforo y señales; solo varía priorización o copy contextual permitido.
DATA-M01-PARTIAL-01 | SPEC-1.2
Alias de DATA-M01-SUF-PARTIAL-BLOCK-01 definido en SRC-23. Usuario QA-ACC-ACT-01; checkpoint Revisión documental. Esperado: “Faltan datos por confirmar”, partial_diagnostic_allowed=false, sin primera lectura concluyente y acciones “Completar información clave” / “Continuar más tarde”.
MANIFEST OBLIGATORIO
Para cada fixture: ID y versión, nombre exacto, ruta/URI, formato, tipo documental, período, tamaño real, SHA-256, fecha de generación, responsable, build/plataforma, parámetro de vigencia efectivo y resultado de admisión. Mientras falte un campo, el caso permanece “No iniciado”.
Registro: SRC-29 + TC-M01-003/004. No utilizar datos personales reales.</t>
  </si>
  <si>
    <t>SRC-23</t>
  </si>
  <si>
    <t>Especificación QA Documentos y Suficiencia M01 · fixtures y matriz de admisión v1.2</t>
  </si>
  <si>
    <t>Vigente para assessment · especificación v1.2; materialización pendiente</t>
  </si>
  <si>
    <t>Matriz ejecutable de admisión, catálogo de fixtures, matriz determinista por indicador y MatrizCompletitudDS. Owners activos: M01-RGL-009/004, M01-RGL-011 y M01-RGL-012/007.</t>
  </si>
  <si>
    <t>Hoja 07_Fixtures_DS: MatrizAdmisionDS, CatalogoFixturesDS, MatrizIndicadoresDS y MatrizCompletitudDS. Cero fixture eliminado.</t>
  </si>
  <si>
    <t>SRC-24</t>
  </si>
  <si>
    <t>Decisiones QA Documentos y Suficiencia M01 · versión 1.0</t>
  </si>
  <si>
    <t>N2 decisión funcional/QA</t>
  </si>
  <si>
    <t>Vigente para ejecución del assessment M01</t>
  </si>
  <si>
    <t>Decisiones DS-001 a DS-006 remapeadas: completitud dirigida→M01-RGL-011/TC-M01-031; gates→M01-RGL-012; trazabilidad→M01-RGL-013. No constituye contrato técnico.</t>
  </si>
  <si>
    <t>Detalle histórico en 06_Iteracion_B_DS; datos ejecutables en 07_Fixtures_DS; owners activos en 02/03.</t>
  </si>
  <si>
    <t>SRC-25</t>
  </si>
  <si>
    <t>Walvy_M01_Release_Note_QA.pdf</t>
  </si>
  <si>
    <t>N1 entrega técnica</t>
  </si>
  <si>
    <t>Vigente · entrega 21-07-2026</t>
  </si>
  <si>
    <t>Congela build y contratos técnicos entregados: recuperación por OTP, endpoints de autenticación, rotación/replay de refresh tokens, logout local/global, rate limit y ausencia de backoffice admin.</t>
  </si>
  <si>
    <t>Backend v1.0.0 c2e9460; Frontend v1.0.0 94199ee; Sandbox/QA. Secciones 1, 2, 4 y 5.</t>
  </si>
  <si>
    <t>SRC-26</t>
  </si>
  <si>
    <t>Especificación QA consolidada de Análisis, Diagnóstico y Continuidad M01 · v1.0</t>
  </si>
  <si>
    <t>N2 QA ejecutable</t>
  </si>
  <si>
    <t>Vigente para assessment</t>
  </si>
  <si>
    <t>Catálogo determinista ANA/DIA, presiones, señales, confianza, copy y continuidad, con referencias a los casos autónomos y aliases de 13_Alias_Trazabilidad.</t>
  </si>
  <si>
    <t>Hoja 08_Fixtures_Diagnostico; owners: M01-RGL-014, M01-RGL-015, M01-RGL-016 y M01-RGL-008.</t>
  </si>
  <si>
    <t>SRC-27</t>
  </si>
  <si>
    <t>Contratos QA de Privacidad, Identidad, Autorización y Documentos M01 · v1.0</t>
  </si>
  <si>
    <t>N2 QA técnico</t>
  </si>
  <si>
    <t>Vigente para assessment · completar manifests antes de ejecutar</t>
  </si>
  <si>
    <t>Contratos QA Priv/Sec con owner de logging M01-LOG-001; SEC-007 en readiness condicional; deudas en DEBT IDs; registro funcional cruzado con SRC-29.</t>
  </si>
  <si>
    <t>Hoja 09_Contratos_PrivSec + 14_Soporte_QA. No mezclar evidencia UI y técnica.</t>
  </si>
  <si>
    <t>SRC-28</t>
  </si>
  <si>
    <t>Diccionario de evidencia, readiness y alcance aprobable M01 · v1.0</t>
  </si>
  <si>
    <t>N3 preparación QA</t>
  </si>
  <si>
    <t>Vigente para planificación y ejecución</t>
  </si>
  <si>
    <t>Diccionario de evidencia/readiness para 29 casos autónomos. Dependencias, checklist y deudas se administran en 14_Soporte_QA.</t>
  </si>
  <si>
    <t>Hoja 10_Evidencia_Readiness; no duplicar evidencia de aliases.</t>
  </si>
  <si>
    <t>SRC-29</t>
  </si>
  <si>
    <t>Registro M01 · referencia visual aportada 25-07-2026</t>
  </si>
  <si>
    <t>Vigente como referencia aportada</t>
  </si>
  <si>
    <t>Referencia visual funcional para M01-RGL-002 y TC-M01-003/004. Campos visibles: correo, confirmación, RUT, contraseña, Términos y Política. Errores visibles: correos no coinciden y RUT inválido. No afirmar conformidad pixel-perfect hasta congelar node/version exactos.</t>
  </si>
  <si>
    <t>Archivo image(131).png · 1380×862 · SHA-256 100af6ef6ed4414b2a846976525413c8953f7d88490ad52bfa27544356944a68 · node exacto de Figma pendiente antes de ejecución visual final.</t>
  </si>
  <si>
    <t>Capturas congeladas M01 y pantallas de error · 25-07-2026</t>
  </si>
  <si>
    <t>Vigente · congelado por archivo y SHA-256</t>
  </si>
  <si>
    <t>Referencia funcional/visual para estados aportados después del cierre v1.20.1: validaciones de recuperación, cuenta pending_verification, acceso restringido, página no encontrada y falla temporal de servidor. Se utiliza en M01-RGL-001, M01-RGL-003, M01-RGL-019 y TC-M01-002/005/042/049. Las capturas acreditan texto, jerarquía y acción observable; no acreditan por sí solas implementación ni conformidad pixel-perfect de un node no identificado.</t>
  </si>
  <si>
    <t>Flujo completo M01 - Part I(1).png · 2048×1271 · SHA-256 434d813c910ff4d167d3c31cb71c3e9e876a076175432277ddefee8b80f7b149
Flujo completo M01 - Part II(1).png · 2048×841 · SHA-256 4b66f0f33e2aa948a3b792f90e65a53c31379f7da11c47d346bc95bea2891542
Flujo completo 1.0.png · 685×2048 · SHA-256 fcaf9c64031d451f07c872a4d097697969d260d6af7bec9e1c8967fddceb43d8</t>
  </si>
  <si>
    <t>SRC-FM-01</t>
  </si>
  <si>
    <t>N2 reglas de Producto</t>
  </si>
  <si>
    <t>Catálogo de seis focos, priorización de CTA, jerarquía entre señales críticas/foco declarado/foco sugerido y reglas RB-FM-001 a RB-FM-011.</t>
  </si>
  <si>
    <t>Secciones 3, 6, 7, 9 y 11</t>
  </si>
  <si>
    <t>M1 – Brechas de cobertura detectadas en la matriz Kabeli</t>
  </si>
  <si>
    <t>Registra únicamente variantes, condiciones o reglas que debían estar cubiertas por las fuentes vigentes y que no fueron levantadas por Kabeli. No se incluyen mejoras nuevas de Producto ni hallazgos de ejecución QA.</t>
  </si>
  <si>
    <t>ID Brecha</t>
  </si>
  <si>
    <t>Bloque</t>
  </si>
  <si>
    <t>Variante / condición faltante</t>
  </si>
  <si>
    <t>Fuente que la exige</t>
  </si>
  <si>
    <t>Regla Walvy</t>
  </si>
  <si>
    <t>Tratamiento propuesto</t>
  </si>
  <si>
    <t>Observación</t>
  </si>
  <si>
    <t>M1-BC-001</t>
  </si>
  <si>
    <t>Secuencia de concientización posterior a la bienvenida</t>
  </si>
  <si>
    <t>Walvy_Onboarding_Diagnostico_Fase1_Flujo_Funcional_v1_0.docx + Walvy_Onboarding_Diagnostico_Fase2_Matriz_Pantallas_Estados_Acciones_v1_0.docx + Figma cerrado</t>
  </si>
  <si>
    <t>Incorporar cobertura explícita de la secuencia breve de concientización antes de Foco del Mes.</t>
  </si>
  <si>
    <t>Confirmada</t>
  </si>
  <si>
    <t>Kabeli pasa de M1-V27 Bienvenida / activación a M1-V28 Foco declarado y no representa la secuencia intermedia documentada y construida en Figma.</t>
  </si>
  <si>
    <t>M1-BC-003</t>
  </si>
  <si>
    <t>Error de carga/subida del archivo</t>
  </si>
  <si>
    <t>Walvy_Especificacion_UX_Onboarding_App.docx · 4.2 Estados operativos</t>
  </si>
  <si>
    <t>Si el archivo no completa correctamente su carga, informar que no pudo cargarse y permitir reintentar o seleccionar nuevamente. No comunicar que quedó disponible para análisis.</t>
  </si>
  <si>
    <t>Ocurre antes de conocer la usabilidad del archivo. Debe diferenciarse de M1-V40, donde el archivo ya llegó a evaluación pero no resulta usable/no procesable.</t>
  </si>
  <si>
    <t>M1-BC-004</t>
  </si>
  <si>
    <t>Archivo rechazado por condiciones de admisión</t>
  </si>
  <si>
    <t>Figma cerrado + Walvy_Onboarding_Diagnostico_Fase3_Anexo_BDD_Reglas_Productivas_v1_0.docx</t>
  </si>
  <si>
    <t>Si el archivo incumple una condición de admisión aplicable —formato, tamaño, límite u otra validación definida—, no incorporarlo al conjunto a analizar, informar la causa y permitir reemplazarlo.</t>
  </si>
  <si>
    <t>Diferente de M1-V40: el rechazo ocurre en la admisión; M1-V40 corresponde a un archivo admitido que posteriormente no produce información útil/procesable.</t>
  </si>
  <si>
    <t>M1-BC-005</t>
  </si>
  <si>
    <t>Cuenta restringida con credenciales válidas</t>
  </si>
  <si>
    <t>M01-RGL-001 + Walvy_Assessment_Validacion_M01_v1.1 (diferido_onboarding) · TC-M01-002 / SRC-30</t>
  </si>
  <si>
    <t>Incorporar cobertura explícita del caso: credenciales válidas + cuenta restricted → no crear sesión; mostrar “Acceso restringido”; permitir contactar a soporte y volver a Login; no exponer motivo interno.</t>
  </si>
  <si>
    <t>No corresponde a V03: allí las credenciales son inválidas. Aquí la autenticación es válida, pero el estado de cuenta bloquea el acceso. No requiere una decisión adicional de Producto.</t>
  </si>
  <si>
    <t>M1 – Decisiones y observaciones de Producto surgidas durante la revisión</t>
  </si>
  <si>
    <t>Estas observaciones no se atribuyen a Kabeli como brechas de cobertura. Se registran separadamente para no contaminar la validación de la matriz entregada. La columna “Pendiente Cliente relacionado” vincula la observación con el backlog de Kabeli cuando corresponde; una observación resuelta puede no tener pendiente asociado.</t>
  </si>
  <si>
    <t>Relación con matriz Kabeli</t>
  </si>
  <si>
    <t>Pendiente Cliente relacionado</t>
  </si>
  <si>
    <t>M1-DP-001</t>
  </si>
  <si>
    <t>El Registro utiliza un único campo de contraseña y el Figma cerrado incorpora el control mostrar/ocultar contraseña, permitiendo al usuario revisar el valor digitado sin requerir un segundo campo de confirmación.</t>
  </si>
  <si>
    <t>Observación de Producto cerrada</t>
  </si>
  <si>
    <t>No constituye brecha de cobertura de Kabeli; resuelto por el diseño cerrado.</t>
  </si>
  <si>
    <t>Definición funcional cerrada. Cuando el usuario no tenga un Foco del Mes activo y exista información suficiente para generar una versión válida del Diagnóstico, Walvy puede sugerir un foco usando la lectura consolidada de M04, M06 y M05 con prioridad M04 → M06 → M05. La sugerencia se presenta con CTA primario Usar este foco y secundario Revisar foco; si no se acepta, permanece no declarado y puede recalcularse; una vez aceptado, se mantiene activo y no cambia automáticamente. El foco orienta CTAs, recomendaciones, alertas y próximos pasos cuando no existe una señal superior. Ver AX-M1-002 para lógica completa, derivaciones, persistencia y ajustes editoriales.</t>
  </si>
  <si>
    <t>Definición funcional cerrada / ajuste documental Kabeli</t>
  </si>
  <si>
    <t>M1-V30 · M1-RN-ONB-019 · RB-FM-001/002/004/006/007/009 · Ver AX-M1-002</t>
  </si>
  <si>
    <t>Definición funcional cerrada. Para documentos protegidos asociados al RUT del usuario, Walvy debe intentar automáticamente un catálogo cerrado de tres contraseñas derivadas del RUT, excluyendo siempre el dígito verificador, en este orden: (1) RUT numérico completo sin DV, (2) últimos 4 dígitos y (3) primeros 4 dígitos. Máximo un intento por variante y detenerse al abrir. Si ninguna funciona, solicitar contraseña manual. Una contraseña manual incorrecta permite corregir/reintentar o cargar otro documento, sin bloqueo propio del MVP. Las contraseñas solo pueden utilizarse temporalmente durante apertura/procesamiento y no deben persistirse ni registrarse en logs, analytics, eventos o checkpoints. Kabeli/Seguridad debe validar el baseline e informar cualquier restricción técnica que exija modificarlo.</t>
  </si>
  <si>
    <t>Definición funcional cerrada / baseline funcional-técnico propuesto</t>
  </si>
  <si>
    <t>M1-V41 · M1-RN-ONB-022 · M01-DOCSEC-003</t>
  </si>
  <si>
    <t>Definición funcional cerrada. La duplicidad debe detectarse por cuenta/usuario mediante una huella de contenido (hash o token equivalente), sin almacenar permanentemente el archivo. Procesado OK: bloquear una nueva carga del mismo contenido e informar que ya fue cargado, sin duplicar datos ni suficiencia. Fallo técnico transitorio: permitir retry/reprocesamiento y no tratarlo como duplicado. Documento determinísticamente no procesable: conservar temporalmente la huella junto con motivo y versión del procesador para evitar reprocesamientos idénticos hasta expiración o cambio de procesador. La retención exacta de huellas es parámetro técnico/privacidad; el comportamiento funcional queda cerrado.</t>
  </si>
  <si>
    <t>Definición funcional cerrada / ajuste documental y técnico Kabeli</t>
  </si>
  <si>
    <t>M1-V43 · M1-RN-ONB-024</t>
  </si>
  <si>
    <t>Definición funcional cerrada. V47 corresponde exclusivamente a un fallo técnico recuperable/transitorio ocurrido después de admitir el documento y durante el procesamiento/análisis. No se genera Diagnóstico y se conservan documentos, selección y checkpoint. CTA primario Reintentar; CTA secundario Volver a revisión, desde donde se puede reemplazar o agregar documentación; Continuar más tarde puede mantenerse cuando exista retoma. Cada retry debe mantener trazabilidad con el job original y no duplicar documentos ni datos. Documento no procesable (V40) e insuficiencia de datos (V50/V51) se tratan en sus reglas específicas.</t>
  </si>
  <si>
    <t>M1-V47 · M1-RN-ONB-025 · M01-RGL-014</t>
  </si>
  <si>
    <t>Diagnóstico / Estado Financiero del Mes</t>
  </si>
  <si>
    <t>Definición funcional cerrada. M01-RGL-012 gobierna si existe base suficiente para diagnosticar. Una regla canónica única por snapshot mensual gobierna En control/Atención/Riesgo mediante ratio = egreso mensual proyectado / ingreso mensual reconocido, con umbrales parametrizables &lt;90%, 90%-&lt;100% y &gt;=100%. El ratio mide flujo/liquidez mensual: ahorro, inversiones o patrimonio no compensan déficit. Único override determinista de Riesgo MVP: mora_confirmada = obligación vencida + saldo pendiente + evidencia suficiente. M01-RGL-015 opera después para presión/CTA. M05/M06 aportan inputs normalizados y conciliados; M04 no es input del cálculo y mantiene sus propios criterios. Ver AX-M1-004.</t>
  </si>
  <si>
    <t>Definición funcional cerrada / contrato intermodular y ajuste documental Kabeli</t>
  </si>
  <si>
    <t>M1-V53 a M1-V55 · M1-RN-ONB-009/011/012 · M01-RGL-012/015 · Ver AX-M1-004</t>
  </si>
  <si>
    <t>M1-DP-007</t>
  </si>
  <si>
    <t>Suficiencia / Diagnóstico</t>
  </si>
  <si>
    <t>Sin diagnóstico se representa mediante los gates de suficiencia previos a la primera lectura y no mediante una cuarta tarjeta equivalente a En control / Atención / Riesgo. Cuando la base es insuficiente, Walvy bloquea el diagnóstico, explica qué falta y ofrece la acción de recuperación correspondiente.</t>
  </si>
  <si>
    <t>Decisión funcional cerrada</t>
  </si>
  <si>
    <t>M1-V56 y relación con M1-V50 a M1-V52 · no constituye brecha de cobertura de Kabeli.</t>
  </si>
  <si>
    <t>Definición funcional cerrada. M01-RGL-012 permanece como único gate de suficiencia. Cada indicador conserva estado de detección, origen, confianza y evidencia, pero debe normalizarse previamente a sufficient, pending o missing; el gate aplica después disponibilidad mínima y criticidad funcional. Falta elemento obligatorio → blocked; base mínima + pendiente crítico → partial bloqueado; base mínima + solo pendientes no críticos → partial permitido; sin pendientes relevantes → complete. Movimientos pendientes bloquean; pagos recurrentes pendientes pueden permitir parcial bajo la combinación documentada; instrumentos de pago no bloquean por sí solos. Reasons explican el resultado y no son reglas independientes. Ver AX-M1-003.</t>
  </si>
  <si>
    <t>Definición funcional cerrada / simplificación implementable</t>
  </si>
  <si>
    <t>M1-V50 · M01-RGL-012/013 · Ver AX-M1-003</t>
  </si>
  <si>
    <t>M1-DP-009</t>
  </si>
  <si>
    <t>Retoma de onboarding</t>
  </si>
  <si>
    <t>Definición funcional cerrada. Si el usuario abandona el onboarding sin cargar datos en otros módulos, al volver debe retomarlo desde el checkpoint/punto útil abandonado. Si después de salir incorpora datos desde Home u otro módulo, Walvy debe reevaluar la suficiencia global con M01-RGL-012: si aún falta información, deriva al punto de onboarding correspondiente; si ya existe información suficiente para generar el Diagnóstico, no devuelve al onboarding y habilita el Diagnóstico desde Home. El onboarding se considera cumplido cuando puede mostrarse el diagnóstico inicial con información suficiente y la próxima acción correspondiente.</t>
  </si>
  <si>
    <t>Definición funcional cerrada / continuidad transversal</t>
  </si>
  <si>
    <t>M1-V48 a M1-V52 · M1-V58 a M1-V60 · M1-RN-ONB-014/016 · M01-RGL-012</t>
  </si>
  <si>
    <t>Registro / Verificación de correo</t>
  </si>
  <si>
    <t>Definición funcional cerrada. La verificación de correo separa la vigencia del código del temporizador de reenvío: el contador visible solo habilita solicitar un nuevo código y no implica su expiración. El OTP es temporal y de un solo uso; una validación exitosa o un nuevo envío invalida el código anterior, y un código incorrecto, vencido, reutilizado o reemplazado no habilita la cuenta. Producto adopta un baseline de seguridad parametrizable documentado en AX-M1-001 · Ciclo de vida y parametrización OTP, que contiene parámetros, fundamentos NIST/OWASP, guardrails, referencias y controles QA. Kabeli/Seguridad debe confirmar los valores efectivos implementados o justificar cualquier desviación.</t>
  </si>
  <si>
    <t>Definición funcional cerrada / baseline de seguridad aceptado por Producto</t>
  </si>
  <si>
    <t>M1-V13 y M1-V16 · M1-RN-ACC-032 / M1-RN-ACC-033 · Ver AX-M1-001</t>
  </si>
  <si>
    <t>Recuperación excepcional sin acceso al correo registrado</t>
  </si>
  <si>
    <t>Definición funcional cerrada. Cuando el usuario no pueda acceder al correo registrado, Walvy no ofrecerá recuperación automática alternativa en el MVP y lo derivará a soporte@walvy.cl. El contacto con soporte no acredita identidad ni habilita por sí solo cambio de correo, contraseña o acceso. Solo una verificación satisfactoria conforme al procedimiento aprobado por Seguridad/Operaciones permite iniciar la recuperación. Si continúa sin acceso al correo actual, debe proporcionar un correo diferente bajo su control, que se verifica antes de sustituir al anterior; si recupera acceso al correo original, vuelve al flujo estándar. Al completar la recuperación deben renovarse credenciales, invalidarse sesiones previas y registrarse/notificarse el evento. Sin evidencia suficiente, no se modifica la cuenta.</t>
  </si>
  <si>
    <t>Definición funcional cerrada / procedimiento Seguridad-Operaciones pendiente</t>
  </si>
  <si>
    <t>M1-V19 · M1-RN-ACC-034 · M01-RGL-003</t>
  </si>
  <si>
    <t>M1 – Anexos Producto</t>
  </si>
  <si>
    <t>Hoja complementaria de Producto. Amplía decisiones que requieren estructura, parámetros o fundamento técnico sin modificar las hojas originales de Kabeli. Cada anexo debe ser referenciado desde Observaciones Producto y mantener trazabilidad con DP, PD y variantes.</t>
  </si>
  <si>
    <t>ID Anexo</t>
  </si>
  <si>
    <t>Título</t>
  </si>
  <si>
    <t>DP relacionado</t>
  </si>
  <si>
    <t>PD relacionado</t>
  </si>
  <si>
    <t>AX-M1-001</t>
  </si>
  <si>
    <t>Ciclo de vida y parametrización OTP</t>
  </si>
  <si>
    <t>M1-V13 / M1-V16</t>
  </si>
  <si>
    <t>Aceptado Producto · pendiente confirmación Kabeli/Seguridad</t>
  </si>
  <si>
    <t>Decisión funcional</t>
  </si>
  <si>
    <t>La vigencia del OTP y el temporizador de reenvío son controles distintos. El contador visible solo habilita solicitar un nuevo código. El OTP debe ser temporal, de un solo uso, generado de forma criptográficamente segura y asociado a la cuenta/proceso. Una validación exitosa o un nuevo envío invalida el código anterior; un código incorrecto, vencido, reutilizado o reemplazado no habilita la cuenta. Los parámetros de esta hoja constituyen el baseline Walvy aceptado por Producto; deben quedar configurables/versionados y Kabeli/Seguridad debe confirmar los valores efectivos del build o justificar cualquier desviación.</t>
  </si>
  <si>
    <t>Parámetros y controles de referencia</t>
  </si>
  <si>
    <t>Control / parámetro</t>
  </si>
  <si>
    <t>Baseline Walvy</t>
  </si>
  <si>
    <t>Fundamento</t>
  </si>
  <si>
    <t>Naturaleza</t>
  </si>
  <si>
    <t>Fuentes</t>
  </si>
  <si>
    <t>QA / validación esperada</t>
  </si>
  <si>
    <t>Longitud OTP</t>
  </si>
  <si>
    <t>6 dígitos</t>
  </si>
  <si>
    <t>Mantiene el comportamiento observado. NIST usa al menos seis dígitos para secretos temporales comparables; OWASP recomienda considerar 8 o más cuando la usabilidad lo permita. No se reabre V13 por este punto.</t>
  </si>
  <si>
    <t>Definición existente + benchmark</t>
  </si>
  <si>
    <t>REF-01 / REF-02</t>
  </si>
  <si>
    <t>Generación con CSPRNG; aceptar exactamente el formato configurado.</t>
  </si>
  <si>
    <t>verification_otp_ttl</t>
  </si>
  <si>
    <t>10 min</t>
  </si>
  <si>
    <t>TTL corto para limitar exposición. NIST exige completar autenticación OOB dentro de 10 min; Walvy lo usa solo como benchmark conservador porque NIST indica que email no debe usarse como canal OOB de autenticación.</t>
  </si>
  <si>
    <t>Baseline Producto</t>
  </si>
  <si>
    <t>REF-01</t>
  </si>
  <si>
    <t>Código vencido no activa cuenta; expiración independiente del temporizador de reenvío.</t>
  </si>
  <si>
    <t>verification_resend_cooldown</t>
  </si>
  <si>
    <t>60 s</t>
  </si>
  <si>
    <t>Baseline Walvy para reducir reenvíos repetitivos, flooding y consumo innecesario manteniendo una recuperación razonable. OWASP exige rate limiting/monitorización, pero no prescribe 60 s.</t>
  </si>
  <si>
    <t>REF-03 / REF-04</t>
  </si>
  <si>
    <t>Reenvío no disponible antes del cooldown; el contador visible representa este control.</t>
  </si>
  <si>
    <t>verification_max_attempts</t>
  </si>
  <si>
    <t>5 fallidos acumulados</t>
  </si>
  <si>
    <t>Limita guessing sobre un secreto corto. NIST exige rate limiting por cuenta para secretos cortos y especifica que generar un nuevo secreto no reinicia el contador de fallos; OWASP exige límites estrictos de intentos.</t>
  </si>
  <si>
    <t>El reenvío no reinicia intentos fallidos; validar límite y recuperación segura.</t>
  </si>
  <si>
    <t>verification_resend_limit / window</t>
  </si>
  <si>
    <t>5 reenvíos / 15 min</t>
  </si>
  <si>
    <t>Baseline Walvy para contener automatización, flooding del correo y abuso del endpoint. OWASP recomienda limitar solicitudes excesivas y monitorear la función de verificación.</t>
  </si>
  <si>
    <t>REF-03 / REF-04 / REF-05</t>
  </si>
  <si>
    <t>Contabilizar como mínimo por cuenta/correo; probar ráfagas y múltiples IP.</t>
  </si>
  <si>
    <t>verification_resend_block_cooldown</t>
  </si>
  <si>
    <t>15 min</t>
  </si>
  <si>
    <t>Cooldown temporal al superar el límite, evitando un bloqueo permanente provocado únicamente por abuso del mecanismo de reenvío.</t>
  </si>
  <si>
    <t>REF-03 / REF-05</t>
  </si>
  <si>
    <t>Bloquear nuevos envíos durante el cooldown y permitir recuperación posterior.</t>
  </si>
  <si>
    <t>Nuevo código invalida anterior</t>
  </si>
  <si>
    <t>Evita múltiples secretos válidos simultáneamente. OWASP recomienda que el reenvío genere un OTP nuevo y sobrescriba/invalide el anterior.</t>
  </si>
  <si>
    <t>Guardrail</t>
  </si>
  <si>
    <t>REF-02</t>
  </si>
  <si>
    <t>Después de reenviar, el código anterior debe fallar siempre.</t>
  </si>
  <si>
    <t>Rate limiting</t>
  </si>
  <si>
    <t>Cuenta/correo como mínimo + IP y, cuando sea viable, sesión/dispositivo/señales de riesgo</t>
  </si>
  <si>
    <t>El control por cuenta protege ante ataques distribuidos desde múltiples IP; los controles complementarios reducen abuso horizontal y automatización. No depender exclusivamente de una IP.</t>
  </si>
  <si>
    <t>Guardrail técnico</t>
  </si>
  <si>
    <t>REF-01 / REF-04 / REF-05</t>
  </si>
  <si>
    <t>Probar mismo usuario desde varias IP y una IP contra varias cuentas; registrar activación de límites.</t>
  </si>
  <si>
    <t>Logging / monitoreo</t>
  </si>
  <si>
    <t>Registrar eventos; nunca el valor del OTP</t>
  </si>
  <si>
    <t>Los fallos, reenvíos, límites y activación deben ser observables para seguridad, sin exponer el secreto en logs.</t>
  </si>
  <si>
    <t>REF-02 / REF-06</t>
  </si>
  <si>
    <t>Verificar ausencia de OTP en logs y presencia de eventos de seguridad necesarios.</t>
  </si>
  <si>
    <t>Guardrails adicionales</t>
  </si>
  <si>
    <t>• La expiración del OTP no debe deducirse del contador visible de reenvío: son parámetros independientes.</t>
  </si>
  <si>
    <t>• Un OTP válido solo puede utilizarse una vez; validación exitosa, expiración o reemplazo lo invalidan.</t>
  </si>
  <si>
    <t>• Solicitar un nuevo código no reinicia el contador acumulado de intentos fallidos.</t>
  </si>
  <si>
    <t>• Los parámetros deben mantenerse configurables y versionados; Kabeli/Seguridad debe confirmar los valores efectivos del build o justificar cualquier desviación.</t>
  </si>
  <si>
    <t>• La referencia NIST se utiliza como benchmark de seguridad para secretos temporales. NIST indica expresamente que email no debe utilizarse como canal out-of-band de autenticación, por lo que no se presenta como requisito de cumplimiento directo para la verificación de correo de Walvy.</t>
  </si>
  <si>
    <t>Impacto esperado en documentación Kabeli</t>
  </si>
  <si>
    <t>Elemento</t>
  </si>
  <si>
    <t>Ajuste requerido</t>
  </si>
  <si>
    <t>Mantener la variante; confirmar formalmente longitud/configuración y controles aplicables sin reabrir el diseño visual.</t>
  </si>
  <si>
    <t>M1-V16 · D</t>
  </si>
  <si>
    <t>Separar disparador de reenvío (fin de cooldown) de vencimiento del OTP (fin de TTL).</t>
  </si>
  <si>
    <t>M1-V16 · E</t>
  </si>
  <si>
    <t>Definir reenvío, invalidación del código anterior, rechazo de código vencido/reutilizado/reemplazado y recuperación ante límites.</t>
  </si>
  <si>
    <t>M1-RN-ACC-032 / 033</t>
  </si>
  <si>
    <t>Incorporar ciclo de vida, single-use, reenvío, intentos, límites y parametrización versionada.</t>
  </si>
  <si>
    <t>Casos de prueba / evidencia</t>
  </si>
  <si>
    <t>Cubrir válido, incorrecto, vencido, reutilizado, reemplazado, máximo de intentos, límites de reenvío, rate limiting y ausencia de OTP en logs.</t>
  </si>
  <si>
    <t>Referencias</t>
  </si>
  <si>
    <t>Fuente / uso</t>
  </si>
  <si>
    <t>URL</t>
  </si>
  <si>
    <t>NIST SP 800-63B · benchmark para vigencia, single-use y rate limiting de secretos temporales; incluye advertencia de que email no debe utilizarse para autenticación OOB.</t>
  </si>
  <si>
    <t>https://pages.nist.gov/800-63-4/sp800-63b.html</t>
  </si>
  <si>
    <t>OWASP Multifactor Authentication Cheat Sheet · manejo de OTP: TTL corto, single-use, límites, CSPRNG, no logging y reemplazo al reenviar.</t>
  </si>
  <si>
    <t>https://cheatsheetseries.owasp.org/cheatsheets/Multifactor_Authentication_Cheat_Sheet.html</t>
  </si>
  <si>
    <t>REF-03</t>
  </si>
  <si>
    <t>OWASP Forgot Password Cheat Sheet · protección frente a brute force y solicitudes excesivas.</t>
  </si>
  <si>
    <t>https://cheatsheetseries.owasp.org/cheatsheets/Forgot_Password_Cheat_Sheet.html</t>
  </si>
  <si>
    <t>REF-04</t>
  </si>
  <si>
    <t>OWASP Email Validation and Verification Cheat Sheet · expiración, invalidación, rate limiting y monitorización en verificación de correo.</t>
  </si>
  <si>
    <t>https://cheatsheetseries.owasp.org/cheatsheets/Email_Validation_and_Verification_Cheat_Sheet.html</t>
  </si>
  <si>
    <t>REF-05</t>
  </si>
  <si>
    <t>OWASP Bot Management and Anti-Automation Cheat Sheet · rate limiting, cuotas y mitigación de automatización.</t>
  </si>
  <si>
    <t>https://cheatsheetseries.owasp.org/cheatsheets/Bot_Management_and_Anti-Automation_Cheat_Sheet.html</t>
  </si>
  <si>
    <t>REF-06</t>
  </si>
  <si>
    <t>OWASP Logging Cheat Sheet · eventos de seguridad y monitoreo.</t>
  </si>
  <si>
    <t>https://cheatsheetseries.owasp.org/cheatsheets/Logging_Cheat_Sheet.html</t>
  </si>
  <si>
    <t>AX-M1-002</t>
  </si>
  <si>
    <t>Foco del Mes sugerido y priorización contextual</t>
  </si>
  <si>
    <t>Aceptado Producto · pendiente incorporación Kabeli</t>
  </si>
  <si>
    <t>Cuando no exista un Foco del Mes activo y exista una versión válida del Diagnóstico, Walvy puede presentar un foco sugerido. La sugerencia utiliza la lectura consolidada de M04, M06 y M05 con prioridad funcional M04 → M06 → M05. El estado previo a aceptación se denomina únicamente “sugerido”. El foco sugerido no bloquea carga ni Diagnóstico, no reemplaza señales superiores y no se convierte en foco activo hasta aceptación del usuario.</t>
  </si>
  <si>
    <t>Derivación y prioridad por dominio</t>
  </si>
  <si>
    <t>Dominio prioritario</t>
  </si>
  <si>
    <t>Condición funcional</t>
  </si>
  <si>
    <t>Foco sugerido</t>
  </si>
  <si>
    <t>Salida</t>
  </si>
  <si>
    <t>M04</t>
  </si>
  <si>
    <t>Existe señal elegible de deuda/presión conforme al diagnóstico y reglas del dominio</t>
  </si>
  <si>
    <t>Prioridad 1</t>
  </si>
  <si>
    <t>No activar M04 solo por tener deuda; respetar elegibilidad propia</t>
  </si>
  <si>
    <t>Sugerencia de foco</t>
  </si>
  <si>
    <t>M06</t>
  </si>
  <si>
    <t>Existe riesgo temporal de pago/vencimiento</t>
  </si>
  <si>
    <t>Prioridad 2</t>
  </si>
  <si>
    <t>Aplica si no prevalece M04</t>
  </si>
  <si>
    <t>Necesidad estructural de ordenar pagos/compromisos sin riesgo temporal dominante</t>
  </si>
  <si>
    <t>M05</t>
  </si>
  <si>
    <t>Señal dominante de flujo/margen/ahorro/presupuesto según condiciones ya documentadas</t>
  </si>
  <si>
    <t>Aumentar margen / Ahorrar un monto / Cumplir presupuesto</t>
  </si>
  <si>
    <t>Prioridad 3</t>
  </si>
  <si>
    <t>No crear nuevos umbrales en M01</t>
  </si>
  <si>
    <t>Presentación, aceptación y persistencia</t>
  </si>
  <si>
    <t>La recomendación/alerta in-app debe ofrecer dos rutas: CTA primario “Usar este foco”, que acepta la sugerencia y la guarda directamente como foco activo sin navegar a configuración; y CTA secundario “Revisar foco”, que lleva a Mi Perfil → Mi foco del mes con la alternativa sugerida premarcada para confirmar con “Guardar mi foco” o elegir otra. Si no se acepta, el foco permanece no declarado y puede recalcularse con una nueva versión válida del Diagnóstico. Una vez aceptado, el foco persiste y no se reemplaza automáticamente por cambios posteriores del Diagnóstico.</t>
  </si>
  <si>
    <t>Prioridad contextual y superficies</t>
  </si>
  <si>
    <t>El foco puede orientar CTAs, recomendaciones, alertas/notificaciones in-app y próximos pasos cuando no exista una señal funcional de mayor prioridad. Señales críticas/superiores prevalecen. El foco es especialmente útil como orientación o desempate en estados estables. El desarrollo detallado del catálogo de alertas por módulo permanece fuera de este anexo; cada catálogo debe mantener trigger → mensaje/severidad → CTA → destino y someterse a la priorización transversal.</t>
  </si>
  <si>
    <t>M1-V30 · D</t>
  </si>
  <si>
    <t>Sustituir condición genérica por: sin foco activo + Diagnóstico válido/suficiente + aplicación de prioridad M04→M06→M05.</t>
  </si>
  <si>
    <t>M1-V30 · E</t>
  </si>
  <si>
    <t>Representar sugerencia, aceptación directa, revisión en Mi Perfil, persistencia y recálculo si no se acepta.</t>
  </si>
  <si>
    <t>Mantener estados declarado / no declarado / sugerido e incorporar la lógica de sugerencia/aceptación; no usar “inferido/sugerido”.</t>
  </si>
  <si>
    <t>Reglas Walvy</t>
  </si>
  <si>
    <t>Aplicar ajustes editoriales en Observaciones de RB-FM-001/002/004/007/009 sin alterar el texto oficial hasta su incorporación formal.</t>
  </si>
  <si>
    <t>AX-M1-003</t>
  </si>
  <si>
    <t>Regla determinista de suficiencia y normalización de indicadores</t>
  </si>
  <si>
    <t>Modelo funcional canónico</t>
  </si>
  <si>
    <t>M01-RGL-012 es el único gate de suficiencia. La riqueza de datos (detection_status, data_origin, confidence, evidence) se conserva para trazabilidad, pero no debe traducirse 1:1 a ramas de negocio. Cada indicador se normaliza primero a sufficient, pending o missing. Luego el gate combina disponibilidad mínima y criticidad funcional para producir sufficiency_status, diagnostic_mode, partial_diagnostic_allowed y reason.</t>
  </si>
  <si>
    <t>Salida del gate</t>
  </si>
  <si>
    <t>Estado funcional</t>
  </si>
  <si>
    <t>Condición normalizada</t>
  </si>
  <si>
    <t>sufficiency_status</t>
  </si>
  <si>
    <t>diagnostic_mode</t>
  </si>
  <si>
    <t>partial_diagnostic_allowed</t>
  </si>
  <si>
    <t>Comportamiento</t>
  </si>
  <si>
    <t>Base mínima suficiente y sin pendientes relevantes</t>
  </si>
  <si>
    <t>base_suficiente</t>
  </si>
  <si>
    <t>complete</t>
  </si>
  <si>
    <t>—</t>
  </si>
  <si>
    <t>Habilitar Diagnóstico completo</t>
  </si>
  <si>
    <t>Datos por confirmar · parcial permitido</t>
  </si>
  <si>
    <t>Base mínima suficiente + solo pendientes no críticos</t>
  </si>
  <si>
    <t>datos_por_confirmar</t>
  </si>
  <si>
    <t>partial</t>
  </si>
  <si>
    <t>true</t>
  </si>
  <si>
    <t>Advertir y permitir completar; puede avanzar con la base disponible</t>
  </si>
  <si>
    <t>Datos por confirmar · parcial bloqueado</t>
  </si>
  <si>
    <t>Base mínima suficiente + indicador crítico pending</t>
  </si>
  <si>
    <t>blocked</t>
  </si>
  <si>
    <t>false</t>
  </si>
  <si>
    <t>Completar/confirmar; sin CTA de Diagnóstico</t>
  </si>
  <si>
    <t>Aún faltan datos clave</t>
  </si>
  <si>
    <t>Falta mínimo obligatorio o calidad/confianza insuficiente</t>
  </si>
  <si>
    <t>aun_faltan_datos_clave</t>
  </si>
  <si>
    <t>Explicar faltante y ofrecer recuperación correspondiente</t>
  </si>
  <si>
    <t>Fronteras explícitamente documentadas</t>
  </si>
  <si>
    <t>Caso / indicador</t>
  </si>
  <si>
    <t>Estado de referencia</t>
  </si>
  <si>
    <t>Criticidad / interpretación</t>
  </si>
  <si>
    <t>Resultado</t>
  </si>
  <si>
    <t>Reason / ejemplo</t>
  </si>
  <si>
    <t>Regla de no extrapolación</t>
  </si>
  <si>
    <t>Movimientos recientes por confirmar</t>
  </si>
  <si>
    <t>pending</t>
  </si>
  <si>
    <t>Crítico</t>
  </si>
  <si>
    <t>Partial bloqueado</t>
  </si>
  <si>
    <t>recent_movements_pending</t>
  </si>
  <si>
    <t>No generalizar a todas las combinaciones no documentadas</t>
  </si>
  <si>
    <t>Pagos recurrentes por confirmar con ingreso, movimientos y compromisos sufficient</t>
  </si>
  <si>
    <t>No bloqueante bajo la combinación documentada</t>
  </si>
  <si>
    <t>Partial permitido</t>
  </si>
  <si>
    <t>payments_pending_noncritical</t>
  </si>
  <si>
    <t>Usar como fixture de la regla común, no como if especial</t>
  </si>
  <si>
    <t>Ingreso ausente</t>
  </si>
  <si>
    <t>missing</t>
  </si>
  <si>
    <t>Obligatorio</t>
  </si>
  <si>
    <t>Blocked</t>
  </si>
  <si>
    <t>income_missing</t>
  </si>
  <si>
    <t>Salida explicativa del gate</t>
  </si>
  <si>
    <t>Movimientos recientes ausentes</t>
  </si>
  <si>
    <t>recent_movements_missing</t>
  </si>
  <si>
    <t>Compromisos y pagos ausentes</t>
  </si>
  <si>
    <t>Base mínima insuficiente</t>
  </si>
  <si>
    <t>commitments_or_payments_missing</t>
  </si>
  <si>
    <t>No inferir comportamiento de combinaciones parciales no cubiertas</t>
  </si>
  <si>
    <t>Confianza global insuficiente</t>
  </si>
  <si>
    <t>insufficient</t>
  </si>
  <si>
    <t>Bloqueante</t>
  </si>
  <si>
    <t>global_confidence_insufficient</t>
  </si>
  <si>
    <t>La normalización absorbe detalle técnico</t>
  </si>
  <si>
    <t>Instrumentos de pago ausentes</t>
  </si>
  <si>
    <t>Complementario</t>
  </si>
  <si>
    <t>No bloquea por sí solo</t>
  </si>
  <si>
    <t>NO-INSTRUMENTS</t>
  </si>
  <si>
    <t>Mantener frontera explícita</t>
  </si>
  <si>
    <t>Guardrails de implementación</t>
  </si>
  <si>
    <t>• No crear una regla por cada combinación cartesiana de detection_status, data_origin, confidence y evidence.
• Normalizar primero el indicador y aplicar después una única regla de suficiencia.
• La criticidad debe ser configuración funcional, no ramas independientes de código.
• reason explica el resultado para UX/analytics/QA y no gobierna por sí mismo.
• No extrapolar combinaciones no respaldadas por regla o fixture; si una combinación nueva requiere un tratamiento distinto, debe formalizarse antes de codificarla.</t>
  </si>
  <si>
    <t>M1-V50 · D</t>
  </si>
  <si>
    <t>Reemplazar “dato pendiente puede cambiar diagnóstico central” por una condición basada en indicator_status normalizado + criticidad y output de M01-RGL-012.</t>
  </si>
  <si>
    <t>M1-V50 · E</t>
  </si>
  <si>
    <t>Responder a partial permitido vs partial bloqueado; cuando partial_diagnostic_allowed=false no debe existir CTA de Diagnóstico.</t>
  </si>
  <si>
    <t>RN / fixtures</t>
  </si>
  <si>
    <t>Alinear M1-RN-ONB-006/007/010 y casos de prueba con un único gate y reasons reproducibles, sin reglas específicas por fixture.</t>
  </si>
  <si>
    <t>AX-M1-004</t>
  </si>
  <si>
    <t>Estado Financiero del Mes y contrato intermodular</t>
  </si>
  <si>
    <t>M1-V53 / M1-V54 / M1-V55</t>
  </si>
  <si>
    <t>Gobernanza y regla canónica</t>
  </si>
  <si>
    <t>Existe un único Estado Financiero del Mes por snapshot evaluado. M01-RGL-012 decide primero si el Diagnóstico está habilitado. Cuando lo está, la regla canónica produce En control, Atención o Riesgo. M01 presenta y explica el resultado; M05/M06 pueden consumirlo, pero no deben mantener semáforos paralelos. M01-RGL-015 opera después para seleccionar presión dominante, prioridad, señales y CTA. El Foco del Mes no es input del color y su desarrollo detallado permanece en AX-M1-002.</t>
  </si>
  <si>
    <t>Ratio, umbrales y override MVP</t>
  </si>
  <si>
    <t>Control</t>
  </si>
  <si>
    <t>Definición</t>
  </si>
  <si>
    <t>Resultado / umbral</t>
  </si>
  <si>
    <t>ratio_mes</t>
  </si>
  <si>
    <t>egreso_mensual_proyectado / ingreso_mensual_reconocido</t>
  </si>
  <si>
    <t>&lt;0,90 → En control; &gt;=0,90 y &lt;1,00 → Atención; &gt;=1,00 → Riesgo</t>
  </si>
  <si>
    <t>Regla canónica</t>
  </si>
  <si>
    <t>Mide flujo/liquidez mensual, no patrimonio</t>
  </si>
  <si>
    <t>Parámetros configurables/versionados</t>
  </si>
  <si>
    <t>mora_confirmada</t>
  </si>
  <si>
    <t>obligación vencida + saldo pendiente + evidencia suficiente</t>
  </si>
  <si>
    <t>Riesgo independientemente del ratio</t>
  </si>
  <si>
    <t>Único override determinista MVP</t>
  </si>
  <si>
    <t>No usar “presión grave” cualitativa como override</t>
  </si>
  <si>
    <t>Código/criterio versionado</t>
  </si>
  <si>
    <t>Contrato intermodular mínimo</t>
  </si>
  <si>
    <t>Input canónico</t>
  </si>
  <si>
    <t>Dueño principal</t>
  </si>
  <si>
    <t>Uso en cálculo</t>
  </si>
  <si>
    <t>Regla de conciliación</t>
  </si>
  <si>
    <t>No incluir / guardrail</t>
  </si>
  <si>
    <t>Consumidor</t>
  </si>
  <si>
    <t>monthly_income_recognized</t>
  </si>
  <si>
    <t>M05 / fuente normalizada de ingresos</t>
  </si>
  <si>
    <t>Denominador</t>
  </si>
  <si>
    <t>Usar ingreso mensual reconocido con evidencia suficiente</t>
  </si>
  <si>
    <t>No compensar con ahorros/patrimonio</t>
  </si>
  <si>
    <t>Estado Financiero canónico</t>
  </si>
  <si>
    <t>executed_economic_outflow_mtd</t>
  </si>
  <si>
    <t>Egreso ya realizado</t>
  </si>
  <si>
    <t>Un evento económico se cuenta una sola vez</t>
  </si>
  <si>
    <t>Excluir transferencias propias, duplicados, reversos/sin efecto real</t>
  </si>
  <si>
    <t>pending_commitments_month</t>
  </si>
  <si>
    <t>Compromisos del mes no ejecutados</t>
  </si>
  <si>
    <t>Al materializarse como movimiento, pasa de pendiente a ejecutado sin doble conteo</t>
  </si>
  <si>
    <t>No duplicar con movimiento conciliado</t>
  </si>
  <si>
    <t>projected_remaining_outflow</t>
  </si>
  <si>
    <t>M05 / proyección normalizada</t>
  </si>
  <si>
    <t>Gasto restante proyectado</t>
  </si>
  <si>
    <t>Debe excluir lo ya ejecutado o comprometido para evitar doble conteo</t>
  </si>
  <si>
    <t>M01 no replica algoritmo de forecasting</t>
  </si>
  <si>
    <t>risk_override_codes</t>
  </si>
  <si>
    <t>M06 / motor transversal</t>
  </si>
  <si>
    <t>Override determinista</t>
  </si>
  <si>
    <t>MVP: solo mora_confirmada</t>
  </si>
  <si>
    <t>No crear overrides cualitativos</t>
  </si>
  <si>
    <t>pressure_signal_codes</t>
  </si>
  <si>
    <t>M05/M06 y otras fuentes</t>
  </si>
  <si>
    <t>No cambia el color directamente</t>
  </si>
  <si>
    <t>Se consume después del estado</t>
  </si>
  <si>
    <t>Alimenta M01-RGL-015</t>
  </si>
  <si>
    <t>Presión/CTA</t>
  </si>
  <si>
    <t>Proyección, conciliación y exclusiones</t>
  </si>
  <si>
    <t>El egreso mensual proyectado representa cierre esperado del mes y conceptualmente combina gasto ejecutado + compromisos pendientes + proyección restante no duplicada. M01 no debe reconstruir movimientos crudos ni replicar la lógica de forecasting de M05. La conciliación M05↔M06 debe impedir que el mismo pago figure simultáneamente como pendiente y ejecutado. Excluir transferencias entre cuentas propias, duplicados, reversos y movimientos sin efecto económico real. Ahorro, inversiones o patrimonio acumulado no forman parte del numerador ni compensan un margen mensual negativo.</t>
  </si>
  <si>
    <t>Snapshot, recálculo y versionamiento</t>
  </si>
  <si>
    <t>Cada evaluación genera un snapshot mensual reproducible. Recalcular cuando cambie un input canónico relevante, un compromiso/pago reconocido, la proyección, la evidencia/confirmación necesaria o la configuración/regla. Mientras no cambien inputs ni configuración, Home/M01/otros consumidores reutilizan el mismo resultado. Conservar como mínimo input_snapshot_version, rule_version, config_version, parameter_source, effective_from y evaluated_at según el esquema vigente de trazabilidad.</t>
  </si>
  <si>
    <t>Frontera M04 y relación con Foco del Mes</t>
  </si>
  <si>
    <t>M04 no participa como fuente necesaria del cálculo inicial. Puede actuar después cuando exista deuda confirmada bajo presión y se cumplan sus criterios propios de elegibilidad; Riesgo por sí solo no activa Ruta Despeje. Una vez determinado estado + presión, las señales superiores prevalecen sobre el Foco del Mes; si no existe señal superior, el foco puede orientar el CTA. Para sugerencia, aceptación, persistencia y prioridad M04→M06→M05, referenciar AX-M1-002 sin duplicar aquí su desarrollo.</t>
  </si>
  <si>
    <t>D: Diagnóstico habilitado + sin mora_confirmada + ratio&lt;0,90. E: En control; presión/CTA posterior.</t>
  </si>
  <si>
    <t>D: Diagnóstico habilitado + sin mora_confirmada + 0,90&lt;=ratio&lt;1,00. Datos pendientes no pintan Atención por sí solos.</t>
  </si>
  <si>
    <t>D: Diagnóstico habilitado + (ratio&gt;=1,00 o mora_confirmada). Otras señales alimentan ratio/presión/CTA, no overrides.</t>
  </si>
  <si>
    <t>Incorporar regla canónica de ratio/umbrales, override MVP y estado único por snapshot.</t>
  </si>
  <si>
    <t>M01-RGL-015 / fixtures</t>
  </si>
  <si>
    <t>Alinear la matriz para que seleccione presión/CTA después del estado y deje de colorear amarillo/rojo directamente desde señales de calidad/completitud.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</si>
</sst>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b/>
      <sz val="15"/>
      <color rgb="FFFFFFFF"/>
      <name val="Carlito"/>
    </font>
    <font>
      <sz val="10"/>
      <color rgb="FF103F43"/>
      <name val="Carlito"/>
    </font>
    <font>
      <b/>
      <sz val="9"/>
      <color rgb="FFFFFFFF"/>
      <name val="Carlito"/>
    </font>
    <font>
      <sz val="9"/>
      <color rgb="FF1F2A33"/>
      <name val="Carlito"/>
    </font>
    <font>
      <b/>
      <sz val="11"/>
      <color rgb="FFFFFFFF"/>
      <name val="Carlito"/>
    </font>
    <font>
      <sz val="9"/>
      <name val="Carlito"/>
    </font>
    <font>
      <sz val="10"/>
      <name val="Carlito"/>
    </font>
    <font>
      <b/>
      <sz val="11"/>
      <color rgb="FF103F43"/>
      <name val="Carlito"/>
    </font>
    <font>
      <b/>
      <sz val="12"/>
      <color rgb="FFFFFFFF"/>
      <name val="Carlito"/>
    </font>
    <font>
      <b/>
      <sz val="11"/>
      <name val="Carlito"/>
    </font>
    <font>
      <b/>
      <sz val="13"/>
      <color rgb="FFFFFFFF"/>
      <name val="Carlito"/>
    </font>
    <font>
      <i/>
      <sz val="11"/>
      <color rgb="FF334155"/>
      <name val="Carlito"/>
    </font>
    <font>
      <b/>
      <sz val="14"/>
      <color rgb="FFFFFFFF"/>
      <name val="Carlito"/>
    </font>
    <font>
      <sz val="11"/>
      <color rgb="FF000000"/>
      <name val="Carlito"/>
    </font>
    <font>
      <u/>
      <sz val="9"/>
      <color rgb="FF0563C1"/>
      <name val="Carlito"/>
    </font>
    <font>
      <u/>
      <sz val="11"/>
      <color rgb="FF0563C1"/>
      <name val="Carlito"/>
    </font>
  </fonts>
  <fills count="16">
    <fill>
      <patternFill patternType="none"/>
    </fill>
    <fill>
      <patternFill patternType="gray125"/>
    </fill>
    <fill>
      <patternFill patternType="solid">
        <fgColor rgb="FF0D5C63"/>
      </patternFill>
    </fill>
    <fill>
      <patternFill patternType="solid">
        <fgColor rgb="FFE8F3F2"/>
      </patternFill>
    </fill>
    <fill>
      <patternFill patternType="solid">
        <fgColor rgb="FF126D73"/>
      </patternFill>
    </fill>
    <fill>
      <patternFill patternType="solid">
        <fgColor rgb="FFB27600"/>
      </patternFill>
    </fill>
    <fill>
      <patternFill patternType="solid">
        <fgColor rgb="FFFEE2E2"/>
      </patternFill>
    </fill>
    <fill>
      <patternFill patternType="solid">
        <fgColor rgb="FF0F666B"/>
      </patternFill>
    </fill>
    <fill>
      <patternFill patternType="solid">
        <fgColor rgb="FFEEF6F6"/>
      </patternFill>
    </fill>
    <fill>
      <patternFill patternType="solid">
        <fgColor rgb="FF1C7B80"/>
      </patternFill>
    </fill>
    <fill>
      <patternFill patternType="solid">
        <fgColor rgb="FFF3F4F6"/>
      </patternFill>
    </fill>
    <fill>
      <patternFill patternType="solid">
        <fgColor rgb="FFDCFCE7"/>
      </patternFill>
    </fill>
    <fill>
      <patternFill patternType="solid">
        <fgColor rgb="FFFEF3C7"/>
      </patternFill>
    </fill>
    <fill>
      <patternFill patternType="solid">
        <fgColor rgb="FFE5E7EB"/>
      </patternFill>
    </fill>
    <fill>
      <patternFill patternType="solid">
        <fgColor rgb="FF0F5B61"/>
      </patternFill>
    </fill>
    <fill>
      <patternFill patternType="solid">
        <fgColor rgb="FF1B6B73"/>
      </patternFill>
    </fill>
  </fills>
  <borders count="1">
    <border>
      <left/>
      <right/>
      <top/>
      <bottom/>
      <diagonal/>
    </border>
  </borders>
  <cellStyleXfs count="1">
    <xf numFmtId="0" fontId="0" fillId="0" borderId="0"/>
  </cellStyleXfs>
  <cellXfs count="51">
    <xf numFmtId="0" fontId="0" fillId="0" borderId="0" xfId="0"/>
    <xf numFmtId="0" fontId="3" fillId="4" borderId="0" xfId="0" applyFont="1" applyFill="1" applyAlignment="1">
      <alignment horizontal="center" vertical="center" wrapText="1"/>
    </xf>
    <xf numFmtId="0" fontId="4" fillId="0" borderId="0" xfId="0" applyFont="1" applyAlignment="1">
      <alignment vertical="top" wrapText="1"/>
    </xf>
    <xf numFmtId="0" fontId="5" fillId="4" borderId="0" xfId="0" applyFont="1" applyFill="1"/>
    <xf numFmtId="0" fontId="5" fillId="4" borderId="0" xfId="0" applyFont="1" applyFill="1" applyAlignment="1">
      <alignment wrapText="1"/>
    </xf>
    <xf numFmtId="0" fontId="6" fillId="0" borderId="0" xfId="0" applyFont="1" applyAlignment="1">
      <alignment vertical="top" wrapText="1"/>
    </xf>
    <xf numFmtId="0" fontId="5" fillId="5" borderId="0" xfId="0" applyFont="1" applyFill="1" applyAlignment="1">
      <alignment wrapText="1"/>
    </xf>
    <xf numFmtId="0" fontId="7" fillId="0" borderId="0" xfId="0" applyFont="1"/>
    <xf numFmtId="0" fontId="0" fillId="0" borderId="0" xfId="0" applyAlignment="1">
      <alignment wrapText="1"/>
    </xf>
    <xf numFmtId="0" fontId="0" fillId="6" borderId="0" xfId="0" applyFill="1" applyAlignment="1">
      <alignment wrapText="1"/>
    </xf>
    <xf numFmtId="9" fontId="0" fillId="6" borderId="0" xfId="0" applyNumberFormat="1" applyFill="1" applyAlignment="1">
      <alignment wrapText="1"/>
    </xf>
    <xf numFmtId="0" fontId="4" fillId="0" borderId="0" xfId="0" applyFont="1" applyAlignment="1">
      <alignment horizontal="center" vertical="center" wrapText="1"/>
    </xf>
    <xf numFmtId="0" fontId="5" fillId="7" borderId="0" xfId="0" applyFont="1" applyFill="1" applyAlignment="1">
      <alignment horizontal="center" vertical="center" wrapText="1"/>
    </xf>
    <xf numFmtId="0" fontId="3" fillId="9" borderId="0" xfId="0" applyFont="1" applyFill="1" applyAlignment="1">
      <alignment horizontal="center" vertical="center" wrapText="1"/>
    </xf>
    <xf numFmtId="0" fontId="5" fillId="9" borderId="0" xfId="0" applyFont="1" applyFill="1" applyAlignment="1">
      <alignment horizontal="center" vertical="center"/>
    </xf>
    <xf numFmtId="0" fontId="0" fillId="10" borderId="0" xfId="0" applyFill="1"/>
    <xf numFmtId="9" fontId="0" fillId="10" borderId="0" xfId="0" applyNumberFormat="1" applyFill="1"/>
    <xf numFmtId="0" fontId="0" fillId="11" borderId="0" xfId="0" applyFill="1"/>
    <xf numFmtId="9" fontId="0" fillId="11" borderId="0" xfId="0" applyNumberFormat="1" applyFill="1"/>
    <xf numFmtId="0" fontId="0" fillId="12" borderId="0" xfId="0" applyFill="1"/>
    <xf numFmtId="9" fontId="0" fillId="12" borderId="0" xfId="0" applyNumberFormat="1" applyFill="1"/>
    <xf numFmtId="0" fontId="0" fillId="13" borderId="0" xfId="0" applyFill="1"/>
    <xf numFmtId="9" fontId="0" fillId="13" borderId="0" xfId="0" applyNumberFormat="1" applyFill="1"/>
    <xf numFmtId="0" fontId="0" fillId="0" borderId="0" xfId="0" applyAlignment="1">
      <alignment horizontal="center" wrapText="1"/>
    </xf>
    <xf numFmtId="0" fontId="15" fillId="0" borderId="0" xfId="0" applyFont="1" applyAlignment="1">
      <alignment vertical="top" wrapText="1"/>
    </xf>
    <xf numFmtId="0" fontId="0" fillId="0" borderId="0" xfId="0" applyAlignment="1">
      <alignment vertical="top" wrapText="1"/>
    </xf>
    <xf numFmtId="0" fontId="5" fillId="15" borderId="0" xfId="0" applyFont="1" applyFill="1" applyAlignment="1">
      <alignment vertical="center" wrapText="1"/>
    </xf>
    <xf numFmtId="0" fontId="14" fillId="0" borderId="0" xfId="0" applyFont="1" applyAlignment="1">
      <alignment vertical="top" wrapText="1"/>
    </xf>
    <xf numFmtId="0" fontId="16" fillId="0" borderId="0" xfId="0" applyFont="1" applyAlignment="1">
      <alignment vertical="top" wrapText="1"/>
    </xf>
    <xf numFmtId="0" fontId="0" fillId="11" borderId="0" xfId="0" applyFill="1" applyAlignment="1">
      <alignment wrapText="1"/>
    </xf>
    <xf numFmtId="9" fontId="0" fillId="11" borderId="0" xfId="0" applyNumberFormat="1" applyFill="1" applyAlignment="1">
      <alignment wrapText="1"/>
    </xf>
    <xf numFmtId="0" fontId="0" fillId="10" borderId="0" xfId="0" applyFill="1" applyAlignment="1">
      <alignment wrapText="1"/>
    </xf>
    <xf numFmtId="9" fontId="0" fillId="10" borderId="0" xfId="0" applyNumberFormat="1" applyFill="1" applyAlignment="1">
      <alignment wrapText="1"/>
    </xf>
    <xf numFmtId="0" fontId="0" fillId="12" borderId="0" xfId="0" applyFill="1" applyAlignment="1">
      <alignment wrapText="1"/>
    </xf>
    <xf numFmtId="9" fontId="0" fillId="12" borderId="0" xfId="0" applyNumberFormat="1" applyFill="1" applyAlignment="1">
      <alignment wrapText="1"/>
    </xf>
    <xf numFmtId="0" fontId="0" fillId="13" borderId="0" xfId="0" applyFill="1" applyAlignment="1">
      <alignment wrapText="1"/>
    </xf>
    <xf numFmtId="9" fontId="0" fillId="13" borderId="0" xfId="0" applyNumberFormat="1" applyFill="1" applyAlignment="1">
      <alignment wrapText="1"/>
    </xf>
    <xf numFmtId="0" fontId="10" fillId="8" borderId="0" xfId="0" applyFont="1" applyFill="1" applyAlignment="1">
      <alignment wrapText="1"/>
    </xf>
    <xf numFmtId="0" fontId="0" fillId="8" borderId="0" xfId="0" applyFill="1" applyAlignment="1">
      <alignment wrapText="1"/>
    </xf>
    <xf numFmtId="9" fontId="0" fillId="8" borderId="0" xfId="0" applyNumberFormat="1" applyFill="1" applyAlignment="1">
      <alignment wrapText="1"/>
    </xf>
    <xf numFmtId="0" fontId="11" fillId="7" borderId="0" xfId="0" applyFont="1" applyFill="1" applyAlignment="1">
      <alignment horizontal="left" vertical="center" wrapText="1"/>
    </xf>
    <xf numFmtId="0" fontId="0" fillId="0" borderId="0" xfId="0"/>
    <xf numFmtId="0" fontId="12" fillId="8" borderId="0" xfId="0" applyFont="1" applyFill="1" applyAlignment="1">
      <alignment vertical="center" wrapText="1"/>
    </xf>
    <xf numFmtId="0" fontId="1" fillId="2" borderId="0" xfId="0" applyFont="1" applyFill="1" applyAlignment="1">
      <alignment horizontal="left" vertical="center" wrapText="1"/>
    </xf>
    <xf numFmtId="0" fontId="2" fillId="3" borderId="0" xfId="0" applyFont="1" applyFill="1" applyAlignment="1">
      <alignment vertical="center" wrapText="1"/>
    </xf>
    <xf numFmtId="0" fontId="0" fillId="0" borderId="0" xfId="0" applyAlignment="1">
      <alignment horizontal="center" wrapText="1"/>
    </xf>
    <xf numFmtId="0" fontId="9" fillId="7" borderId="0" xfId="0" applyFont="1" applyFill="1" applyAlignment="1">
      <alignment horizontal="left" vertical="center"/>
    </xf>
    <xf numFmtId="0" fontId="8" fillId="3" borderId="0" xfId="0" applyFont="1" applyFill="1"/>
    <xf numFmtId="0" fontId="0" fillId="0" borderId="0" xfId="0" applyAlignment="1">
      <alignment vertical="top" wrapText="1"/>
    </xf>
    <xf numFmtId="0" fontId="13" fillId="14" borderId="0" xfId="0" applyFont="1" applyFill="1"/>
    <xf numFmtId="0" fontId="5" fillId="15" borderId="0" xfId="0" applyFont="1" applyFill="1" applyAlignment="1">
      <alignment vertical="center" wrapText="1"/>
    </xf>
  </cellXfs>
  <cellStyles count="1">
    <cellStyle name="Normal" xfId="0" builtinId="0"/>
  </cellStyles>
  <dxfs count="16">
    <dxf>
      <font>
        <b/>
        <color rgb="FF4B5563"/>
      </font>
      <fill>
        <patternFill patternType="solid">
          <bgColor rgb="FFE5E7EB"/>
        </patternFill>
      </fill>
    </dxf>
    <dxf>
      <font>
        <b/>
        <color rgb="FF92400E"/>
      </font>
      <fill>
        <patternFill patternType="solid">
          <bgColor rgb="FFFEF3C7"/>
        </patternFill>
      </fill>
    </dxf>
    <dxf>
      <font>
        <color rgb="FF374151"/>
      </font>
      <fill>
        <patternFill patternType="solid">
          <bgColor rgb="FFF3F4F6"/>
        </patternFill>
      </fill>
    </dxf>
    <dxf>
      <font>
        <b/>
        <color rgb="FF166534"/>
      </font>
      <fill>
        <patternFill patternType="solid">
          <bgColor rgb="FFDCFCE7"/>
        </patternFill>
      </fill>
    </dxf>
    <dxf>
      <font>
        <b/>
        <color rgb="FF9A3412"/>
      </font>
      <fill>
        <patternFill patternType="solid">
          <bgColor rgb="FFFFF7ED"/>
        </patternFill>
      </fill>
    </dxf>
    <dxf>
      <font>
        <b/>
        <color rgb="FF991B1B"/>
      </font>
      <fill>
        <patternFill>
          <bgColor rgb="FFFEE2E2"/>
        </patternFill>
      </fill>
    </dxf>
    <dxf>
      <font>
        <b/>
        <color rgb="FF4B5563"/>
      </font>
      <fill>
        <patternFill>
          <bgColor rgb="FFE5E7EB"/>
        </patternFill>
      </fill>
    </dxf>
    <dxf>
      <font>
        <b/>
        <color rgb="FF92400E"/>
      </font>
      <fill>
        <patternFill>
          <bgColor rgb="FFFEF3C7"/>
        </patternFill>
      </fill>
    </dxf>
    <dxf>
      <font>
        <color rgb="FF374151"/>
      </font>
      <fill>
        <patternFill>
          <bgColor rgb="FFF3F4F6"/>
        </patternFill>
      </fill>
    </dxf>
    <dxf>
      <font>
        <b/>
        <color rgb="FF166534"/>
      </font>
      <fill>
        <patternFill>
          <bgColor rgb="FFDCFCE7"/>
        </patternFill>
      </fill>
    </dxf>
    <dxf>
      <font>
        <color rgb="FF9C0006"/>
      </font>
      <fill>
        <patternFill>
          <bgColor rgb="FFFCE4D6"/>
        </patternFill>
      </fill>
    </dxf>
    <dxf>
      <font>
        <color rgb="FF555555"/>
      </font>
      <fill>
        <patternFill>
          <bgColor rgb="FFE7E6E6"/>
        </patternFill>
      </fill>
    </dxf>
    <dxf>
      <font>
        <color rgb="FF7F6000"/>
      </font>
      <fill>
        <patternFill>
          <bgColor rgb="FFFFF2CC"/>
        </patternFill>
      </fill>
    </dxf>
    <dxf>
      <font>
        <color rgb="FF2F6B2F"/>
      </font>
      <fill>
        <patternFill>
          <bgColor rgb="FFDFF2E0"/>
        </patternFill>
      </fill>
    </dxf>
    <dxf>
      <fill>
        <patternFill>
          <bgColor rgb="FFF4CCCC"/>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64"/>
  <sheetViews>
    <sheetView tabSelected="1" zoomScale="125" workbookViewId="0">
      <pane xSplit="1" topLeftCell="N1" activePane="topRight" state="frozen"/>
      <selection pane="topRight" activeCell="D6" sqref="D6"/>
    </sheetView>
  </sheetViews>
  <sheetFormatPr baseColWidth="10" defaultColWidth="8.83203125" defaultRowHeight="14"/>
  <cols>
    <col min="1" max="1" width="12" customWidth="1"/>
    <col min="2" max="2" width="18" customWidth="1"/>
    <col min="3" max="4" width="28" customWidth="1"/>
    <col min="5" max="5" width="34" customWidth="1"/>
    <col min="6" max="6" width="18" customWidth="1"/>
    <col min="7" max="7" width="13" customWidth="1"/>
    <col min="8" max="8" width="28" customWidth="1"/>
    <col min="9" max="10" width="22" customWidth="1"/>
    <col min="11" max="11" width="46" customWidth="1"/>
    <col min="12" max="12" width="28" customWidth="1"/>
    <col min="13" max="13" width="14" customWidth="1"/>
    <col min="14" max="14" width="15" customWidth="1"/>
    <col min="15" max="15" width="10.5" customWidth="1"/>
    <col min="16" max="16" width="24" customWidth="1"/>
    <col min="17" max="17" width="28" customWidth="1"/>
    <col min="18" max="18" width="22" customWidth="1"/>
    <col min="19" max="19" width="52" customWidth="1"/>
    <col min="20" max="20" width="20" customWidth="1"/>
    <col min="21" max="21" width="22" customWidth="1"/>
  </cols>
  <sheetData>
    <row r="1" spans="1:21" ht="40" customHeight="1">
      <c r="A1" s="43" t="s">
        <v>0</v>
      </c>
      <c r="B1" s="41"/>
      <c r="C1" s="41"/>
      <c r="D1" s="41"/>
      <c r="E1" s="41"/>
      <c r="F1" s="41"/>
      <c r="G1" s="41"/>
      <c r="H1" s="41"/>
      <c r="I1" s="41"/>
      <c r="J1" s="41"/>
      <c r="K1" s="41"/>
      <c r="L1" s="41"/>
      <c r="M1" s="41"/>
      <c r="N1" s="41"/>
      <c r="O1" s="41"/>
      <c r="P1" s="41"/>
      <c r="Q1" s="41"/>
      <c r="R1" s="41"/>
      <c r="S1" s="41"/>
      <c r="T1" s="41"/>
      <c r="U1" s="41"/>
    </row>
    <row r="2" spans="1:21" ht="56" customHeight="1">
      <c r="A2" s="44" t="s">
        <v>1</v>
      </c>
      <c r="B2" s="41"/>
      <c r="C2" s="41"/>
      <c r="D2" s="41"/>
      <c r="E2" s="41"/>
      <c r="F2" s="41"/>
      <c r="G2" s="41"/>
      <c r="H2" s="41"/>
      <c r="I2" s="41"/>
      <c r="J2" s="41"/>
      <c r="K2" s="41"/>
      <c r="L2" s="41"/>
      <c r="M2" s="41"/>
      <c r="N2" s="41"/>
      <c r="O2" s="41"/>
      <c r="P2" s="41"/>
      <c r="Q2" s="41"/>
      <c r="R2" s="41"/>
      <c r="S2" s="41"/>
      <c r="T2" s="41"/>
      <c r="U2" s="41"/>
    </row>
    <row r="4" spans="1:21" ht="48"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2" t="s">
        <v>21</v>
      </c>
      <c r="U4" s="12" t="s">
        <v>22</v>
      </c>
    </row>
    <row r="5" spans="1:21" ht="90.75" hidden="1" customHeight="1">
      <c r="A5" s="2" t="s">
        <v>23</v>
      </c>
      <c r="B5" s="2" t="s">
        <v>24</v>
      </c>
      <c r="C5" s="2" t="s">
        <v>25</v>
      </c>
      <c r="D5" s="2" t="s">
        <v>26</v>
      </c>
      <c r="E5" s="2" t="s">
        <v>27</v>
      </c>
      <c r="F5" s="2" t="s">
        <v>28</v>
      </c>
      <c r="G5" s="2" t="s">
        <v>29</v>
      </c>
      <c r="H5" s="2" t="s">
        <v>30</v>
      </c>
      <c r="I5" s="2" t="s">
        <v>14</v>
      </c>
      <c r="J5" s="2" t="s">
        <v>31</v>
      </c>
      <c r="K5" s="2" t="s">
        <v>32</v>
      </c>
      <c r="L5" s="2" t="s">
        <v>33</v>
      </c>
      <c r="M5" s="2" t="s">
        <v>34</v>
      </c>
      <c r="N5" s="2" t="s">
        <v>35</v>
      </c>
      <c r="O5" s="2" t="s">
        <v>36</v>
      </c>
      <c r="P5" s="2" t="s">
        <v>37</v>
      </c>
      <c r="Q5" s="2" t="s">
        <v>38</v>
      </c>
      <c r="R5" s="11" t="s">
        <v>39</v>
      </c>
      <c r="U5" s="25" t="s">
        <v>40</v>
      </c>
    </row>
    <row r="6" spans="1:21" ht="98.75" customHeight="1">
      <c r="A6" s="2" t="s">
        <v>41</v>
      </c>
      <c r="B6" s="2" t="s">
        <v>24</v>
      </c>
      <c r="C6" s="2" t="s">
        <v>42</v>
      </c>
      <c r="D6" s="2" t="s">
        <v>43</v>
      </c>
      <c r="E6" s="2" t="s">
        <v>44</v>
      </c>
      <c r="F6" s="2" t="s">
        <v>45</v>
      </c>
      <c r="G6" s="2" t="s">
        <v>29</v>
      </c>
      <c r="H6" s="2" t="s">
        <v>46</v>
      </c>
      <c r="I6" s="2" t="s">
        <v>14</v>
      </c>
      <c r="J6" s="2" t="s">
        <v>47</v>
      </c>
      <c r="K6" s="2" t="s">
        <v>48</v>
      </c>
      <c r="L6" s="2" t="s">
        <v>49</v>
      </c>
      <c r="M6" s="2" t="s">
        <v>50</v>
      </c>
      <c r="N6" s="2" t="s">
        <v>35</v>
      </c>
      <c r="O6" s="2" t="s">
        <v>51</v>
      </c>
      <c r="P6" s="2" t="s">
        <v>52</v>
      </c>
      <c r="Q6" s="2" t="s">
        <v>38</v>
      </c>
      <c r="R6" s="11" t="s">
        <v>53</v>
      </c>
      <c r="S6" s="25" t="s">
        <v>54</v>
      </c>
      <c r="U6" s="25" t="s">
        <v>40</v>
      </c>
    </row>
    <row r="7" spans="1:21" ht="108.5" customHeight="1">
      <c r="A7" s="2" t="s">
        <v>55</v>
      </c>
      <c r="B7" s="2" t="s">
        <v>24</v>
      </c>
      <c r="C7" s="2" t="s">
        <v>56</v>
      </c>
      <c r="D7" s="2" t="s">
        <v>57</v>
      </c>
      <c r="E7" s="2" t="s">
        <v>58</v>
      </c>
      <c r="F7" s="2" t="s">
        <v>59</v>
      </c>
      <c r="G7" s="2" t="s">
        <v>29</v>
      </c>
      <c r="H7" s="2" t="s">
        <v>60</v>
      </c>
      <c r="I7" s="2" t="s">
        <v>61</v>
      </c>
      <c r="J7" s="2" t="s">
        <v>62</v>
      </c>
      <c r="K7" s="2" t="s">
        <v>63</v>
      </c>
      <c r="L7" s="2" t="s">
        <v>64</v>
      </c>
      <c r="M7" s="2" t="s">
        <v>65</v>
      </c>
      <c r="N7" s="2" t="s">
        <v>66</v>
      </c>
      <c r="O7" s="2" t="s">
        <v>67</v>
      </c>
      <c r="P7" s="2" t="s">
        <v>68</v>
      </c>
      <c r="Q7" s="2" t="s">
        <v>69</v>
      </c>
      <c r="R7" s="11" t="s">
        <v>53</v>
      </c>
      <c r="S7" s="25" t="s">
        <v>70</v>
      </c>
      <c r="T7" s="25" t="s">
        <v>71</v>
      </c>
      <c r="U7" s="25" t="s">
        <v>40</v>
      </c>
    </row>
    <row r="8" spans="1:21" ht="90.75" hidden="1" customHeight="1">
      <c r="A8" s="2" t="s">
        <v>72</v>
      </c>
      <c r="B8" s="2" t="s">
        <v>24</v>
      </c>
      <c r="C8" s="2" t="s">
        <v>73</v>
      </c>
      <c r="D8" s="2" t="s">
        <v>74</v>
      </c>
      <c r="E8" s="2" t="s">
        <v>75</v>
      </c>
      <c r="F8" s="2" t="s">
        <v>76</v>
      </c>
      <c r="G8" s="2" t="s">
        <v>29</v>
      </c>
      <c r="H8" s="2" t="s">
        <v>77</v>
      </c>
      <c r="I8" s="2" t="s">
        <v>14</v>
      </c>
      <c r="J8" s="2" t="s">
        <v>78</v>
      </c>
      <c r="K8" s="2" t="s">
        <v>79</v>
      </c>
      <c r="L8" s="2" t="s">
        <v>80</v>
      </c>
      <c r="M8" s="2" t="s">
        <v>81</v>
      </c>
      <c r="N8" s="2" t="s">
        <v>35</v>
      </c>
      <c r="O8" s="2" t="s">
        <v>82</v>
      </c>
      <c r="P8" s="2" t="s">
        <v>83</v>
      </c>
      <c r="Q8" s="2" t="s">
        <v>38</v>
      </c>
      <c r="R8" s="11" t="s">
        <v>39</v>
      </c>
      <c r="U8" s="25" t="s">
        <v>40</v>
      </c>
    </row>
    <row r="9" spans="1:21" ht="90.75" hidden="1" customHeight="1">
      <c r="A9" s="2" t="s">
        <v>84</v>
      </c>
      <c r="B9" s="2" t="s">
        <v>85</v>
      </c>
      <c r="C9" s="2" t="s">
        <v>86</v>
      </c>
      <c r="D9" s="2" t="s">
        <v>87</v>
      </c>
      <c r="E9" s="2" t="s">
        <v>88</v>
      </c>
      <c r="F9" s="2" t="s">
        <v>89</v>
      </c>
      <c r="G9" s="2" t="s">
        <v>29</v>
      </c>
      <c r="H9" s="2" t="s">
        <v>90</v>
      </c>
      <c r="I9" s="2" t="s">
        <v>14</v>
      </c>
      <c r="J9" s="2" t="s">
        <v>91</v>
      </c>
      <c r="K9" s="2" t="s">
        <v>92</v>
      </c>
      <c r="L9" s="2" t="s">
        <v>93</v>
      </c>
      <c r="M9" s="2" t="s">
        <v>94</v>
      </c>
      <c r="N9" s="2" t="s">
        <v>95</v>
      </c>
      <c r="O9" s="2" t="s">
        <v>96</v>
      </c>
      <c r="P9" s="2" t="s">
        <v>97</v>
      </c>
      <c r="Q9" s="2" t="s">
        <v>38</v>
      </c>
      <c r="R9" s="11" t="s">
        <v>39</v>
      </c>
      <c r="U9" s="25" t="s">
        <v>98</v>
      </c>
    </row>
    <row r="10" spans="1:21" ht="90.75" customHeight="1">
      <c r="A10" s="2" t="s">
        <v>99</v>
      </c>
      <c r="B10" s="2" t="s">
        <v>85</v>
      </c>
      <c r="C10" s="2" t="s">
        <v>100</v>
      </c>
      <c r="D10" s="2" t="s">
        <v>101</v>
      </c>
      <c r="E10" s="2" t="s">
        <v>102</v>
      </c>
      <c r="F10" s="2" t="s">
        <v>89</v>
      </c>
      <c r="G10" s="2" t="s">
        <v>103</v>
      </c>
      <c r="H10" s="2" t="s">
        <v>90</v>
      </c>
      <c r="I10" s="2" t="s">
        <v>14</v>
      </c>
      <c r="J10" s="2" t="s">
        <v>91</v>
      </c>
      <c r="K10" s="2" t="s">
        <v>92</v>
      </c>
      <c r="L10" s="2" t="s">
        <v>93</v>
      </c>
      <c r="M10" s="2" t="s">
        <v>104</v>
      </c>
      <c r="N10" s="2" t="s">
        <v>35</v>
      </c>
      <c r="O10" s="2" t="s">
        <v>105</v>
      </c>
      <c r="P10" s="2" t="s">
        <v>106</v>
      </c>
      <c r="Q10" s="2" t="s">
        <v>107</v>
      </c>
      <c r="R10" s="11" t="s">
        <v>53</v>
      </c>
      <c r="S10" s="25" t="s">
        <v>108</v>
      </c>
      <c r="U10" s="25" t="s">
        <v>98</v>
      </c>
    </row>
    <row r="11" spans="1:21" ht="99.5" hidden="1" customHeight="1">
      <c r="A11" s="2" t="s">
        <v>109</v>
      </c>
      <c r="B11" s="2" t="s">
        <v>85</v>
      </c>
      <c r="C11" s="2" t="s">
        <v>110</v>
      </c>
      <c r="D11" s="2" t="s">
        <v>111</v>
      </c>
      <c r="E11" s="2" t="s">
        <v>112</v>
      </c>
      <c r="F11" s="2" t="s">
        <v>113</v>
      </c>
      <c r="G11" s="2" t="s">
        <v>29</v>
      </c>
      <c r="H11" s="2" t="s">
        <v>114</v>
      </c>
      <c r="I11" s="2" t="s">
        <v>14</v>
      </c>
      <c r="J11" s="2" t="s">
        <v>91</v>
      </c>
      <c r="K11" s="2" t="s">
        <v>92</v>
      </c>
      <c r="L11" s="2" t="s">
        <v>115</v>
      </c>
      <c r="M11" s="2" t="s">
        <v>116</v>
      </c>
      <c r="N11" s="2" t="s">
        <v>35</v>
      </c>
      <c r="O11" s="2" t="s">
        <v>51</v>
      </c>
      <c r="P11" s="2" t="s">
        <v>52</v>
      </c>
      <c r="Q11" s="2" t="s">
        <v>117</v>
      </c>
      <c r="R11" s="11" t="s">
        <v>39</v>
      </c>
      <c r="S11" s="25" t="s">
        <v>118</v>
      </c>
      <c r="U11" s="25" t="s">
        <v>98</v>
      </c>
    </row>
    <row r="12" spans="1:21" ht="90.75" hidden="1" customHeight="1">
      <c r="A12" s="2" t="s">
        <v>119</v>
      </c>
      <c r="B12" s="2" t="s">
        <v>120</v>
      </c>
      <c r="C12" s="2" t="s">
        <v>121</v>
      </c>
      <c r="D12" s="2" t="s">
        <v>122</v>
      </c>
      <c r="E12" s="2" t="s">
        <v>123</v>
      </c>
      <c r="F12" s="2" t="s">
        <v>124</v>
      </c>
      <c r="G12" s="2" t="s">
        <v>29</v>
      </c>
      <c r="H12" s="2" t="s">
        <v>125</v>
      </c>
      <c r="I12" s="2" t="s">
        <v>14</v>
      </c>
      <c r="J12" s="2" t="s">
        <v>126</v>
      </c>
      <c r="K12" s="2" t="s">
        <v>127</v>
      </c>
      <c r="L12" s="2" t="s">
        <v>128</v>
      </c>
      <c r="M12" s="2" t="s">
        <v>129</v>
      </c>
      <c r="N12" s="2" t="s">
        <v>35</v>
      </c>
      <c r="O12" s="2" t="s">
        <v>130</v>
      </c>
      <c r="P12" s="2" t="s">
        <v>131</v>
      </c>
      <c r="Q12" s="2" t="s">
        <v>38</v>
      </c>
      <c r="R12" s="11" t="s">
        <v>39</v>
      </c>
      <c r="U12" s="25" t="s">
        <v>132</v>
      </c>
    </row>
    <row r="13" spans="1:21" ht="100.25" customHeight="1">
      <c r="A13" s="2" t="s">
        <v>133</v>
      </c>
      <c r="B13" s="2" t="s">
        <v>120</v>
      </c>
      <c r="C13" s="2" t="s">
        <v>134</v>
      </c>
      <c r="D13" s="2" t="s">
        <v>135</v>
      </c>
      <c r="E13" s="2" t="s">
        <v>136</v>
      </c>
      <c r="F13" s="2" t="s">
        <v>137</v>
      </c>
      <c r="G13" s="2" t="s">
        <v>29</v>
      </c>
      <c r="H13" s="2" t="s">
        <v>138</v>
      </c>
      <c r="I13" s="2" t="s">
        <v>139</v>
      </c>
      <c r="J13" s="2" t="s">
        <v>140</v>
      </c>
      <c r="K13" s="2" t="s">
        <v>141</v>
      </c>
      <c r="L13" s="2" t="s">
        <v>142</v>
      </c>
      <c r="M13" s="2" t="s">
        <v>143</v>
      </c>
      <c r="N13" s="2" t="s">
        <v>35</v>
      </c>
      <c r="O13" s="2" t="s">
        <v>144</v>
      </c>
      <c r="P13" s="2" t="s">
        <v>145</v>
      </c>
      <c r="Q13" s="2" t="s">
        <v>38</v>
      </c>
      <c r="R13" s="11" t="s">
        <v>53</v>
      </c>
      <c r="S13" s="25" t="s">
        <v>146</v>
      </c>
      <c r="U13" s="25" t="s">
        <v>132</v>
      </c>
    </row>
    <row r="14" spans="1:21" ht="90.75" hidden="1" customHeight="1">
      <c r="A14" s="2" t="s">
        <v>147</v>
      </c>
      <c r="B14" s="2" t="s">
        <v>120</v>
      </c>
      <c r="C14" s="2" t="s">
        <v>148</v>
      </c>
      <c r="D14" s="2" t="s">
        <v>149</v>
      </c>
      <c r="E14" s="2" t="s">
        <v>150</v>
      </c>
      <c r="F14" s="2" t="s">
        <v>137</v>
      </c>
      <c r="G14" s="2" t="s">
        <v>29</v>
      </c>
      <c r="H14" s="2" t="s">
        <v>138</v>
      </c>
      <c r="I14" s="2" t="s">
        <v>139</v>
      </c>
      <c r="J14" s="2" t="s">
        <v>140</v>
      </c>
      <c r="K14" s="2" t="s">
        <v>141</v>
      </c>
      <c r="L14" s="2" t="s">
        <v>142</v>
      </c>
      <c r="M14" s="2" t="s">
        <v>143</v>
      </c>
      <c r="N14" s="2" t="s">
        <v>35</v>
      </c>
      <c r="O14" s="2" t="s">
        <v>151</v>
      </c>
      <c r="P14" s="2" t="s">
        <v>152</v>
      </c>
      <c r="Q14" s="2" t="s">
        <v>38</v>
      </c>
      <c r="R14" s="11" t="s">
        <v>39</v>
      </c>
      <c r="U14" s="25" t="s">
        <v>132</v>
      </c>
    </row>
    <row r="15" spans="1:21" ht="90.75" hidden="1" customHeight="1">
      <c r="A15" s="2" t="s">
        <v>153</v>
      </c>
      <c r="B15" s="2" t="s">
        <v>120</v>
      </c>
      <c r="C15" s="2" t="s">
        <v>154</v>
      </c>
      <c r="D15" s="2" t="s">
        <v>155</v>
      </c>
      <c r="E15" s="2" t="s">
        <v>156</v>
      </c>
      <c r="F15" s="2" t="s">
        <v>157</v>
      </c>
      <c r="G15" s="2" t="s">
        <v>29</v>
      </c>
      <c r="H15" s="2" t="s">
        <v>158</v>
      </c>
      <c r="I15" s="2" t="s">
        <v>14</v>
      </c>
      <c r="J15" s="2" t="s">
        <v>159</v>
      </c>
      <c r="K15" s="2" t="s">
        <v>141</v>
      </c>
      <c r="L15" s="2" t="s">
        <v>160</v>
      </c>
      <c r="M15" s="2" t="s">
        <v>161</v>
      </c>
      <c r="N15" s="2" t="s">
        <v>35</v>
      </c>
      <c r="O15" s="2" t="s">
        <v>162</v>
      </c>
      <c r="P15" s="2" t="s">
        <v>163</v>
      </c>
      <c r="Q15" s="2" t="s">
        <v>164</v>
      </c>
      <c r="R15" s="11" t="s">
        <v>39</v>
      </c>
      <c r="U15" s="25" t="s">
        <v>132</v>
      </c>
    </row>
    <row r="16" spans="1:21" ht="90.75" hidden="1" customHeight="1">
      <c r="A16" s="2" t="s">
        <v>165</v>
      </c>
      <c r="B16" s="2" t="s">
        <v>120</v>
      </c>
      <c r="C16" s="2" t="s">
        <v>166</v>
      </c>
      <c r="D16" s="2" t="s">
        <v>167</v>
      </c>
      <c r="E16" s="2" t="s">
        <v>156</v>
      </c>
      <c r="F16" s="2" t="s">
        <v>157</v>
      </c>
      <c r="G16" s="2" t="s">
        <v>29</v>
      </c>
      <c r="H16" s="2" t="s">
        <v>158</v>
      </c>
      <c r="I16" s="2" t="s">
        <v>14</v>
      </c>
      <c r="J16" s="2" t="s">
        <v>159</v>
      </c>
      <c r="K16" s="2" t="s">
        <v>141</v>
      </c>
      <c r="L16" s="2" t="s">
        <v>160</v>
      </c>
      <c r="M16" s="2" t="s">
        <v>161</v>
      </c>
      <c r="N16" s="2" t="s">
        <v>35</v>
      </c>
      <c r="O16" s="2" t="s">
        <v>51</v>
      </c>
      <c r="P16" s="2" t="s">
        <v>52</v>
      </c>
      <c r="Q16" s="2" t="s">
        <v>164</v>
      </c>
      <c r="R16" s="11" t="s">
        <v>39</v>
      </c>
      <c r="U16" s="25" t="s">
        <v>132</v>
      </c>
    </row>
    <row r="17" spans="1:21" ht="90.75" customHeight="1">
      <c r="A17" s="2" t="s">
        <v>168</v>
      </c>
      <c r="B17" s="2" t="s">
        <v>169</v>
      </c>
      <c r="C17" s="2" t="s">
        <v>170</v>
      </c>
      <c r="D17" s="2" t="s">
        <v>171</v>
      </c>
      <c r="E17" s="2" t="s">
        <v>172</v>
      </c>
      <c r="F17" s="2" t="s">
        <v>173</v>
      </c>
      <c r="G17" s="2" t="s">
        <v>174</v>
      </c>
      <c r="H17" s="2" t="s">
        <v>175</v>
      </c>
      <c r="I17" s="2" t="s">
        <v>176</v>
      </c>
      <c r="J17" s="2" t="s">
        <v>177</v>
      </c>
      <c r="K17" s="2" t="s">
        <v>178</v>
      </c>
      <c r="L17" s="2" t="s">
        <v>179</v>
      </c>
      <c r="M17" s="2" t="s">
        <v>180</v>
      </c>
      <c r="N17" s="2" t="s">
        <v>35</v>
      </c>
      <c r="O17" s="2" t="s">
        <v>181</v>
      </c>
      <c r="P17" s="2" t="s">
        <v>182</v>
      </c>
      <c r="Q17" s="2" t="s">
        <v>183</v>
      </c>
      <c r="R17" s="11" t="s">
        <v>53</v>
      </c>
      <c r="S17" s="25" t="s">
        <v>184</v>
      </c>
      <c r="T17" s="25" t="s">
        <v>185</v>
      </c>
      <c r="U17" s="25" t="s">
        <v>186</v>
      </c>
    </row>
    <row r="18" spans="1:21" ht="90.75" hidden="1" customHeight="1">
      <c r="A18" s="2" t="s">
        <v>187</v>
      </c>
      <c r="B18" s="2" t="s">
        <v>169</v>
      </c>
      <c r="C18" s="2" t="s">
        <v>188</v>
      </c>
      <c r="D18" s="2" t="s">
        <v>189</v>
      </c>
      <c r="E18" s="2" t="s">
        <v>190</v>
      </c>
      <c r="F18" s="2" t="s">
        <v>173</v>
      </c>
      <c r="G18" s="2" t="s">
        <v>191</v>
      </c>
      <c r="H18" s="2" t="s">
        <v>192</v>
      </c>
      <c r="I18" s="2" t="s">
        <v>14</v>
      </c>
      <c r="J18" s="2" t="s">
        <v>193</v>
      </c>
      <c r="K18" s="2" t="s">
        <v>194</v>
      </c>
      <c r="L18" s="2" t="s">
        <v>179</v>
      </c>
      <c r="M18" s="2" t="s">
        <v>195</v>
      </c>
      <c r="N18" s="2" t="s">
        <v>35</v>
      </c>
      <c r="O18" s="2" t="s">
        <v>196</v>
      </c>
      <c r="P18" s="2" t="s">
        <v>197</v>
      </c>
      <c r="Q18" s="2" t="s">
        <v>107</v>
      </c>
      <c r="R18" s="11" t="s">
        <v>39</v>
      </c>
      <c r="U18" s="25" t="s">
        <v>132</v>
      </c>
    </row>
    <row r="19" spans="1:21" ht="90.75" hidden="1" customHeight="1">
      <c r="A19" s="2" t="s">
        <v>198</v>
      </c>
      <c r="B19" s="2" t="s">
        <v>169</v>
      </c>
      <c r="C19" s="2" t="s">
        <v>199</v>
      </c>
      <c r="D19" s="2" t="s">
        <v>200</v>
      </c>
      <c r="E19" s="2" t="s">
        <v>201</v>
      </c>
      <c r="F19" s="2" t="s">
        <v>173</v>
      </c>
      <c r="G19" s="2" t="s">
        <v>103</v>
      </c>
      <c r="H19" s="2" t="s">
        <v>202</v>
      </c>
      <c r="I19" s="2" t="s">
        <v>14</v>
      </c>
      <c r="J19" s="2" t="s">
        <v>203</v>
      </c>
      <c r="K19" s="2" t="s">
        <v>204</v>
      </c>
      <c r="L19" s="2" t="s">
        <v>179</v>
      </c>
      <c r="M19" s="2" t="s">
        <v>205</v>
      </c>
      <c r="N19" s="2" t="s">
        <v>35</v>
      </c>
      <c r="O19" s="2" t="s">
        <v>206</v>
      </c>
      <c r="P19" s="2" t="s">
        <v>207</v>
      </c>
      <c r="Q19" s="2" t="s">
        <v>107</v>
      </c>
      <c r="R19" s="11" t="s">
        <v>39</v>
      </c>
      <c r="U19" s="25" t="s">
        <v>132</v>
      </c>
    </row>
    <row r="20" spans="1:21" ht="225" customHeight="1">
      <c r="A20" s="2" t="s">
        <v>208</v>
      </c>
      <c r="B20" s="2" t="s">
        <v>169</v>
      </c>
      <c r="C20" s="2" t="s">
        <v>209</v>
      </c>
      <c r="D20" s="2" t="s">
        <v>210</v>
      </c>
      <c r="E20" s="2" t="s">
        <v>211</v>
      </c>
      <c r="F20" s="2" t="s">
        <v>212</v>
      </c>
      <c r="G20" s="2" t="s">
        <v>29</v>
      </c>
      <c r="H20" s="2" t="s">
        <v>213</v>
      </c>
      <c r="I20" s="2" t="s">
        <v>61</v>
      </c>
      <c r="J20" s="2" t="s">
        <v>214</v>
      </c>
      <c r="K20" s="2" t="s">
        <v>215</v>
      </c>
      <c r="L20" s="2" t="s">
        <v>216</v>
      </c>
      <c r="M20" s="2" t="s">
        <v>217</v>
      </c>
      <c r="N20" s="2" t="s">
        <v>66</v>
      </c>
      <c r="O20" s="2" t="s">
        <v>218</v>
      </c>
      <c r="P20" s="2" t="s">
        <v>219</v>
      </c>
      <c r="Q20" s="2" t="s">
        <v>220</v>
      </c>
      <c r="R20" s="11" t="s">
        <v>53</v>
      </c>
      <c r="S20" s="25" t="s">
        <v>221</v>
      </c>
      <c r="T20" s="25" t="s">
        <v>185</v>
      </c>
      <c r="U20" s="25" t="s">
        <v>132</v>
      </c>
    </row>
    <row r="21" spans="1:21" ht="90.75" hidden="1" customHeight="1">
      <c r="A21" s="2" t="s">
        <v>222</v>
      </c>
      <c r="B21" s="2" t="s">
        <v>223</v>
      </c>
      <c r="C21" s="2" t="s">
        <v>224</v>
      </c>
      <c r="D21" s="2" t="s">
        <v>225</v>
      </c>
      <c r="E21" s="2" t="s">
        <v>226</v>
      </c>
      <c r="F21" s="2" t="s">
        <v>227</v>
      </c>
      <c r="G21" s="2" t="s">
        <v>174</v>
      </c>
      <c r="H21" s="2" t="s">
        <v>228</v>
      </c>
      <c r="I21" s="2" t="s">
        <v>14</v>
      </c>
      <c r="J21" s="2" t="s">
        <v>229</v>
      </c>
      <c r="K21" s="2" t="s">
        <v>230</v>
      </c>
      <c r="L21" s="2" t="s">
        <v>231</v>
      </c>
      <c r="M21" s="2" t="s">
        <v>232</v>
      </c>
      <c r="N21" s="2" t="s">
        <v>35</v>
      </c>
      <c r="O21" s="2" t="s">
        <v>233</v>
      </c>
      <c r="P21" s="2" t="s">
        <v>234</v>
      </c>
      <c r="Q21" s="2" t="s">
        <v>38</v>
      </c>
      <c r="R21" s="11" t="s">
        <v>39</v>
      </c>
      <c r="U21" s="25" t="s">
        <v>235</v>
      </c>
    </row>
    <row r="22" spans="1:21" ht="100.75" customHeight="1">
      <c r="A22" s="2" t="s">
        <v>236</v>
      </c>
      <c r="B22" s="2" t="s">
        <v>223</v>
      </c>
      <c r="C22" s="2" t="s">
        <v>237</v>
      </c>
      <c r="D22" s="2" t="s">
        <v>238</v>
      </c>
      <c r="E22" s="2" t="s">
        <v>239</v>
      </c>
      <c r="F22" s="2" t="s">
        <v>227</v>
      </c>
      <c r="G22" s="2" t="s">
        <v>240</v>
      </c>
      <c r="H22" s="2" t="s">
        <v>241</v>
      </c>
      <c r="I22" s="2" t="s">
        <v>14</v>
      </c>
      <c r="J22" s="2" t="s">
        <v>229</v>
      </c>
      <c r="K22" s="2" t="s">
        <v>230</v>
      </c>
      <c r="L22" s="2" t="s">
        <v>231</v>
      </c>
      <c r="M22" s="2" t="s">
        <v>242</v>
      </c>
      <c r="N22" s="2" t="s">
        <v>35</v>
      </c>
      <c r="O22" s="2" t="s">
        <v>233</v>
      </c>
      <c r="P22" s="2" t="s">
        <v>234</v>
      </c>
      <c r="Q22" s="2" t="s">
        <v>164</v>
      </c>
      <c r="R22" s="11" t="s">
        <v>53</v>
      </c>
      <c r="S22" s="25" t="s">
        <v>243</v>
      </c>
      <c r="U22" s="25" t="s">
        <v>235</v>
      </c>
    </row>
    <row r="23" spans="1:21" ht="130" hidden="1" customHeight="1">
      <c r="A23" s="2" t="s">
        <v>244</v>
      </c>
      <c r="B23" s="2" t="s">
        <v>223</v>
      </c>
      <c r="C23" s="2" t="s">
        <v>245</v>
      </c>
      <c r="D23" s="2" t="s">
        <v>246</v>
      </c>
      <c r="E23" s="2" t="s">
        <v>247</v>
      </c>
      <c r="F23" s="2" t="s">
        <v>248</v>
      </c>
      <c r="G23" s="2" t="s">
        <v>29</v>
      </c>
      <c r="H23" s="2" t="s">
        <v>249</v>
      </c>
      <c r="I23" s="2" t="s">
        <v>61</v>
      </c>
      <c r="J23" s="2" t="s">
        <v>250</v>
      </c>
      <c r="K23" s="2" t="s">
        <v>251</v>
      </c>
      <c r="L23" s="2" t="s">
        <v>252</v>
      </c>
      <c r="M23" s="2" t="s">
        <v>253</v>
      </c>
      <c r="N23" s="2" t="s">
        <v>66</v>
      </c>
      <c r="O23" s="2" t="s">
        <v>254</v>
      </c>
      <c r="P23" s="2" t="s">
        <v>255</v>
      </c>
      <c r="Q23" s="2" t="s">
        <v>256</v>
      </c>
      <c r="R23" s="11" t="s">
        <v>39</v>
      </c>
      <c r="S23" t="s">
        <v>257</v>
      </c>
      <c r="T23" s="25" t="s">
        <v>258</v>
      </c>
      <c r="U23" s="25" t="s">
        <v>235</v>
      </c>
    </row>
    <row r="24" spans="1:21" ht="90.75" hidden="1" customHeight="1">
      <c r="A24" s="2" t="s">
        <v>259</v>
      </c>
      <c r="B24" s="2" t="s">
        <v>223</v>
      </c>
      <c r="C24" s="2" t="s">
        <v>260</v>
      </c>
      <c r="D24" s="2" t="s">
        <v>261</v>
      </c>
      <c r="E24" s="2" t="s">
        <v>262</v>
      </c>
      <c r="F24" s="2" t="s">
        <v>263</v>
      </c>
      <c r="G24" s="2" t="s">
        <v>174</v>
      </c>
      <c r="H24" s="2" t="s">
        <v>264</v>
      </c>
      <c r="I24" s="2" t="s">
        <v>14</v>
      </c>
      <c r="J24" s="2" t="s">
        <v>265</v>
      </c>
      <c r="K24" s="2" t="s">
        <v>266</v>
      </c>
      <c r="L24" s="2" t="s">
        <v>267</v>
      </c>
      <c r="M24" s="2" t="s">
        <v>268</v>
      </c>
      <c r="N24" s="2" t="s">
        <v>35</v>
      </c>
      <c r="O24" s="2" t="s">
        <v>51</v>
      </c>
      <c r="P24" s="2" t="s">
        <v>52</v>
      </c>
      <c r="Q24" s="2" t="s">
        <v>107</v>
      </c>
      <c r="R24" s="11" t="s">
        <v>39</v>
      </c>
      <c r="U24" s="25" t="s">
        <v>235</v>
      </c>
    </row>
    <row r="25" spans="1:21" ht="90.75" hidden="1" customHeight="1">
      <c r="A25" s="2" t="s">
        <v>269</v>
      </c>
      <c r="B25" s="2" t="s">
        <v>223</v>
      </c>
      <c r="C25" s="2" t="s">
        <v>270</v>
      </c>
      <c r="D25" s="2" t="s">
        <v>271</v>
      </c>
      <c r="E25" s="2" t="s">
        <v>272</v>
      </c>
      <c r="F25" s="2" t="s">
        <v>263</v>
      </c>
      <c r="G25" s="2" t="s">
        <v>240</v>
      </c>
      <c r="H25" s="2" t="s">
        <v>264</v>
      </c>
      <c r="I25" s="2" t="s">
        <v>14</v>
      </c>
      <c r="J25" s="2" t="s">
        <v>265</v>
      </c>
      <c r="K25" s="2" t="s">
        <v>266</v>
      </c>
      <c r="L25" s="2" t="s">
        <v>267</v>
      </c>
      <c r="M25" s="2" t="s">
        <v>273</v>
      </c>
      <c r="N25" s="2" t="s">
        <v>35</v>
      </c>
      <c r="O25" s="2" t="s">
        <v>51</v>
      </c>
      <c r="P25" s="2" t="s">
        <v>52</v>
      </c>
      <c r="Q25" s="2" t="s">
        <v>274</v>
      </c>
      <c r="R25" s="11" t="s">
        <v>39</v>
      </c>
      <c r="U25" s="25" t="s">
        <v>235</v>
      </c>
    </row>
    <row r="26" spans="1:21" ht="90.75" customHeight="1">
      <c r="A26" s="2" t="s">
        <v>275</v>
      </c>
      <c r="B26" s="2" t="s">
        <v>223</v>
      </c>
      <c r="C26" s="2" t="s">
        <v>276</v>
      </c>
      <c r="D26" s="2" t="s">
        <v>277</v>
      </c>
      <c r="E26" s="2" t="s">
        <v>278</v>
      </c>
      <c r="F26" s="2" t="s">
        <v>279</v>
      </c>
      <c r="G26" s="2" t="s">
        <v>29</v>
      </c>
      <c r="H26" s="2" t="s">
        <v>280</v>
      </c>
      <c r="I26" s="2" t="s">
        <v>14</v>
      </c>
      <c r="J26" s="2" t="s">
        <v>281</v>
      </c>
      <c r="K26" s="2" t="s">
        <v>282</v>
      </c>
      <c r="L26" s="2" t="s">
        <v>283</v>
      </c>
      <c r="M26" s="2" t="s">
        <v>284</v>
      </c>
      <c r="N26" s="2" t="s">
        <v>35</v>
      </c>
      <c r="O26" s="2" t="s">
        <v>285</v>
      </c>
      <c r="P26" s="2" t="s">
        <v>286</v>
      </c>
      <c r="Q26" s="2" t="s">
        <v>107</v>
      </c>
      <c r="R26" s="11" t="s">
        <v>53</v>
      </c>
      <c r="S26" s="25" t="s">
        <v>287</v>
      </c>
      <c r="U26" s="25" t="s">
        <v>235</v>
      </c>
    </row>
    <row r="27" spans="1:21" ht="90.75" hidden="1" customHeight="1">
      <c r="A27" s="2" t="s">
        <v>288</v>
      </c>
      <c r="B27" s="2" t="s">
        <v>223</v>
      </c>
      <c r="C27" s="2" t="s">
        <v>289</v>
      </c>
      <c r="D27" s="2" t="s">
        <v>290</v>
      </c>
      <c r="E27" s="2" t="s">
        <v>291</v>
      </c>
      <c r="F27" s="2" t="s">
        <v>279</v>
      </c>
      <c r="G27" s="2" t="s">
        <v>103</v>
      </c>
      <c r="H27" s="2" t="s">
        <v>292</v>
      </c>
      <c r="I27" s="2" t="s">
        <v>14</v>
      </c>
      <c r="J27" s="2" t="s">
        <v>281</v>
      </c>
      <c r="K27" s="2" t="s">
        <v>282</v>
      </c>
      <c r="L27" s="2" t="s">
        <v>283</v>
      </c>
      <c r="M27" s="2" t="s">
        <v>293</v>
      </c>
      <c r="N27" s="2" t="s">
        <v>35</v>
      </c>
      <c r="O27" s="2" t="s">
        <v>294</v>
      </c>
      <c r="P27" s="2" t="s">
        <v>295</v>
      </c>
      <c r="Q27" s="2" t="s">
        <v>107</v>
      </c>
      <c r="R27" s="11" t="s">
        <v>39</v>
      </c>
      <c r="U27" s="25" t="s">
        <v>235</v>
      </c>
    </row>
    <row r="28" spans="1:21" ht="90.75" hidden="1" customHeight="1">
      <c r="A28" s="2" t="s">
        <v>296</v>
      </c>
      <c r="B28" s="2" t="s">
        <v>297</v>
      </c>
      <c r="C28" s="2" t="s">
        <v>298</v>
      </c>
      <c r="D28" s="2" t="s">
        <v>299</v>
      </c>
      <c r="E28" s="2" t="s">
        <v>300</v>
      </c>
      <c r="F28" s="2" t="s">
        <v>301</v>
      </c>
      <c r="G28" s="2" t="s">
        <v>29</v>
      </c>
      <c r="H28" s="2" t="s">
        <v>302</v>
      </c>
      <c r="I28" s="2" t="s">
        <v>14</v>
      </c>
      <c r="J28" s="2" t="s">
        <v>203</v>
      </c>
      <c r="K28" s="2" t="s">
        <v>204</v>
      </c>
      <c r="L28" s="2" t="s">
        <v>303</v>
      </c>
      <c r="M28" s="2" t="s">
        <v>304</v>
      </c>
      <c r="N28" s="2" t="s">
        <v>35</v>
      </c>
      <c r="O28" s="2" t="s">
        <v>305</v>
      </c>
      <c r="P28" s="2" t="s">
        <v>306</v>
      </c>
      <c r="Q28" s="2" t="s">
        <v>38</v>
      </c>
      <c r="R28" s="11" t="s">
        <v>39</v>
      </c>
    </row>
    <row r="29" spans="1:21" ht="90.75" customHeight="1">
      <c r="A29" s="2" t="s">
        <v>307</v>
      </c>
      <c r="B29" s="2" t="s">
        <v>297</v>
      </c>
      <c r="C29" s="2" t="s">
        <v>308</v>
      </c>
      <c r="D29" s="2" t="s">
        <v>309</v>
      </c>
      <c r="E29" s="2" t="s">
        <v>310</v>
      </c>
      <c r="F29" s="2" t="s">
        <v>311</v>
      </c>
      <c r="G29" s="2" t="s">
        <v>29</v>
      </c>
      <c r="H29" s="2" t="s">
        <v>312</v>
      </c>
      <c r="I29" s="2" t="s">
        <v>14</v>
      </c>
      <c r="J29" s="2" t="s">
        <v>203</v>
      </c>
      <c r="K29" s="2" t="s">
        <v>204</v>
      </c>
      <c r="L29" s="2" t="s">
        <v>313</v>
      </c>
      <c r="M29" s="2" t="s">
        <v>314</v>
      </c>
      <c r="N29" s="2" t="s">
        <v>35</v>
      </c>
      <c r="O29" s="2" t="s">
        <v>315</v>
      </c>
      <c r="P29" s="2" t="s">
        <v>316</v>
      </c>
      <c r="Q29" s="2" t="s">
        <v>164</v>
      </c>
      <c r="R29" s="11" t="s">
        <v>53</v>
      </c>
      <c r="S29" s="25" t="s">
        <v>317</v>
      </c>
      <c r="U29" s="25" t="s">
        <v>318</v>
      </c>
    </row>
    <row r="30" spans="1:21" ht="90.75" hidden="1" customHeight="1">
      <c r="A30" s="2" t="s">
        <v>319</v>
      </c>
      <c r="B30" s="2" t="s">
        <v>297</v>
      </c>
      <c r="C30" s="2" t="s">
        <v>320</v>
      </c>
      <c r="D30" s="2" t="s">
        <v>321</v>
      </c>
      <c r="E30" s="2" t="s">
        <v>322</v>
      </c>
      <c r="F30" s="2" t="s">
        <v>323</v>
      </c>
      <c r="G30" s="2" t="s">
        <v>29</v>
      </c>
      <c r="H30" s="2" t="s">
        <v>324</v>
      </c>
      <c r="I30" s="2" t="s">
        <v>61</v>
      </c>
      <c r="J30" s="2" t="s">
        <v>325</v>
      </c>
      <c r="K30" s="2" t="s">
        <v>326</v>
      </c>
      <c r="L30" s="2" t="s">
        <v>327</v>
      </c>
      <c r="M30" s="2" t="s">
        <v>328</v>
      </c>
      <c r="N30" s="2" t="s">
        <v>66</v>
      </c>
      <c r="O30" s="2" t="s">
        <v>329</v>
      </c>
      <c r="P30" s="2" t="s">
        <v>330</v>
      </c>
      <c r="Q30" s="2" t="s">
        <v>69</v>
      </c>
      <c r="R30" s="11" t="s">
        <v>39</v>
      </c>
      <c r="T30" s="25" t="s">
        <v>331</v>
      </c>
      <c r="U30" s="25" t="s">
        <v>98</v>
      </c>
    </row>
    <row r="31" spans="1:21" ht="90.75" hidden="1" customHeight="1">
      <c r="A31" s="2" t="s">
        <v>332</v>
      </c>
      <c r="B31" s="2" t="s">
        <v>333</v>
      </c>
      <c r="C31" s="2" t="s">
        <v>334</v>
      </c>
      <c r="D31" s="2" t="s">
        <v>335</v>
      </c>
      <c r="E31" s="2" t="s">
        <v>336</v>
      </c>
      <c r="F31" s="2" t="s">
        <v>337</v>
      </c>
      <c r="G31" s="2" t="s">
        <v>29</v>
      </c>
      <c r="H31" s="2" t="s">
        <v>338</v>
      </c>
      <c r="I31" s="2" t="s">
        <v>339</v>
      </c>
      <c r="J31" s="2" t="s">
        <v>340</v>
      </c>
      <c r="K31" s="2" t="s">
        <v>341</v>
      </c>
      <c r="L31" s="2" t="s">
        <v>342</v>
      </c>
      <c r="M31" s="2" t="s">
        <v>343</v>
      </c>
      <c r="N31" s="2" t="s">
        <v>66</v>
      </c>
      <c r="O31" s="2" t="s">
        <v>344</v>
      </c>
      <c r="P31" s="2" t="s">
        <v>345</v>
      </c>
      <c r="Q31" s="2" t="s">
        <v>346</v>
      </c>
      <c r="R31" s="11" t="s">
        <v>39</v>
      </c>
      <c r="U31" s="25" t="s">
        <v>347</v>
      </c>
    </row>
    <row r="32" spans="1:21" ht="90.75" hidden="1" customHeight="1">
      <c r="A32" s="2" t="s">
        <v>348</v>
      </c>
      <c r="B32" s="2" t="s">
        <v>349</v>
      </c>
      <c r="C32" s="2" t="s">
        <v>350</v>
      </c>
      <c r="D32" s="2" t="s">
        <v>351</v>
      </c>
      <c r="E32" s="2" t="s">
        <v>352</v>
      </c>
      <c r="F32" s="2" t="s">
        <v>353</v>
      </c>
      <c r="G32" s="2" t="s">
        <v>29</v>
      </c>
      <c r="H32" s="2" t="s">
        <v>354</v>
      </c>
      <c r="I32" s="2" t="s">
        <v>355</v>
      </c>
      <c r="J32" s="2" t="s">
        <v>356</v>
      </c>
      <c r="K32" s="2" t="s">
        <v>357</v>
      </c>
      <c r="L32" s="2" t="s">
        <v>358</v>
      </c>
      <c r="M32" s="2" t="s">
        <v>359</v>
      </c>
      <c r="N32" s="2" t="s">
        <v>66</v>
      </c>
      <c r="O32" s="2" t="s">
        <v>360</v>
      </c>
      <c r="P32" s="2" t="s">
        <v>361</v>
      </c>
      <c r="Q32" s="2" t="s">
        <v>346</v>
      </c>
      <c r="R32" s="11" t="s">
        <v>39</v>
      </c>
      <c r="T32" s="25" t="s">
        <v>362</v>
      </c>
      <c r="U32" s="25" t="s">
        <v>363</v>
      </c>
    </row>
    <row r="33" spans="1:21" ht="90.75" customHeight="1">
      <c r="A33" s="2" t="s">
        <v>364</v>
      </c>
      <c r="B33" s="2" t="s">
        <v>349</v>
      </c>
      <c r="C33" s="2" t="s">
        <v>365</v>
      </c>
      <c r="D33" s="2" t="s">
        <v>366</v>
      </c>
      <c r="E33" s="2" t="s">
        <v>367</v>
      </c>
      <c r="F33" s="2" t="s">
        <v>353</v>
      </c>
      <c r="G33" s="2" t="s">
        <v>29</v>
      </c>
      <c r="H33" s="2" t="s">
        <v>354</v>
      </c>
      <c r="I33" s="2" t="s">
        <v>355</v>
      </c>
      <c r="J33" s="2" t="s">
        <v>356</v>
      </c>
      <c r="K33" s="2" t="s">
        <v>357</v>
      </c>
      <c r="L33" s="2" t="s">
        <v>358</v>
      </c>
      <c r="M33" s="2" t="s">
        <v>359</v>
      </c>
      <c r="N33" s="2" t="s">
        <v>66</v>
      </c>
      <c r="O33" s="2" t="s">
        <v>368</v>
      </c>
      <c r="P33" s="2" t="s">
        <v>369</v>
      </c>
      <c r="Q33" s="2" t="s">
        <v>370</v>
      </c>
      <c r="R33" s="11" t="s">
        <v>53</v>
      </c>
      <c r="S33" s="25" t="s">
        <v>371</v>
      </c>
      <c r="T33" s="25" t="s">
        <v>362</v>
      </c>
      <c r="U33" s="25" t="s">
        <v>318</v>
      </c>
    </row>
    <row r="34" spans="1:21" ht="150" customHeight="1">
      <c r="A34" s="2" t="s">
        <v>372</v>
      </c>
      <c r="B34" s="2" t="s">
        <v>349</v>
      </c>
      <c r="C34" s="2" t="s">
        <v>373</v>
      </c>
      <c r="D34" s="2" t="s">
        <v>374</v>
      </c>
      <c r="E34" s="2" t="s">
        <v>375</v>
      </c>
      <c r="F34" s="2" t="s">
        <v>353</v>
      </c>
      <c r="G34" s="2" t="s">
        <v>29</v>
      </c>
      <c r="H34" s="2" t="s">
        <v>354</v>
      </c>
      <c r="I34" s="2" t="s">
        <v>355</v>
      </c>
      <c r="J34" s="2" t="s">
        <v>356</v>
      </c>
      <c r="K34" s="2" t="s">
        <v>357</v>
      </c>
      <c r="L34" s="2" t="s">
        <v>358</v>
      </c>
      <c r="M34" s="2" t="s">
        <v>359</v>
      </c>
      <c r="N34" s="2" t="s">
        <v>66</v>
      </c>
      <c r="O34" s="2" t="s">
        <v>51</v>
      </c>
      <c r="P34" s="2" t="s">
        <v>52</v>
      </c>
      <c r="Q34" s="2" t="s">
        <v>376</v>
      </c>
      <c r="R34" s="11" t="s">
        <v>53</v>
      </c>
      <c r="S34" s="25" t="s">
        <v>377</v>
      </c>
      <c r="T34" s="25" t="s">
        <v>362</v>
      </c>
      <c r="U34" s="25" t="s">
        <v>378</v>
      </c>
    </row>
    <row r="35" spans="1:21" ht="90.75" hidden="1" customHeight="1">
      <c r="A35" s="2" t="s">
        <v>379</v>
      </c>
      <c r="B35" s="2" t="s">
        <v>349</v>
      </c>
      <c r="C35" s="2" t="s">
        <v>380</v>
      </c>
      <c r="D35" s="2" t="s">
        <v>381</v>
      </c>
      <c r="E35" s="2" t="s">
        <v>382</v>
      </c>
      <c r="F35" s="2" t="s">
        <v>353</v>
      </c>
      <c r="G35" s="2" t="s">
        <v>29</v>
      </c>
      <c r="H35" s="2" t="s">
        <v>383</v>
      </c>
      <c r="I35" s="2" t="s">
        <v>384</v>
      </c>
      <c r="J35" s="2" t="s">
        <v>385</v>
      </c>
      <c r="K35" s="2" t="s">
        <v>386</v>
      </c>
      <c r="L35" s="2" t="s">
        <v>358</v>
      </c>
      <c r="M35" s="2" t="s">
        <v>387</v>
      </c>
      <c r="N35" s="2" t="s">
        <v>66</v>
      </c>
      <c r="O35" s="2" t="s">
        <v>360</v>
      </c>
      <c r="P35" s="2" t="s">
        <v>361</v>
      </c>
      <c r="Q35" s="2" t="s">
        <v>346</v>
      </c>
      <c r="R35" s="11" t="s">
        <v>39</v>
      </c>
      <c r="T35" s="25" t="s">
        <v>388</v>
      </c>
      <c r="U35" s="25" t="s">
        <v>389</v>
      </c>
    </row>
    <row r="36" spans="1:21" ht="90.75" hidden="1" customHeight="1">
      <c r="A36" s="2" t="s">
        <v>390</v>
      </c>
      <c r="B36" s="2" t="s">
        <v>349</v>
      </c>
      <c r="C36" s="2" t="s">
        <v>391</v>
      </c>
      <c r="D36" s="2" t="s">
        <v>392</v>
      </c>
      <c r="E36" s="2" t="s">
        <v>393</v>
      </c>
      <c r="F36" s="2" t="s">
        <v>353</v>
      </c>
      <c r="G36" s="2" t="s">
        <v>29</v>
      </c>
      <c r="H36" s="2" t="s">
        <v>383</v>
      </c>
      <c r="I36" s="2" t="s">
        <v>384</v>
      </c>
      <c r="J36" s="2" t="s">
        <v>385</v>
      </c>
      <c r="K36" s="2" t="s">
        <v>386</v>
      </c>
      <c r="L36" s="2" t="s">
        <v>358</v>
      </c>
      <c r="M36" s="2" t="s">
        <v>387</v>
      </c>
      <c r="N36" s="2" t="s">
        <v>66</v>
      </c>
      <c r="O36" s="2" t="s">
        <v>360</v>
      </c>
      <c r="P36" s="2" t="s">
        <v>361</v>
      </c>
      <c r="Q36" s="2" t="s">
        <v>346</v>
      </c>
      <c r="R36" s="11" t="s">
        <v>39</v>
      </c>
      <c r="T36" s="25" t="s">
        <v>388</v>
      </c>
      <c r="U36" s="25" t="s">
        <v>389</v>
      </c>
    </row>
    <row r="37" spans="1:21" ht="90.75" hidden="1" customHeight="1">
      <c r="A37" s="2" t="s">
        <v>394</v>
      </c>
      <c r="B37" s="2" t="s">
        <v>349</v>
      </c>
      <c r="C37" s="2" t="s">
        <v>395</v>
      </c>
      <c r="D37" s="2" t="s">
        <v>396</v>
      </c>
      <c r="E37" s="2" t="s">
        <v>393</v>
      </c>
      <c r="F37" s="2" t="s">
        <v>353</v>
      </c>
      <c r="G37" s="2" t="s">
        <v>29</v>
      </c>
      <c r="H37" s="2" t="s">
        <v>383</v>
      </c>
      <c r="I37" s="2" t="s">
        <v>384</v>
      </c>
      <c r="J37" s="2" t="s">
        <v>385</v>
      </c>
      <c r="K37" s="2" t="s">
        <v>386</v>
      </c>
      <c r="L37" s="2" t="s">
        <v>358</v>
      </c>
      <c r="M37" s="2" t="s">
        <v>387</v>
      </c>
      <c r="N37" s="2" t="s">
        <v>66</v>
      </c>
      <c r="O37" s="2" t="s">
        <v>360</v>
      </c>
      <c r="P37" s="2" t="s">
        <v>361</v>
      </c>
      <c r="Q37" s="2" t="s">
        <v>346</v>
      </c>
      <c r="R37" s="11" t="s">
        <v>39</v>
      </c>
      <c r="T37" s="25" t="s">
        <v>388</v>
      </c>
      <c r="U37" s="25" t="s">
        <v>389</v>
      </c>
    </row>
    <row r="38" spans="1:21" ht="90.75" hidden="1" customHeight="1">
      <c r="A38" s="2" t="s">
        <v>397</v>
      </c>
      <c r="B38" s="2" t="s">
        <v>349</v>
      </c>
      <c r="C38" s="2" t="s">
        <v>398</v>
      </c>
      <c r="D38" s="2" t="s">
        <v>399</v>
      </c>
      <c r="E38" s="2" t="s">
        <v>393</v>
      </c>
      <c r="F38" s="2" t="s">
        <v>353</v>
      </c>
      <c r="G38" s="2" t="s">
        <v>29</v>
      </c>
      <c r="H38" s="2" t="s">
        <v>383</v>
      </c>
      <c r="I38" s="2" t="s">
        <v>384</v>
      </c>
      <c r="J38" s="2" t="s">
        <v>385</v>
      </c>
      <c r="K38" s="2" t="s">
        <v>386</v>
      </c>
      <c r="L38" s="2" t="s">
        <v>358</v>
      </c>
      <c r="M38" s="2" t="s">
        <v>387</v>
      </c>
      <c r="N38" s="2" t="s">
        <v>66</v>
      </c>
      <c r="O38" s="2" t="s">
        <v>360</v>
      </c>
      <c r="P38" s="2" t="s">
        <v>361</v>
      </c>
      <c r="Q38" s="2" t="s">
        <v>346</v>
      </c>
      <c r="R38" s="11" t="s">
        <v>39</v>
      </c>
      <c r="T38" s="25" t="s">
        <v>388</v>
      </c>
      <c r="U38" s="25" t="s">
        <v>389</v>
      </c>
    </row>
    <row r="39" spans="1:21" ht="90.75" hidden="1" customHeight="1">
      <c r="A39" s="2" t="s">
        <v>400</v>
      </c>
      <c r="B39" s="2" t="s">
        <v>349</v>
      </c>
      <c r="C39" s="2" t="s">
        <v>401</v>
      </c>
      <c r="D39" s="2" t="s">
        <v>402</v>
      </c>
      <c r="E39" s="2" t="s">
        <v>393</v>
      </c>
      <c r="F39" s="2" t="s">
        <v>353</v>
      </c>
      <c r="G39" s="2" t="s">
        <v>29</v>
      </c>
      <c r="H39" s="2" t="s">
        <v>383</v>
      </c>
      <c r="I39" s="2" t="s">
        <v>384</v>
      </c>
      <c r="J39" s="2" t="s">
        <v>385</v>
      </c>
      <c r="K39" s="2" t="s">
        <v>386</v>
      </c>
      <c r="L39" s="2" t="s">
        <v>358</v>
      </c>
      <c r="M39" s="2" t="s">
        <v>387</v>
      </c>
      <c r="N39" s="2" t="s">
        <v>66</v>
      </c>
      <c r="O39" s="2" t="s">
        <v>360</v>
      </c>
      <c r="P39" s="2" t="s">
        <v>361</v>
      </c>
      <c r="Q39" s="2" t="s">
        <v>346</v>
      </c>
      <c r="R39" s="11" t="s">
        <v>39</v>
      </c>
      <c r="T39" s="25" t="s">
        <v>388</v>
      </c>
      <c r="U39" s="25" t="s">
        <v>389</v>
      </c>
    </row>
    <row r="40" spans="1:21" ht="90.75" hidden="1" customHeight="1">
      <c r="A40" s="2" t="s">
        <v>403</v>
      </c>
      <c r="B40" s="2" t="s">
        <v>349</v>
      </c>
      <c r="C40" s="2" t="s">
        <v>404</v>
      </c>
      <c r="D40" s="2" t="s">
        <v>405</v>
      </c>
      <c r="E40" s="2" t="s">
        <v>393</v>
      </c>
      <c r="F40" s="2" t="s">
        <v>353</v>
      </c>
      <c r="G40" s="2" t="s">
        <v>29</v>
      </c>
      <c r="H40" s="2" t="s">
        <v>383</v>
      </c>
      <c r="I40" s="2" t="s">
        <v>384</v>
      </c>
      <c r="J40" s="2" t="s">
        <v>385</v>
      </c>
      <c r="K40" s="2" t="s">
        <v>386</v>
      </c>
      <c r="L40" s="2" t="s">
        <v>358</v>
      </c>
      <c r="M40" s="2" t="s">
        <v>387</v>
      </c>
      <c r="N40" s="2" t="s">
        <v>66</v>
      </c>
      <c r="O40" s="2" t="s">
        <v>360</v>
      </c>
      <c r="P40" s="2" t="s">
        <v>361</v>
      </c>
      <c r="Q40" s="2" t="s">
        <v>346</v>
      </c>
      <c r="R40" s="11" t="s">
        <v>39</v>
      </c>
      <c r="T40" s="25" t="s">
        <v>388</v>
      </c>
      <c r="U40" s="25" t="s">
        <v>389</v>
      </c>
    </row>
    <row r="41" spans="1:21" ht="90.75" hidden="1" customHeight="1">
      <c r="A41" s="2" t="s">
        <v>406</v>
      </c>
      <c r="B41" s="2" t="s">
        <v>407</v>
      </c>
      <c r="C41" s="2" t="s">
        <v>408</v>
      </c>
      <c r="D41" s="2" t="s">
        <v>409</v>
      </c>
      <c r="E41" s="2" t="s">
        <v>410</v>
      </c>
      <c r="F41" s="2" t="s">
        <v>411</v>
      </c>
      <c r="G41" s="2" t="s">
        <v>29</v>
      </c>
      <c r="H41" s="2" t="s">
        <v>412</v>
      </c>
      <c r="I41" s="2" t="s">
        <v>413</v>
      </c>
      <c r="J41" s="2" t="s">
        <v>414</v>
      </c>
      <c r="K41" s="2" t="s">
        <v>415</v>
      </c>
      <c r="L41" s="2" t="s">
        <v>416</v>
      </c>
      <c r="M41" s="2" t="s">
        <v>417</v>
      </c>
      <c r="N41" s="2" t="s">
        <v>66</v>
      </c>
      <c r="O41" s="2" t="s">
        <v>418</v>
      </c>
      <c r="P41" s="2" t="s">
        <v>419</v>
      </c>
      <c r="Q41" s="2" t="s">
        <v>346</v>
      </c>
      <c r="R41" s="11" t="s">
        <v>39</v>
      </c>
      <c r="T41" s="25" t="s">
        <v>420</v>
      </c>
      <c r="U41" s="25" t="s">
        <v>421</v>
      </c>
    </row>
    <row r="42" spans="1:21" ht="90.75" hidden="1" customHeight="1">
      <c r="A42" s="2" t="s">
        <v>422</v>
      </c>
      <c r="B42" s="2" t="s">
        <v>407</v>
      </c>
      <c r="C42" s="2" t="s">
        <v>423</v>
      </c>
      <c r="D42" s="2" t="s">
        <v>424</v>
      </c>
      <c r="E42" s="2" t="s">
        <v>425</v>
      </c>
      <c r="F42" s="2" t="s">
        <v>411</v>
      </c>
      <c r="G42" s="2" t="s">
        <v>29</v>
      </c>
      <c r="H42" s="2" t="s">
        <v>426</v>
      </c>
      <c r="I42" s="2" t="s">
        <v>413</v>
      </c>
      <c r="J42" s="2" t="s">
        <v>427</v>
      </c>
      <c r="K42" s="2" t="s">
        <v>415</v>
      </c>
      <c r="L42" s="2" t="s">
        <v>416</v>
      </c>
      <c r="M42" s="2" t="s">
        <v>417</v>
      </c>
      <c r="N42" s="2" t="s">
        <v>66</v>
      </c>
      <c r="O42" s="2" t="s">
        <v>428</v>
      </c>
      <c r="P42" s="2" t="s">
        <v>429</v>
      </c>
      <c r="Q42" s="2" t="s">
        <v>346</v>
      </c>
      <c r="R42" s="11" t="s">
        <v>39</v>
      </c>
      <c r="T42" s="25" t="s">
        <v>420</v>
      </c>
      <c r="U42" s="25" t="s">
        <v>421</v>
      </c>
    </row>
    <row r="43" spans="1:21" ht="90.75" hidden="1" customHeight="1">
      <c r="A43" s="2" t="s">
        <v>430</v>
      </c>
      <c r="B43" s="2" t="s">
        <v>407</v>
      </c>
      <c r="C43" s="2" t="s">
        <v>431</v>
      </c>
      <c r="D43" s="2" t="s">
        <v>432</v>
      </c>
      <c r="E43" s="2" t="s">
        <v>433</v>
      </c>
      <c r="F43" s="2" t="s">
        <v>434</v>
      </c>
      <c r="G43" s="2" t="s">
        <v>174</v>
      </c>
      <c r="H43" s="2" t="s">
        <v>435</v>
      </c>
      <c r="I43" s="2" t="s">
        <v>436</v>
      </c>
      <c r="J43" s="2" t="s">
        <v>437</v>
      </c>
      <c r="K43" s="2" t="s">
        <v>438</v>
      </c>
      <c r="L43" s="2" t="s">
        <v>439</v>
      </c>
      <c r="M43" s="2" t="s">
        <v>440</v>
      </c>
      <c r="N43" s="2" t="s">
        <v>66</v>
      </c>
      <c r="O43" s="2" t="s">
        <v>441</v>
      </c>
      <c r="P43" s="2" t="s">
        <v>442</v>
      </c>
      <c r="Q43" s="2" t="s">
        <v>346</v>
      </c>
      <c r="R43" s="11" t="s">
        <v>39</v>
      </c>
      <c r="U43" s="25" t="s">
        <v>443</v>
      </c>
    </row>
    <row r="44" spans="1:21" ht="90.75" hidden="1" customHeight="1">
      <c r="A44" s="2" t="s">
        <v>444</v>
      </c>
      <c r="B44" s="2" t="s">
        <v>407</v>
      </c>
      <c r="C44" s="2" t="s">
        <v>445</v>
      </c>
      <c r="D44" s="2" t="s">
        <v>446</v>
      </c>
      <c r="E44" s="2" t="s">
        <v>447</v>
      </c>
      <c r="F44" s="2" t="s">
        <v>448</v>
      </c>
      <c r="G44" s="2" t="s">
        <v>29</v>
      </c>
      <c r="H44" s="2" t="s">
        <v>449</v>
      </c>
      <c r="I44" s="2" t="s">
        <v>436</v>
      </c>
      <c r="J44" s="2" t="s">
        <v>450</v>
      </c>
      <c r="K44" s="2" t="s">
        <v>451</v>
      </c>
      <c r="L44" s="2" t="s">
        <v>452</v>
      </c>
      <c r="M44" s="2" t="s">
        <v>453</v>
      </c>
      <c r="N44" s="2" t="s">
        <v>66</v>
      </c>
      <c r="O44" s="2" t="s">
        <v>51</v>
      </c>
      <c r="P44" s="2" t="s">
        <v>52</v>
      </c>
      <c r="Q44" s="2" t="s">
        <v>454</v>
      </c>
      <c r="R44" s="11" t="s">
        <v>39</v>
      </c>
      <c r="U44" s="25" t="s">
        <v>455</v>
      </c>
    </row>
    <row r="45" spans="1:21" ht="130" hidden="1" customHeight="1">
      <c r="A45" s="2" t="s">
        <v>456</v>
      </c>
      <c r="B45" s="2" t="s">
        <v>407</v>
      </c>
      <c r="C45" s="2" t="s">
        <v>457</v>
      </c>
      <c r="D45" s="2" t="s">
        <v>458</v>
      </c>
      <c r="E45" s="2" t="s">
        <v>459</v>
      </c>
      <c r="F45" s="2" t="s">
        <v>460</v>
      </c>
      <c r="G45" s="2" t="s">
        <v>29</v>
      </c>
      <c r="H45" s="2" t="s">
        <v>461</v>
      </c>
      <c r="I45" s="2" t="s">
        <v>462</v>
      </c>
      <c r="J45" s="2" t="s">
        <v>463</v>
      </c>
      <c r="K45" s="2" t="s">
        <v>464</v>
      </c>
      <c r="L45" s="2" t="s">
        <v>465</v>
      </c>
      <c r="M45" s="2" t="s">
        <v>466</v>
      </c>
      <c r="N45" s="2" t="s">
        <v>66</v>
      </c>
      <c r="O45" s="2" t="s">
        <v>467</v>
      </c>
      <c r="P45" s="2" t="s">
        <v>468</v>
      </c>
      <c r="Q45" s="2" t="s">
        <v>469</v>
      </c>
      <c r="R45" s="11" t="s">
        <v>39</v>
      </c>
      <c r="S45" s="25" t="s">
        <v>470</v>
      </c>
      <c r="T45" s="25" t="s">
        <v>471</v>
      </c>
      <c r="U45" s="25" t="s">
        <v>472</v>
      </c>
    </row>
    <row r="46" spans="1:21" ht="90.75" hidden="1" customHeight="1">
      <c r="A46" s="2" t="s">
        <v>473</v>
      </c>
      <c r="B46" s="2" t="s">
        <v>407</v>
      </c>
      <c r="C46" s="2" t="s">
        <v>474</v>
      </c>
      <c r="D46" s="2" t="s">
        <v>475</v>
      </c>
      <c r="E46" s="2" t="s">
        <v>476</v>
      </c>
      <c r="F46" s="2" t="s">
        <v>460</v>
      </c>
      <c r="G46" s="2" t="s">
        <v>29</v>
      </c>
      <c r="H46" s="2" t="s">
        <v>477</v>
      </c>
      <c r="I46" s="2" t="s">
        <v>478</v>
      </c>
      <c r="J46" s="2" t="s">
        <v>479</v>
      </c>
      <c r="K46" s="2" t="s">
        <v>480</v>
      </c>
      <c r="L46" s="2" t="s">
        <v>481</v>
      </c>
      <c r="M46" s="2" t="s">
        <v>482</v>
      </c>
      <c r="N46" s="2" t="s">
        <v>66</v>
      </c>
      <c r="O46" s="2" t="s">
        <v>51</v>
      </c>
      <c r="P46" s="2" t="s">
        <v>52</v>
      </c>
      <c r="Q46" s="2" t="s">
        <v>376</v>
      </c>
      <c r="R46" s="11" t="s">
        <v>39</v>
      </c>
      <c r="T46" s="25" t="s">
        <v>483</v>
      </c>
      <c r="U46" s="25" t="s">
        <v>455</v>
      </c>
    </row>
    <row r="47" spans="1:21" ht="130" customHeight="1">
      <c r="A47" s="2" t="s">
        <v>484</v>
      </c>
      <c r="B47" s="2" t="s">
        <v>407</v>
      </c>
      <c r="C47" s="2" t="s">
        <v>485</v>
      </c>
      <c r="D47" s="2" t="s">
        <v>486</v>
      </c>
      <c r="E47" s="2" t="s">
        <v>487</v>
      </c>
      <c r="F47" s="2" t="s">
        <v>460</v>
      </c>
      <c r="G47" s="2" t="s">
        <v>29</v>
      </c>
      <c r="H47" s="2" t="s">
        <v>488</v>
      </c>
      <c r="I47" s="2" t="s">
        <v>478</v>
      </c>
      <c r="J47" s="2" t="s">
        <v>479</v>
      </c>
      <c r="K47" s="2" t="s">
        <v>480</v>
      </c>
      <c r="L47" s="2" t="s">
        <v>489</v>
      </c>
      <c r="M47" s="2" t="s">
        <v>490</v>
      </c>
      <c r="N47" s="2" t="s">
        <v>66</v>
      </c>
      <c r="O47" s="2" t="s">
        <v>51</v>
      </c>
      <c r="P47" s="2" t="s">
        <v>52</v>
      </c>
      <c r="Q47" s="2" t="s">
        <v>491</v>
      </c>
      <c r="R47" s="11" t="s">
        <v>53</v>
      </c>
      <c r="S47" s="25" t="s">
        <v>492</v>
      </c>
      <c r="T47" s="25" t="s">
        <v>483</v>
      </c>
      <c r="U47" s="25" t="s">
        <v>493</v>
      </c>
    </row>
    <row r="48" spans="1:21" ht="90.75" customHeight="1">
      <c r="A48" s="2" t="s">
        <v>494</v>
      </c>
      <c r="B48" s="2" t="s">
        <v>495</v>
      </c>
      <c r="C48" s="2" t="s">
        <v>496</v>
      </c>
      <c r="D48" s="2" t="s">
        <v>497</v>
      </c>
      <c r="E48" s="2" t="s">
        <v>498</v>
      </c>
      <c r="F48" s="2" t="s">
        <v>499</v>
      </c>
      <c r="G48" s="2" t="s">
        <v>174</v>
      </c>
      <c r="H48" s="2" t="s">
        <v>500</v>
      </c>
      <c r="I48" s="2" t="s">
        <v>436</v>
      </c>
      <c r="J48" s="2" t="s">
        <v>501</v>
      </c>
      <c r="K48" s="2" t="s">
        <v>502</v>
      </c>
      <c r="L48" s="2" t="s">
        <v>503</v>
      </c>
      <c r="M48" s="2" t="s">
        <v>504</v>
      </c>
      <c r="N48" s="2" t="s">
        <v>66</v>
      </c>
      <c r="O48" s="2" t="s">
        <v>505</v>
      </c>
      <c r="P48" s="2" t="s">
        <v>506</v>
      </c>
      <c r="Q48" s="2" t="s">
        <v>346</v>
      </c>
      <c r="R48" s="11" t="s">
        <v>53</v>
      </c>
      <c r="S48" s="25" t="s">
        <v>507</v>
      </c>
      <c r="U48" s="25" t="s">
        <v>508</v>
      </c>
    </row>
    <row r="49" spans="1:21" ht="90.75" hidden="1" customHeight="1">
      <c r="A49" s="2" t="s">
        <v>509</v>
      </c>
      <c r="B49" s="2" t="s">
        <v>495</v>
      </c>
      <c r="C49" s="2" t="s">
        <v>510</v>
      </c>
      <c r="D49" s="2" t="s">
        <v>511</v>
      </c>
      <c r="E49" s="2" t="s">
        <v>512</v>
      </c>
      <c r="F49" s="2" t="s">
        <v>499</v>
      </c>
      <c r="G49" s="2" t="s">
        <v>29</v>
      </c>
      <c r="H49" s="2" t="s">
        <v>513</v>
      </c>
      <c r="I49" s="2" t="s">
        <v>514</v>
      </c>
      <c r="J49" s="2" t="s">
        <v>515</v>
      </c>
      <c r="K49" s="2" t="s">
        <v>451</v>
      </c>
      <c r="L49" s="2" t="s">
        <v>516</v>
      </c>
      <c r="M49" s="2" t="s">
        <v>517</v>
      </c>
      <c r="N49" s="2" t="s">
        <v>66</v>
      </c>
      <c r="O49" s="2" t="s">
        <v>518</v>
      </c>
      <c r="P49" s="2" t="s">
        <v>519</v>
      </c>
      <c r="Q49" s="2" t="s">
        <v>520</v>
      </c>
      <c r="R49" s="11" t="s">
        <v>39</v>
      </c>
      <c r="T49" s="25" t="s">
        <v>521</v>
      </c>
      <c r="U49" s="25" t="s">
        <v>508</v>
      </c>
    </row>
    <row r="50" spans="1:21" ht="90.75" hidden="1" customHeight="1">
      <c r="A50" s="2" t="s">
        <v>522</v>
      </c>
      <c r="B50" s="2" t="s">
        <v>495</v>
      </c>
      <c r="C50" s="2" t="s">
        <v>523</v>
      </c>
      <c r="D50" s="2" t="s">
        <v>524</v>
      </c>
      <c r="E50" s="2" t="s">
        <v>525</v>
      </c>
      <c r="F50" s="2" t="s">
        <v>499</v>
      </c>
      <c r="G50" s="2" t="s">
        <v>29</v>
      </c>
      <c r="H50" s="2" t="s">
        <v>513</v>
      </c>
      <c r="I50" s="2" t="s">
        <v>514</v>
      </c>
      <c r="J50" s="2" t="s">
        <v>515</v>
      </c>
      <c r="K50" s="2" t="s">
        <v>451</v>
      </c>
      <c r="L50" s="2" t="s">
        <v>516</v>
      </c>
      <c r="M50" s="2" t="s">
        <v>517</v>
      </c>
      <c r="N50" s="2" t="s">
        <v>66</v>
      </c>
      <c r="O50" s="2" t="s">
        <v>51</v>
      </c>
      <c r="P50" s="2" t="s">
        <v>52</v>
      </c>
      <c r="Q50" s="2" t="s">
        <v>376</v>
      </c>
      <c r="R50" s="11" t="s">
        <v>39</v>
      </c>
      <c r="T50" s="25" t="s">
        <v>521</v>
      </c>
      <c r="U50" s="25" t="s">
        <v>508</v>
      </c>
    </row>
    <row r="51" spans="1:21" ht="130" customHeight="1">
      <c r="A51" s="2" t="s">
        <v>526</v>
      </c>
      <c r="B51" s="2" t="s">
        <v>495</v>
      </c>
      <c r="C51" s="2" t="s">
        <v>527</v>
      </c>
      <c r="D51" s="2" t="s">
        <v>528</v>
      </c>
      <c r="E51" s="2" t="s">
        <v>529</v>
      </c>
      <c r="F51" s="2" t="s">
        <v>530</v>
      </c>
      <c r="G51" s="2" t="s">
        <v>29</v>
      </c>
      <c r="H51" s="2" t="s">
        <v>531</v>
      </c>
      <c r="I51" s="2" t="s">
        <v>532</v>
      </c>
      <c r="J51" s="2" t="s">
        <v>533</v>
      </c>
      <c r="K51" s="2" t="s">
        <v>534</v>
      </c>
      <c r="L51" s="2" t="s">
        <v>452</v>
      </c>
      <c r="M51" s="2" t="s">
        <v>535</v>
      </c>
      <c r="N51" s="2" t="s">
        <v>66</v>
      </c>
      <c r="O51" s="2" t="s">
        <v>51</v>
      </c>
      <c r="P51" s="2" t="s">
        <v>52</v>
      </c>
      <c r="Q51" s="2" t="s">
        <v>376</v>
      </c>
      <c r="R51" s="11" t="s">
        <v>53</v>
      </c>
      <c r="S51" s="25" t="s">
        <v>536</v>
      </c>
      <c r="T51" s="25" t="s">
        <v>537</v>
      </c>
      <c r="U51" s="25" t="s">
        <v>538</v>
      </c>
    </row>
    <row r="52" spans="1:21" ht="90.75" hidden="1" customHeight="1">
      <c r="A52" s="2" t="s">
        <v>539</v>
      </c>
      <c r="B52" s="2" t="s">
        <v>540</v>
      </c>
      <c r="C52" s="2" t="s">
        <v>541</v>
      </c>
      <c r="D52" s="2" t="s">
        <v>542</v>
      </c>
      <c r="E52" s="2" t="s">
        <v>543</v>
      </c>
      <c r="F52" s="2" t="s">
        <v>434</v>
      </c>
      <c r="G52" s="2" t="s">
        <v>29</v>
      </c>
      <c r="H52" s="2" t="s">
        <v>544</v>
      </c>
      <c r="I52" s="2" t="s">
        <v>436</v>
      </c>
      <c r="J52" s="2" t="s">
        <v>545</v>
      </c>
      <c r="K52" s="2" t="s">
        <v>546</v>
      </c>
      <c r="L52" s="2" t="s">
        <v>439</v>
      </c>
      <c r="M52" s="2" t="s">
        <v>547</v>
      </c>
      <c r="N52" s="2" t="s">
        <v>66</v>
      </c>
      <c r="O52" s="2" t="s">
        <v>548</v>
      </c>
      <c r="P52" s="2" t="s">
        <v>549</v>
      </c>
      <c r="Q52" s="2" t="s">
        <v>346</v>
      </c>
      <c r="R52" s="11" t="s">
        <v>39</v>
      </c>
      <c r="S52" s="25" t="s">
        <v>550</v>
      </c>
      <c r="U52" s="25" t="s">
        <v>551</v>
      </c>
    </row>
    <row r="53" spans="1:21" ht="90.75" hidden="1" customHeight="1">
      <c r="A53" s="2" t="s">
        <v>552</v>
      </c>
      <c r="B53" s="2" t="s">
        <v>540</v>
      </c>
      <c r="C53" s="2" t="s">
        <v>553</v>
      </c>
      <c r="D53" s="2" t="s">
        <v>554</v>
      </c>
      <c r="E53" s="2" t="s">
        <v>555</v>
      </c>
      <c r="F53" s="2" t="s">
        <v>556</v>
      </c>
      <c r="G53" s="2" t="s">
        <v>29</v>
      </c>
      <c r="H53" s="2" t="s">
        <v>557</v>
      </c>
      <c r="I53" s="2" t="s">
        <v>558</v>
      </c>
      <c r="J53" s="2" t="s">
        <v>437</v>
      </c>
      <c r="K53" s="2" t="s">
        <v>438</v>
      </c>
      <c r="L53" s="2" t="s">
        <v>559</v>
      </c>
      <c r="M53" s="2" t="s">
        <v>560</v>
      </c>
      <c r="N53" s="2" t="s">
        <v>66</v>
      </c>
      <c r="O53" s="2" t="s">
        <v>561</v>
      </c>
      <c r="P53" s="2" t="s">
        <v>562</v>
      </c>
      <c r="Q53" s="2" t="s">
        <v>346</v>
      </c>
      <c r="R53" s="11" t="s">
        <v>39</v>
      </c>
      <c r="U53" s="25" t="s">
        <v>551</v>
      </c>
    </row>
    <row r="54" spans="1:21" ht="161" customHeight="1">
      <c r="A54" s="2" t="s">
        <v>563</v>
      </c>
      <c r="B54" s="2" t="s">
        <v>540</v>
      </c>
      <c r="C54" s="2" t="s">
        <v>564</v>
      </c>
      <c r="D54" s="2" t="s">
        <v>565</v>
      </c>
      <c r="E54" s="2" t="s">
        <v>566</v>
      </c>
      <c r="F54" s="2" t="s">
        <v>567</v>
      </c>
      <c r="G54" s="2" t="s">
        <v>29</v>
      </c>
      <c r="H54" s="2" t="s">
        <v>568</v>
      </c>
      <c r="I54" s="2" t="s">
        <v>436</v>
      </c>
      <c r="J54" s="2" t="s">
        <v>450</v>
      </c>
      <c r="K54" s="2" t="s">
        <v>451</v>
      </c>
      <c r="L54" s="2" t="s">
        <v>569</v>
      </c>
      <c r="M54" s="2" t="s">
        <v>570</v>
      </c>
      <c r="N54" s="2" t="s">
        <v>66</v>
      </c>
      <c r="O54" s="2" t="s">
        <v>51</v>
      </c>
      <c r="P54" s="2" t="s">
        <v>52</v>
      </c>
      <c r="Q54" s="2" t="s">
        <v>376</v>
      </c>
      <c r="R54" s="11" t="s">
        <v>53</v>
      </c>
      <c r="S54" s="25" t="s">
        <v>571</v>
      </c>
      <c r="T54" s="25" t="s">
        <v>572</v>
      </c>
      <c r="U54" s="25" t="s">
        <v>573</v>
      </c>
    </row>
    <row r="55" spans="1:21" ht="90.75" hidden="1" customHeight="1">
      <c r="A55" s="2" t="s">
        <v>574</v>
      </c>
      <c r="B55" s="2" t="s">
        <v>540</v>
      </c>
      <c r="C55" s="2" t="s">
        <v>575</v>
      </c>
      <c r="D55" s="2" t="s">
        <v>576</v>
      </c>
      <c r="E55" s="2" t="s">
        <v>577</v>
      </c>
      <c r="F55" s="2" t="s">
        <v>567</v>
      </c>
      <c r="G55" s="2" t="s">
        <v>29</v>
      </c>
      <c r="H55" s="2" t="s">
        <v>568</v>
      </c>
      <c r="I55" s="2" t="s">
        <v>436</v>
      </c>
      <c r="J55" s="2" t="s">
        <v>450</v>
      </c>
      <c r="K55" s="2" t="s">
        <v>451</v>
      </c>
      <c r="L55" s="2" t="s">
        <v>569</v>
      </c>
      <c r="M55" s="2" t="s">
        <v>570</v>
      </c>
      <c r="N55" s="2" t="s">
        <v>66</v>
      </c>
      <c r="O55" s="2" t="s">
        <v>578</v>
      </c>
      <c r="P55" s="2" t="s">
        <v>579</v>
      </c>
      <c r="Q55" s="2" t="s">
        <v>346</v>
      </c>
      <c r="R55" s="11" t="s">
        <v>39</v>
      </c>
      <c r="U55" s="25" t="s">
        <v>551</v>
      </c>
    </row>
    <row r="56" spans="1:21" ht="104.5" hidden="1" customHeight="1">
      <c r="A56" s="2" t="s">
        <v>580</v>
      </c>
      <c r="B56" s="2" t="s">
        <v>540</v>
      </c>
      <c r="C56" s="2" t="s">
        <v>581</v>
      </c>
      <c r="D56" s="2" t="s">
        <v>582</v>
      </c>
      <c r="E56" s="2" t="s">
        <v>583</v>
      </c>
      <c r="F56" s="2" t="s">
        <v>567</v>
      </c>
      <c r="G56" s="2" t="s">
        <v>29</v>
      </c>
      <c r="H56" s="2" t="s">
        <v>568</v>
      </c>
      <c r="I56" s="2" t="s">
        <v>436</v>
      </c>
      <c r="J56" s="2" t="s">
        <v>450</v>
      </c>
      <c r="K56" s="2" t="s">
        <v>451</v>
      </c>
      <c r="L56" s="2" t="s">
        <v>569</v>
      </c>
      <c r="M56" s="2" t="s">
        <v>570</v>
      </c>
      <c r="N56" s="2" t="s">
        <v>66</v>
      </c>
      <c r="O56" s="2" t="s">
        <v>51</v>
      </c>
      <c r="P56" s="2" t="s">
        <v>52</v>
      </c>
      <c r="Q56" s="2" t="s">
        <v>584</v>
      </c>
      <c r="R56" s="11" t="s">
        <v>39</v>
      </c>
      <c r="S56" s="25" t="s">
        <v>585</v>
      </c>
      <c r="U56" s="25" t="s">
        <v>586</v>
      </c>
    </row>
    <row r="57" spans="1:21" ht="149" customHeight="1">
      <c r="A57" s="2" t="s">
        <v>587</v>
      </c>
      <c r="B57" s="2" t="s">
        <v>588</v>
      </c>
      <c r="C57" s="2" t="s">
        <v>589</v>
      </c>
      <c r="D57" s="2" t="s">
        <v>590</v>
      </c>
      <c r="E57" s="2" t="s">
        <v>591</v>
      </c>
      <c r="F57" s="2" t="s">
        <v>434</v>
      </c>
      <c r="G57" s="2" t="s">
        <v>240</v>
      </c>
      <c r="H57" s="2" t="s">
        <v>592</v>
      </c>
      <c r="I57" s="2" t="s">
        <v>436</v>
      </c>
      <c r="J57" s="2" t="s">
        <v>593</v>
      </c>
      <c r="K57" s="2" t="s">
        <v>546</v>
      </c>
      <c r="L57" s="2" t="s">
        <v>439</v>
      </c>
      <c r="M57" s="2" t="s">
        <v>594</v>
      </c>
      <c r="N57" s="2" t="s">
        <v>66</v>
      </c>
      <c r="O57" s="2" t="s">
        <v>595</v>
      </c>
      <c r="P57" s="2" t="s">
        <v>596</v>
      </c>
      <c r="Q57" s="2" t="s">
        <v>346</v>
      </c>
      <c r="R57" s="11" t="s">
        <v>53</v>
      </c>
      <c r="S57" s="25" t="s">
        <v>597</v>
      </c>
      <c r="T57" s="25" t="s">
        <v>598</v>
      </c>
      <c r="U57" s="25" t="s">
        <v>599</v>
      </c>
    </row>
    <row r="58" spans="1:21" ht="150" customHeight="1">
      <c r="A58" s="2" t="s">
        <v>600</v>
      </c>
      <c r="B58" s="2" t="s">
        <v>588</v>
      </c>
      <c r="C58" s="2" t="s">
        <v>601</v>
      </c>
      <c r="D58" s="2" t="s">
        <v>602</v>
      </c>
      <c r="E58" s="2" t="s">
        <v>603</v>
      </c>
      <c r="F58" s="2" t="s">
        <v>604</v>
      </c>
      <c r="G58" s="2" t="s">
        <v>29</v>
      </c>
      <c r="H58" s="2" t="s">
        <v>592</v>
      </c>
      <c r="I58" s="2" t="s">
        <v>436</v>
      </c>
      <c r="J58" s="2" t="s">
        <v>593</v>
      </c>
      <c r="K58" s="2" t="s">
        <v>546</v>
      </c>
      <c r="L58" s="2" t="s">
        <v>605</v>
      </c>
      <c r="M58" s="2" t="s">
        <v>606</v>
      </c>
      <c r="N58" s="2" t="s">
        <v>66</v>
      </c>
      <c r="O58" s="2" t="s">
        <v>607</v>
      </c>
      <c r="P58" s="2" t="s">
        <v>608</v>
      </c>
      <c r="Q58" s="2" t="s">
        <v>346</v>
      </c>
      <c r="R58" s="11" t="s">
        <v>53</v>
      </c>
      <c r="S58" s="25" t="s">
        <v>609</v>
      </c>
      <c r="T58" s="25" t="s">
        <v>598</v>
      </c>
      <c r="U58" s="25" t="s">
        <v>599</v>
      </c>
    </row>
    <row r="59" spans="1:21" ht="150" customHeight="1">
      <c r="A59" s="2" t="s">
        <v>610</v>
      </c>
      <c r="B59" s="2" t="s">
        <v>588</v>
      </c>
      <c r="C59" s="2" t="s">
        <v>611</v>
      </c>
      <c r="D59" s="2" t="s">
        <v>612</v>
      </c>
      <c r="E59" s="2" t="s">
        <v>613</v>
      </c>
      <c r="F59" s="2" t="s">
        <v>604</v>
      </c>
      <c r="G59" s="2" t="s">
        <v>29</v>
      </c>
      <c r="H59" s="2" t="s">
        <v>592</v>
      </c>
      <c r="I59" s="2" t="s">
        <v>436</v>
      </c>
      <c r="J59" s="2" t="s">
        <v>593</v>
      </c>
      <c r="K59" s="2" t="s">
        <v>546</v>
      </c>
      <c r="L59" s="2" t="s">
        <v>605</v>
      </c>
      <c r="M59" s="2" t="s">
        <v>606</v>
      </c>
      <c r="N59" s="2" t="s">
        <v>66</v>
      </c>
      <c r="O59" s="2" t="s">
        <v>614</v>
      </c>
      <c r="P59" s="2" t="s">
        <v>615</v>
      </c>
      <c r="Q59" s="2" t="s">
        <v>346</v>
      </c>
      <c r="R59" s="11" t="s">
        <v>53</v>
      </c>
      <c r="S59" s="25" t="s">
        <v>616</v>
      </c>
      <c r="T59" s="25" t="s">
        <v>598</v>
      </c>
      <c r="U59" s="25" t="s">
        <v>599</v>
      </c>
    </row>
    <row r="60" spans="1:21" ht="120" hidden="1" customHeight="1">
      <c r="A60" s="2" t="s">
        <v>617</v>
      </c>
      <c r="B60" s="2" t="s">
        <v>588</v>
      </c>
      <c r="C60" s="2" t="s">
        <v>618</v>
      </c>
      <c r="D60" s="2" t="s">
        <v>619</v>
      </c>
      <c r="E60" s="2" t="s">
        <v>620</v>
      </c>
      <c r="F60" s="2" t="s">
        <v>621</v>
      </c>
      <c r="G60" s="2" t="s">
        <v>29</v>
      </c>
      <c r="H60" s="2" t="s">
        <v>622</v>
      </c>
      <c r="I60" s="2" t="s">
        <v>436</v>
      </c>
      <c r="J60" s="2" t="s">
        <v>437</v>
      </c>
      <c r="K60" s="2" t="s">
        <v>438</v>
      </c>
      <c r="L60" s="2" t="s">
        <v>569</v>
      </c>
      <c r="M60" s="2" t="s">
        <v>623</v>
      </c>
      <c r="N60" s="2" t="s">
        <v>66</v>
      </c>
      <c r="O60" s="2" t="s">
        <v>51</v>
      </c>
      <c r="P60" s="2" t="s">
        <v>52</v>
      </c>
      <c r="Q60" s="2" t="s">
        <v>376</v>
      </c>
      <c r="R60" s="11" t="s">
        <v>39</v>
      </c>
      <c r="S60" s="25" t="s">
        <v>624</v>
      </c>
      <c r="U60" s="25" t="s">
        <v>625</v>
      </c>
    </row>
    <row r="61" spans="1:21" ht="97.25" hidden="1" customHeight="1">
      <c r="A61" s="2" t="s">
        <v>626</v>
      </c>
      <c r="B61" s="2" t="s">
        <v>588</v>
      </c>
      <c r="C61" s="2" t="s">
        <v>627</v>
      </c>
      <c r="D61" s="2" t="s">
        <v>628</v>
      </c>
      <c r="E61" s="2" t="s">
        <v>629</v>
      </c>
      <c r="F61" s="2" t="s">
        <v>630</v>
      </c>
      <c r="G61" s="2" t="s">
        <v>29</v>
      </c>
      <c r="H61" s="2" t="s">
        <v>631</v>
      </c>
      <c r="I61" s="2" t="s">
        <v>436</v>
      </c>
      <c r="J61" s="2" t="s">
        <v>593</v>
      </c>
      <c r="K61" s="2" t="s">
        <v>546</v>
      </c>
      <c r="L61" s="2" t="s">
        <v>605</v>
      </c>
      <c r="M61" s="2" t="s">
        <v>632</v>
      </c>
      <c r="N61" s="2" t="s">
        <v>66</v>
      </c>
      <c r="O61" s="2" t="s">
        <v>51</v>
      </c>
      <c r="P61" s="2" t="s">
        <v>52</v>
      </c>
      <c r="Q61" s="2" t="s">
        <v>633</v>
      </c>
      <c r="R61" s="11" t="s">
        <v>39</v>
      </c>
      <c r="S61" s="25" t="s">
        <v>634</v>
      </c>
      <c r="U61" s="25" t="s">
        <v>635</v>
      </c>
    </row>
    <row r="62" spans="1:21" ht="90.75" hidden="1" customHeight="1">
      <c r="A62" s="2" t="s">
        <v>636</v>
      </c>
      <c r="B62" s="2" t="s">
        <v>637</v>
      </c>
      <c r="C62" s="2" t="s">
        <v>638</v>
      </c>
      <c r="D62" s="2" t="s">
        <v>639</v>
      </c>
      <c r="E62" s="2" t="s">
        <v>640</v>
      </c>
      <c r="F62" s="2" t="s">
        <v>641</v>
      </c>
      <c r="G62" s="2" t="s">
        <v>642</v>
      </c>
      <c r="H62" s="2" t="s">
        <v>643</v>
      </c>
      <c r="I62" s="2" t="s">
        <v>436</v>
      </c>
      <c r="J62" s="2" t="s">
        <v>644</v>
      </c>
      <c r="K62" s="2" t="s">
        <v>502</v>
      </c>
      <c r="L62" s="2" t="s">
        <v>645</v>
      </c>
      <c r="M62" s="2" t="s">
        <v>646</v>
      </c>
      <c r="N62" s="2" t="s">
        <v>66</v>
      </c>
      <c r="O62" s="2" t="s">
        <v>51</v>
      </c>
      <c r="P62" s="2" t="s">
        <v>52</v>
      </c>
      <c r="Q62" s="2" t="s">
        <v>647</v>
      </c>
      <c r="R62" s="11" t="s">
        <v>39</v>
      </c>
      <c r="S62" s="25" t="s">
        <v>648</v>
      </c>
      <c r="U62" s="25" t="s">
        <v>649</v>
      </c>
    </row>
    <row r="63" spans="1:21" ht="90.75" hidden="1" customHeight="1">
      <c r="A63" s="2" t="s">
        <v>650</v>
      </c>
      <c r="B63" s="2" t="s">
        <v>637</v>
      </c>
      <c r="C63" s="2" t="s">
        <v>651</v>
      </c>
      <c r="D63" s="2" t="s">
        <v>652</v>
      </c>
      <c r="E63" s="2" t="s">
        <v>653</v>
      </c>
      <c r="F63" s="2" t="s">
        <v>641</v>
      </c>
      <c r="G63" s="2" t="s">
        <v>642</v>
      </c>
      <c r="H63" s="2" t="s">
        <v>643</v>
      </c>
      <c r="I63" s="2" t="s">
        <v>436</v>
      </c>
      <c r="J63" s="2" t="s">
        <v>644</v>
      </c>
      <c r="K63" s="2" t="s">
        <v>502</v>
      </c>
      <c r="L63" s="2" t="s">
        <v>645</v>
      </c>
      <c r="M63" s="2" t="s">
        <v>646</v>
      </c>
      <c r="N63" s="2" t="s">
        <v>66</v>
      </c>
      <c r="O63" s="2" t="s">
        <v>51</v>
      </c>
      <c r="P63" s="2" t="s">
        <v>52</v>
      </c>
      <c r="Q63" s="2" t="s">
        <v>654</v>
      </c>
      <c r="R63" s="11" t="s">
        <v>39</v>
      </c>
      <c r="S63" s="25" t="s">
        <v>655</v>
      </c>
      <c r="U63" s="25" t="s">
        <v>656</v>
      </c>
    </row>
    <row r="64" spans="1:21" ht="90.75" hidden="1" customHeight="1">
      <c r="A64" s="2" t="s">
        <v>657</v>
      </c>
      <c r="B64" s="2" t="s">
        <v>637</v>
      </c>
      <c r="C64" s="2" t="s">
        <v>658</v>
      </c>
      <c r="D64" s="2" t="s">
        <v>659</v>
      </c>
      <c r="E64" s="2" t="s">
        <v>660</v>
      </c>
      <c r="F64" s="2" t="s">
        <v>661</v>
      </c>
      <c r="G64" s="2" t="s">
        <v>662</v>
      </c>
      <c r="H64" s="2" t="s">
        <v>663</v>
      </c>
      <c r="I64" s="2" t="s">
        <v>514</v>
      </c>
      <c r="J64" s="2" t="s">
        <v>664</v>
      </c>
      <c r="K64" s="2" t="s">
        <v>451</v>
      </c>
      <c r="L64" s="2" t="s">
        <v>665</v>
      </c>
      <c r="M64" s="2" t="s">
        <v>666</v>
      </c>
      <c r="N64" s="2" t="s">
        <v>66</v>
      </c>
      <c r="O64" s="2" t="s">
        <v>518</v>
      </c>
      <c r="P64" s="2" t="s">
        <v>519</v>
      </c>
      <c r="Q64" s="2" t="s">
        <v>667</v>
      </c>
      <c r="R64" s="11" t="s">
        <v>39</v>
      </c>
      <c r="S64" s="25" t="s">
        <v>668</v>
      </c>
      <c r="T64" s="25" t="s">
        <v>521</v>
      </c>
      <c r="U64" s="25" t="s">
        <v>656</v>
      </c>
    </row>
  </sheetData>
  <autoFilter ref="A4:U64" xr:uid="{00000000-0001-0000-0000-000000000000}">
    <filterColumn colId="17">
      <filters>
        <filter val="Ajustar"/>
      </filters>
    </filterColumn>
  </autoFilter>
  <mergeCells count="2">
    <mergeCell ref="A1:U1"/>
    <mergeCell ref="A2:U2"/>
  </mergeCells>
  <conditionalFormatting sqref="M5:M64">
    <cfRule type="expression" dxfId="15" priority="5">
      <formula>M5="Passed"</formula>
    </cfRule>
    <cfRule type="expression" dxfId="14" priority="6">
      <formula>M5="Failed"</formula>
    </cfRule>
  </conditionalFormatting>
  <conditionalFormatting sqref="Q5:Q64">
    <cfRule type="expression" dxfId="13" priority="1">
      <formula>Q5="Aprobado"</formula>
    </cfRule>
    <cfRule type="expression" dxfId="12" priority="2">
      <formula>Q5="Ajustar"</formula>
    </cfRule>
    <cfRule type="expression" dxfId="11" priority="3">
      <formula>Q5="Fuera de alcance"</formula>
    </cfRule>
    <cfRule type="expression" dxfId="10" priority="4">
      <formula>Q5="Requiere análisis"</formula>
    </cfRule>
  </conditionalFormatting>
  <conditionalFormatting sqref="R5:R64">
    <cfRule type="expression" dxfId="9" priority="7">
      <formula>R5="Aprobado"</formula>
    </cfRule>
    <cfRule type="expression" dxfId="8" priority="8">
      <formula>R5="Pendiente"</formula>
    </cfRule>
    <cfRule type="expression" dxfId="7" priority="9">
      <formula>R5="Ajustar"</formula>
    </cfRule>
    <cfRule type="expression" dxfId="6" priority="10">
      <formula>R5="Fuera de alcance"</formula>
    </cfRule>
    <cfRule type="expression" dxfId="5" priority="11">
      <formula>R5="Requiere análisis"</formula>
    </cfRule>
  </conditionalFormatting>
  <conditionalFormatting sqref="T5:T64">
    <cfRule type="expression" dxfId="4" priority="12">
      <formula>T5&lt;&gt;""</formula>
    </cfRule>
  </conditionalFormatting>
  <dataValidations count="2">
    <dataValidation type="list" sqref="M5:M64" xr:uid="{00000000-0002-0000-0000-000000000000}">
      <formula1>"Pendiente,Passed,Failed,Passed parcial,No aplica"</formula1>
    </dataValidation>
    <dataValidation type="list" sqref="R5:R64" xr:uid="{00000000-0002-0000-0000-000001000000}">
      <formula1>"Pendiente,Aprobado,Ajustar,Fuera de alcance,Requiere análisis"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7"/>
  <sheetViews>
    <sheetView workbookViewId="0">
      <selection activeCell="D7" sqref="D7"/>
    </sheetView>
  </sheetViews>
  <sheetFormatPr baseColWidth="10" defaultColWidth="8.83203125" defaultRowHeight="14"/>
  <cols>
    <col min="1" max="1" width="14" customWidth="1"/>
    <col min="2" max="2" width="28" customWidth="1"/>
    <col min="3" max="3" width="55" customWidth="1"/>
    <col min="4" max="4" width="65" customWidth="1"/>
  </cols>
  <sheetData>
    <row r="1" spans="1:4" ht="19" customHeight="1">
      <c r="A1" s="43" t="s">
        <v>669</v>
      </c>
      <c r="B1" s="41"/>
      <c r="C1" s="41"/>
      <c r="D1" s="41"/>
    </row>
    <row r="3" spans="1:4" ht="16" customHeight="1">
      <c r="A3" s="4" t="s">
        <v>670</v>
      </c>
      <c r="B3" s="4" t="s">
        <v>671</v>
      </c>
      <c r="C3" s="4" t="s">
        <v>672</v>
      </c>
      <c r="D3" s="4" t="s">
        <v>673</v>
      </c>
    </row>
    <row r="4" spans="1:4" ht="120" customHeight="1">
      <c r="A4" s="5" t="s">
        <v>28</v>
      </c>
      <c r="B4" s="5" t="s">
        <v>674</v>
      </c>
      <c r="C4" s="5" t="s">
        <v>675</v>
      </c>
      <c r="D4" s="5" t="s">
        <v>676</v>
      </c>
    </row>
    <row r="5" spans="1:4" ht="120" customHeight="1">
      <c r="A5" s="5" t="s">
        <v>677</v>
      </c>
      <c r="B5" s="5" t="s">
        <v>678</v>
      </c>
      <c r="C5" s="5" t="s">
        <v>679</v>
      </c>
      <c r="D5" s="5" t="s">
        <v>680</v>
      </c>
    </row>
    <row r="6" spans="1:4" ht="120" customHeight="1">
      <c r="A6" s="5" t="s">
        <v>45</v>
      </c>
      <c r="B6" s="5" t="s">
        <v>681</v>
      </c>
      <c r="C6" s="5" t="s">
        <v>682</v>
      </c>
      <c r="D6" s="5" t="s">
        <v>683</v>
      </c>
    </row>
    <row r="7" spans="1:4" ht="120" customHeight="1">
      <c r="A7" s="5" t="s">
        <v>124</v>
      </c>
      <c r="B7" s="5" t="s">
        <v>684</v>
      </c>
      <c r="C7" s="5" t="s">
        <v>685</v>
      </c>
      <c r="D7" s="5" t="s">
        <v>686</v>
      </c>
    </row>
    <row r="8" spans="1:4" ht="120" customHeight="1">
      <c r="A8" s="5" t="s">
        <v>137</v>
      </c>
      <c r="B8" s="5" t="s">
        <v>687</v>
      </c>
      <c r="C8" s="5" t="s">
        <v>688</v>
      </c>
      <c r="D8" s="5" t="s">
        <v>689</v>
      </c>
    </row>
    <row r="9" spans="1:4" ht="120" customHeight="1">
      <c r="A9" s="5" t="s">
        <v>157</v>
      </c>
      <c r="B9" s="5" t="s">
        <v>690</v>
      </c>
      <c r="C9" s="5" t="s">
        <v>691</v>
      </c>
      <c r="D9" s="5" t="s">
        <v>692</v>
      </c>
    </row>
    <row r="10" spans="1:4" ht="120" customHeight="1">
      <c r="A10" s="5" t="s">
        <v>173</v>
      </c>
      <c r="B10" s="5" t="s">
        <v>693</v>
      </c>
      <c r="C10" s="5" t="s">
        <v>694</v>
      </c>
      <c r="D10" s="5" t="s">
        <v>695</v>
      </c>
    </row>
    <row r="11" spans="1:4" ht="120" customHeight="1">
      <c r="A11" s="5" t="s">
        <v>301</v>
      </c>
      <c r="B11" s="5" t="s">
        <v>696</v>
      </c>
      <c r="C11" s="5" t="s">
        <v>697</v>
      </c>
      <c r="D11" s="5" t="s">
        <v>698</v>
      </c>
    </row>
    <row r="12" spans="1:4" ht="120" customHeight="1">
      <c r="A12" s="5" t="s">
        <v>311</v>
      </c>
      <c r="B12" s="5" t="s">
        <v>699</v>
      </c>
      <c r="C12" s="5" t="s">
        <v>700</v>
      </c>
      <c r="D12" s="5" t="s">
        <v>701</v>
      </c>
    </row>
    <row r="13" spans="1:4" ht="120" customHeight="1">
      <c r="A13" s="5" t="s">
        <v>227</v>
      </c>
      <c r="B13" s="5" t="s">
        <v>702</v>
      </c>
      <c r="C13" s="5" t="s">
        <v>703</v>
      </c>
      <c r="D13" s="5" t="s">
        <v>704</v>
      </c>
    </row>
    <row r="14" spans="1:4" ht="120" customHeight="1">
      <c r="A14" s="5" t="s">
        <v>263</v>
      </c>
      <c r="B14" s="5" t="s">
        <v>705</v>
      </c>
      <c r="C14" s="5" t="s">
        <v>706</v>
      </c>
      <c r="D14" s="5" t="s">
        <v>707</v>
      </c>
    </row>
    <row r="15" spans="1:4" ht="120" customHeight="1">
      <c r="A15" s="5" t="s">
        <v>279</v>
      </c>
      <c r="B15" s="5" t="s">
        <v>708</v>
      </c>
      <c r="C15" s="5" t="s">
        <v>709</v>
      </c>
      <c r="D15" s="5" t="s">
        <v>710</v>
      </c>
    </row>
    <row r="16" spans="1:4" ht="120" customHeight="1">
      <c r="A16" s="5" t="s">
        <v>76</v>
      </c>
      <c r="B16" s="5" t="s">
        <v>711</v>
      </c>
      <c r="C16" s="5" t="s">
        <v>712</v>
      </c>
      <c r="D16" s="5" t="s">
        <v>713</v>
      </c>
    </row>
    <row r="17" spans="1:4" ht="120" customHeight="1">
      <c r="A17" s="5" t="s">
        <v>89</v>
      </c>
      <c r="B17" s="5" t="s">
        <v>714</v>
      </c>
      <c r="C17" s="5" t="s">
        <v>715</v>
      </c>
      <c r="D17" s="5" t="s">
        <v>716</v>
      </c>
    </row>
    <row r="18" spans="1:4" ht="120" customHeight="1">
      <c r="A18" s="5" t="s">
        <v>113</v>
      </c>
      <c r="B18" s="5" t="s">
        <v>717</v>
      </c>
      <c r="C18" s="5" t="s">
        <v>718</v>
      </c>
      <c r="D18" s="5" t="s">
        <v>719</v>
      </c>
    </row>
    <row r="19" spans="1:4" ht="120" customHeight="1">
      <c r="A19" s="5" t="s">
        <v>720</v>
      </c>
      <c r="B19" s="5" t="s">
        <v>721</v>
      </c>
      <c r="C19" s="5" t="s">
        <v>722</v>
      </c>
      <c r="D19" s="5" t="s">
        <v>723</v>
      </c>
    </row>
    <row r="20" spans="1:4" ht="120" customHeight="1">
      <c r="A20" s="5" t="s">
        <v>724</v>
      </c>
      <c r="B20" s="5" t="s">
        <v>725</v>
      </c>
      <c r="C20" s="5" t="s">
        <v>726</v>
      </c>
      <c r="D20" s="5" t="s">
        <v>727</v>
      </c>
    </row>
    <row r="21" spans="1:4" ht="120" customHeight="1">
      <c r="A21" s="5" t="s">
        <v>337</v>
      </c>
      <c r="B21" s="5" t="s">
        <v>728</v>
      </c>
      <c r="C21" s="5" t="s">
        <v>729</v>
      </c>
      <c r="D21" s="5" t="s">
        <v>730</v>
      </c>
    </row>
    <row r="22" spans="1:4" ht="120" customHeight="1">
      <c r="A22" s="5" t="s">
        <v>353</v>
      </c>
      <c r="B22" s="5" t="s">
        <v>731</v>
      </c>
      <c r="C22" s="5" t="s">
        <v>732</v>
      </c>
      <c r="D22" s="5" t="s">
        <v>733</v>
      </c>
    </row>
    <row r="23" spans="1:4" ht="120" customHeight="1">
      <c r="A23" s="5" t="s">
        <v>411</v>
      </c>
      <c r="B23" s="5" t="s">
        <v>734</v>
      </c>
      <c r="C23" s="5" t="s">
        <v>735</v>
      </c>
      <c r="D23" s="5" t="s">
        <v>736</v>
      </c>
    </row>
    <row r="24" spans="1:4" ht="120" customHeight="1">
      <c r="A24" s="5" t="s">
        <v>499</v>
      </c>
      <c r="B24" s="5" t="s">
        <v>737</v>
      </c>
      <c r="C24" s="5" t="s">
        <v>738</v>
      </c>
      <c r="D24" s="5" t="s">
        <v>739</v>
      </c>
    </row>
    <row r="25" spans="1:4" ht="120" customHeight="1">
      <c r="A25" s="5" t="s">
        <v>448</v>
      </c>
      <c r="B25" s="5" t="s">
        <v>740</v>
      </c>
      <c r="C25" s="5" t="s">
        <v>741</v>
      </c>
      <c r="D25" s="5" t="s">
        <v>742</v>
      </c>
    </row>
    <row r="26" spans="1:4" ht="120" customHeight="1">
      <c r="A26" s="5" t="s">
        <v>743</v>
      </c>
      <c r="B26" s="5" t="s">
        <v>744</v>
      </c>
      <c r="C26" s="5" t="s">
        <v>745</v>
      </c>
      <c r="D26" s="5" t="s">
        <v>746</v>
      </c>
    </row>
    <row r="27" spans="1:4" ht="120" customHeight="1">
      <c r="A27" s="5" t="s">
        <v>747</v>
      </c>
      <c r="B27" s="5" t="s">
        <v>748</v>
      </c>
      <c r="C27" s="5" t="s">
        <v>749</v>
      </c>
      <c r="D27" s="5" t="s">
        <v>750</v>
      </c>
    </row>
    <row r="28" spans="1:4" ht="120" customHeight="1">
      <c r="A28" s="5" t="s">
        <v>434</v>
      </c>
      <c r="B28" s="5" t="s">
        <v>751</v>
      </c>
      <c r="C28" s="5" t="s">
        <v>752</v>
      </c>
      <c r="D28" s="5" t="s">
        <v>753</v>
      </c>
    </row>
    <row r="29" spans="1:4" ht="120" customHeight="1">
      <c r="A29" s="5" t="s">
        <v>556</v>
      </c>
      <c r="B29" s="5" t="s">
        <v>754</v>
      </c>
      <c r="C29" s="5" t="s">
        <v>755</v>
      </c>
      <c r="D29" s="5" t="s">
        <v>756</v>
      </c>
    </row>
    <row r="30" spans="1:4" ht="120" customHeight="1">
      <c r="A30" s="5" t="s">
        <v>621</v>
      </c>
      <c r="B30" s="5" t="s">
        <v>757</v>
      </c>
      <c r="C30" s="5" t="s">
        <v>758</v>
      </c>
      <c r="D30" s="5" t="s">
        <v>759</v>
      </c>
    </row>
    <row r="31" spans="1:4" ht="120" customHeight="1">
      <c r="A31" s="5" t="s">
        <v>630</v>
      </c>
      <c r="B31" s="5" t="s">
        <v>760</v>
      </c>
      <c r="C31" s="5" t="s">
        <v>761</v>
      </c>
      <c r="D31" s="5" t="s">
        <v>762</v>
      </c>
    </row>
    <row r="32" spans="1:4" ht="120" customHeight="1">
      <c r="A32" s="5" t="s">
        <v>641</v>
      </c>
      <c r="B32" s="5" t="s">
        <v>763</v>
      </c>
      <c r="C32" s="5" t="s">
        <v>764</v>
      </c>
      <c r="D32" s="5" t="s">
        <v>765</v>
      </c>
    </row>
    <row r="33" spans="1:4" ht="120" customHeight="1">
      <c r="A33" s="5" t="s">
        <v>59</v>
      </c>
      <c r="B33" s="5" t="s">
        <v>766</v>
      </c>
      <c r="C33" s="5" t="s">
        <v>767</v>
      </c>
      <c r="D33" s="5" t="s">
        <v>768</v>
      </c>
    </row>
    <row r="34" spans="1:4" ht="120" customHeight="1">
      <c r="A34" s="5" t="s">
        <v>212</v>
      </c>
      <c r="B34" s="5" t="s">
        <v>769</v>
      </c>
      <c r="C34" s="5" t="s">
        <v>770</v>
      </c>
      <c r="D34" s="5" t="s">
        <v>771</v>
      </c>
    </row>
    <row r="35" spans="1:4" ht="120" customHeight="1">
      <c r="A35" s="5" t="s">
        <v>248</v>
      </c>
      <c r="B35" s="5" t="s">
        <v>772</v>
      </c>
      <c r="C35" s="5" t="s">
        <v>773</v>
      </c>
      <c r="D35" s="5" t="s">
        <v>774</v>
      </c>
    </row>
    <row r="36" spans="1:4" ht="120" customHeight="1">
      <c r="A36" s="5" t="s">
        <v>323</v>
      </c>
      <c r="B36" s="5" t="s">
        <v>775</v>
      </c>
      <c r="C36" s="5" t="s">
        <v>776</v>
      </c>
      <c r="D36" s="5" t="s">
        <v>777</v>
      </c>
    </row>
    <row r="37" spans="1:4" ht="120" customHeight="1">
      <c r="A37" s="5" t="s">
        <v>460</v>
      </c>
      <c r="B37" s="5" t="s">
        <v>778</v>
      </c>
      <c r="C37" s="5" t="s">
        <v>779</v>
      </c>
      <c r="D37" s="5" t="s">
        <v>780</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3"/>
  <sheetViews>
    <sheetView workbookViewId="0">
      <selection activeCell="A7" sqref="A7"/>
    </sheetView>
  </sheetViews>
  <sheetFormatPr baseColWidth="10" defaultColWidth="8.83203125" defaultRowHeight="14"/>
  <cols>
    <col min="1" max="1" width="18" customWidth="1"/>
    <col min="2" max="2" width="26" customWidth="1"/>
    <col min="3" max="3" width="70" customWidth="1"/>
    <col min="4" max="4" width="30" customWidth="1"/>
    <col min="5" max="5" width="22" customWidth="1"/>
    <col min="6" max="6" width="48" customWidth="1"/>
  </cols>
  <sheetData>
    <row r="1" spans="1:6" ht="19" customHeight="1">
      <c r="A1" s="43" t="s">
        <v>781</v>
      </c>
      <c r="B1" s="41"/>
      <c r="C1" s="41"/>
      <c r="D1" s="41"/>
      <c r="E1" s="41"/>
      <c r="F1" s="41"/>
    </row>
    <row r="3" spans="1:6" ht="16" customHeight="1">
      <c r="A3" s="4" t="s">
        <v>670</v>
      </c>
      <c r="B3" s="4" t="s">
        <v>782</v>
      </c>
      <c r="C3" s="4" t="s">
        <v>783</v>
      </c>
      <c r="D3" s="4" t="s">
        <v>784</v>
      </c>
      <c r="E3" s="4" t="s">
        <v>11</v>
      </c>
      <c r="F3" s="8" t="s">
        <v>12</v>
      </c>
    </row>
    <row r="4" spans="1:6" ht="86.75" customHeight="1">
      <c r="A4" s="5" t="s">
        <v>785</v>
      </c>
      <c r="B4" s="5" t="s">
        <v>786</v>
      </c>
      <c r="C4" s="5" t="s">
        <v>787</v>
      </c>
      <c r="D4" s="5" t="s">
        <v>14</v>
      </c>
      <c r="E4" s="5" t="s">
        <v>788</v>
      </c>
      <c r="F4" s="8" t="s">
        <v>32</v>
      </c>
    </row>
    <row r="5" spans="1:6" ht="86.75" customHeight="1">
      <c r="A5" s="5" t="s">
        <v>789</v>
      </c>
      <c r="B5" s="5" t="s">
        <v>786</v>
      </c>
      <c r="C5" s="5" t="s">
        <v>790</v>
      </c>
      <c r="D5" s="5" t="s">
        <v>14</v>
      </c>
      <c r="E5" s="5" t="s">
        <v>791</v>
      </c>
      <c r="F5" s="8" t="s">
        <v>792</v>
      </c>
    </row>
    <row r="6" spans="1:6" ht="86.75" customHeight="1">
      <c r="A6" s="5" t="s">
        <v>793</v>
      </c>
      <c r="B6" s="5" t="s">
        <v>786</v>
      </c>
      <c r="C6" s="5" t="s">
        <v>794</v>
      </c>
      <c r="D6" s="5" t="s">
        <v>14</v>
      </c>
      <c r="E6" s="5" t="s">
        <v>126</v>
      </c>
      <c r="F6" s="8" t="s">
        <v>127</v>
      </c>
    </row>
    <row r="7" spans="1:6" ht="86.75" customHeight="1">
      <c r="A7" s="5" t="s">
        <v>46</v>
      </c>
      <c r="B7" s="5" t="s">
        <v>786</v>
      </c>
      <c r="C7" s="5" t="s">
        <v>795</v>
      </c>
      <c r="D7" s="5" t="s">
        <v>14</v>
      </c>
      <c r="E7" s="5" t="s">
        <v>47</v>
      </c>
      <c r="F7" s="8" t="s">
        <v>48</v>
      </c>
    </row>
    <row r="8" spans="1:6" ht="86.75" customHeight="1">
      <c r="A8" s="5" t="s">
        <v>125</v>
      </c>
      <c r="B8" s="5" t="s">
        <v>796</v>
      </c>
      <c r="C8" s="5" t="s">
        <v>797</v>
      </c>
      <c r="D8" s="5" t="s">
        <v>14</v>
      </c>
      <c r="E8" s="5" t="s">
        <v>126</v>
      </c>
      <c r="F8" s="8" t="s">
        <v>127</v>
      </c>
    </row>
    <row r="9" spans="1:6" ht="86.75" customHeight="1">
      <c r="A9" s="5" t="s">
        <v>798</v>
      </c>
      <c r="B9" s="5" t="s">
        <v>120</v>
      </c>
      <c r="C9" s="5" t="s">
        <v>799</v>
      </c>
      <c r="D9" s="5" t="s">
        <v>14</v>
      </c>
      <c r="E9" s="5" t="s">
        <v>800</v>
      </c>
      <c r="F9" s="8" t="s">
        <v>801</v>
      </c>
    </row>
    <row r="10" spans="1:6" ht="86.75" customHeight="1">
      <c r="A10" s="5" t="s">
        <v>802</v>
      </c>
      <c r="B10" s="5" t="s">
        <v>120</v>
      </c>
      <c r="C10" s="5" t="s">
        <v>803</v>
      </c>
      <c r="D10" s="5" t="s">
        <v>804</v>
      </c>
      <c r="E10" s="5" t="s">
        <v>800</v>
      </c>
      <c r="F10" s="8" t="s">
        <v>801</v>
      </c>
    </row>
    <row r="11" spans="1:6" ht="86.75" customHeight="1">
      <c r="A11" s="5" t="s">
        <v>805</v>
      </c>
      <c r="B11" s="5" t="s">
        <v>120</v>
      </c>
      <c r="C11" s="5" t="s">
        <v>806</v>
      </c>
      <c r="D11" s="5" t="s">
        <v>804</v>
      </c>
      <c r="E11" s="5" t="s">
        <v>800</v>
      </c>
      <c r="F11" s="8" t="s">
        <v>801</v>
      </c>
    </row>
    <row r="12" spans="1:6" ht="86.75" customHeight="1">
      <c r="A12" s="5" t="s">
        <v>807</v>
      </c>
      <c r="B12" s="5" t="s">
        <v>120</v>
      </c>
      <c r="C12" s="5" t="s">
        <v>808</v>
      </c>
      <c r="D12" s="5" t="s">
        <v>809</v>
      </c>
      <c r="E12" s="5" t="s">
        <v>800</v>
      </c>
      <c r="F12" s="8" t="s">
        <v>801</v>
      </c>
    </row>
    <row r="13" spans="1:6" ht="86.75" customHeight="1">
      <c r="A13" s="5" t="s">
        <v>810</v>
      </c>
      <c r="B13" s="5" t="s">
        <v>120</v>
      </c>
      <c r="C13" s="5" t="s">
        <v>811</v>
      </c>
      <c r="D13" s="5" t="s">
        <v>14</v>
      </c>
      <c r="E13" s="5" t="s">
        <v>812</v>
      </c>
      <c r="F13" s="8" t="s">
        <v>141</v>
      </c>
    </row>
    <row r="14" spans="1:6" ht="86.75" customHeight="1">
      <c r="A14" s="5" t="s">
        <v>813</v>
      </c>
      <c r="B14" s="5" t="s">
        <v>120</v>
      </c>
      <c r="C14" s="5" t="s">
        <v>814</v>
      </c>
      <c r="D14" s="5" t="s">
        <v>14</v>
      </c>
      <c r="E14" s="5" t="s">
        <v>815</v>
      </c>
      <c r="F14" s="8" t="s">
        <v>816</v>
      </c>
    </row>
    <row r="15" spans="1:6" ht="86.75" customHeight="1">
      <c r="A15" s="5" t="s">
        <v>817</v>
      </c>
      <c r="B15" s="5" t="s">
        <v>818</v>
      </c>
      <c r="C15" s="5" t="s">
        <v>819</v>
      </c>
      <c r="D15" s="5" t="s">
        <v>14</v>
      </c>
      <c r="E15" s="5" t="s">
        <v>800</v>
      </c>
      <c r="F15" s="8" t="s">
        <v>801</v>
      </c>
    </row>
    <row r="16" spans="1:6" ht="86.75" customHeight="1">
      <c r="A16" s="5" t="s">
        <v>820</v>
      </c>
      <c r="B16" s="5" t="s">
        <v>818</v>
      </c>
      <c r="C16" s="5" t="s">
        <v>821</v>
      </c>
      <c r="D16" s="5" t="s">
        <v>14</v>
      </c>
      <c r="E16" s="5" t="s">
        <v>203</v>
      </c>
      <c r="F16" s="8" t="s">
        <v>204</v>
      </c>
    </row>
    <row r="17" spans="1:6" ht="86.75" customHeight="1">
      <c r="A17" s="5" t="s">
        <v>202</v>
      </c>
      <c r="B17" s="5" t="s">
        <v>818</v>
      </c>
      <c r="C17" s="5" t="s">
        <v>822</v>
      </c>
      <c r="D17" s="5" t="s">
        <v>14</v>
      </c>
      <c r="E17" s="5" t="s">
        <v>203</v>
      </c>
      <c r="F17" s="8" t="s">
        <v>204</v>
      </c>
    </row>
    <row r="18" spans="1:6" ht="86.75" customHeight="1">
      <c r="A18" s="5" t="s">
        <v>192</v>
      </c>
      <c r="B18" s="5" t="s">
        <v>818</v>
      </c>
      <c r="C18" s="5" t="s">
        <v>823</v>
      </c>
      <c r="D18" s="5" t="s">
        <v>14</v>
      </c>
      <c r="E18" s="5" t="s">
        <v>193</v>
      </c>
      <c r="F18" s="8" t="s">
        <v>194</v>
      </c>
    </row>
    <row r="19" spans="1:6" ht="86.75" customHeight="1">
      <c r="A19" s="5" t="s">
        <v>312</v>
      </c>
      <c r="B19" s="5" t="s">
        <v>297</v>
      </c>
      <c r="C19" s="5" t="s">
        <v>824</v>
      </c>
      <c r="D19" s="5" t="s">
        <v>14</v>
      </c>
      <c r="E19" s="5" t="s">
        <v>203</v>
      </c>
      <c r="F19" s="8" t="s">
        <v>204</v>
      </c>
    </row>
    <row r="20" spans="1:6" ht="86.75" customHeight="1">
      <c r="A20" s="5" t="s">
        <v>825</v>
      </c>
      <c r="B20" s="5" t="s">
        <v>297</v>
      </c>
      <c r="C20" s="5" t="s">
        <v>826</v>
      </c>
      <c r="D20" s="5" t="s">
        <v>14</v>
      </c>
      <c r="E20" s="5" t="s">
        <v>203</v>
      </c>
      <c r="F20" s="8" t="s">
        <v>204</v>
      </c>
    </row>
    <row r="21" spans="1:6" ht="86.75" customHeight="1">
      <c r="A21" s="5" t="s">
        <v>827</v>
      </c>
      <c r="B21" s="5" t="s">
        <v>297</v>
      </c>
      <c r="C21" s="5" t="s">
        <v>828</v>
      </c>
      <c r="D21" s="5" t="s">
        <v>14</v>
      </c>
      <c r="E21" s="5" t="s">
        <v>203</v>
      </c>
      <c r="F21" s="8" t="s">
        <v>204</v>
      </c>
    </row>
    <row r="22" spans="1:6" ht="86.75" customHeight="1">
      <c r="A22" s="5" t="s">
        <v>228</v>
      </c>
      <c r="B22" s="5" t="s">
        <v>829</v>
      </c>
      <c r="C22" s="5" t="s">
        <v>830</v>
      </c>
      <c r="D22" s="5" t="s">
        <v>14</v>
      </c>
      <c r="E22" s="5" t="s">
        <v>229</v>
      </c>
      <c r="F22" s="8" t="s">
        <v>230</v>
      </c>
    </row>
    <row r="23" spans="1:6" ht="86.75" customHeight="1">
      <c r="A23" s="5" t="s">
        <v>241</v>
      </c>
      <c r="B23" s="5" t="s">
        <v>829</v>
      </c>
      <c r="C23" s="5" t="s">
        <v>831</v>
      </c>
      <c r="D23" s="5" t="s">
        <v>14</v>
      </c>
      <c r="E23" s="5" t="s">
        <v>229</v>
      </c>
      <c r="F23" s="8" t="s">
        <v>230</v>
      </c>
    </row>
    <row r="24" spans="1:6" ht="86.75" customHeight="1">
      <c r="A24" s="5" t="s">
        <v>264</v>
      </c>
      <c r="B24" s="5" t="s">
        <v>829</v>
      </c>
      <c r="C24" s="5" t="s">
        <v>832</v>
      </c>
      <c r="D24" s="5" t="s">
        <v>14</v>
      </c>
      <c r="E24" s="5" t="s">
        <v>265</v>
      </c>
      <c r="F24" s="8" t="s">
        <v>266</v>
      </c>
    </row>
    <row r="25" spans="1:6" ht="86.75" customHeight="1">
      <c r="A25" s="5" t="s">
        <v>833</v>
      </c>
      <c r="B25" s="5" t="s">
        <v>829</v>
      </c>
      <c r="C25" s="5" t="s">
        <v>834</v>
      </c>
      <c r="D25" s="5" t="s">
        <v>14</v>
      </c>
      <c r="E25" s="5" t="s">
        <v>281</v>
      </c>
      <c r="F25" s="8" t="s">
        <v>282</v>
      </c>
    </row>
    <row r="26" spans="1:6" ht="86.75" customHeight="1">
      <c r="A26" s="5" t="s">
        <v>292</v>
      </c>
      <c r="B26" s="5" t="s">
        <v>829</v>
      </c>
      <c r="C26" s="5" t="s">
        <v>835</v>
      </c>
      <c r="D26" s="5" t="s">
        <v>14</v>
      </c>
      <c r="E26" s="5" t="s">
        <v>281</v>
      </c>
      <c r="F26" s="8" t="s">
        <v>282</v>
      </c>
    </row>
    <row r="27" spans="1:6" ht="86.75" customHeight="1">
      <c r="A27" s="5" t="s">
        <v>836</v>
      </c>
      <c r="B27" s="5" t="s">
        <v>829</v>
      </c>
      <c r="C27" s="5" t="s">
        <v>837</v>
      </c>
      <c r="D27" s="5" t="s">
        <v>14</v>
      </c>
      <c r="E27" s="5" t="s">
        <v>281</v>
      </c>
      <c r="F27" s="8" t="s">
        <v>282</v>
      </c>
    </row>
    <row r="28" spans="1:6" ht="86.75" customHeight="1">
      <c r="A28" s="5" t="s">
        <v>77</v>
      </c>
      <c r="B28" s="5" t="s">
        <v>838</v>
      </c>
      <c r="C28" s="5" t="s">
        <v>839</v>
      </c>
      <c r="D28" s="5" t="s">
        <v>14</v>
      </c>
      <c r="E28" s="5" t="s">
        <v>78</v>
      </c>
      <c r="F28" s="8" t="s">
        <v>79</v>
      </c>
    </row>
    <row r="29" spans="1:6" ht="86.75" customHeight="1">
      <c r="A29" s="5" t="s">
        <v>90</v>
      </c>
      <c r="B29" s="5" t="s">
        <v>85</v>
      </c>
      <c r="C29" s="5" t="s">
        <v>840</v>
      </c>
      <c r="D29" s="5" t="s">
        <v>14</v>
      </c>
      <c r="E29" s="5" t="s">
        <v>91</v>
      </c>
      <c r="F29" s="8" t="s">
        <v>92</v>
      </c>
    </row>
    <row r="30" spans="1:6" ht="86.75" customHeight="1">
      <c r="A30" s="5" t="s">
        <v>114</v>
      </c>
      <c r="B30" s="5" t="s">
        <v>85</v>
      </c>
      <c r="C30" s="5" t="s">
        <v>841</v>
      </c>
      <c r="D30" s="5" t="s">
        <v>14</v>
      </c>
      <c r="E30" s="5" t="s">
        <v>91</v>
      </c>
      <c r="F30" s="8" t="s">
        <v>92</v>
      </c>
    </row>
    <row r="31" spans="1:6" ht="86.75" customHeight="1">
      <c r="A31" s="5" t="s">
        <v>842</v>
      </c>
      <c r="B31" s="5" t="s">
        <v>843</v>
      </c>
      <c r="C31" s="5" t="s">
        <v>844</v>
      </c>
      <c r="D31" s="5" t="s">
        <v>14</v>
      </c>
      <c r="E31" s="5" t="s">
        <v>845</v>
      </c>
      <c r="F31" s="8" t="s">
        <v>846</v>
      </c>
    </row>
    <row r="32" spans="1:6" ht="86.75" customHeight="1">
      <c r="A32" s="5" t="s">
        <v>847</v>
      </c>
      <c r="B32" s="5" t="s">
        <v>333</v>
      </c>
      <c r="C32" s="5" t="s">
        <v>848</v>
      </c>
      <c r="D32" s="5" t="s">
        <v>849</v>
      </c>
      <c r="E32" s="5" t="s">
        <v>850</v>
      </c>
      <c r="F32" s="8" t="s">
        <v>851</v>
      </c>
    </row>
    <row r="33" spans="1:6" ht="86.75" customHeight="1">
      <c r="A33" s="5" t="s">
        <v>852</v>
      </c>
      <c r="B33" s="5" t="s">
        <v>333</v>
      </c>
      <c r="C33" s="5" t="s">
        <v>853</v>
      </c>
      <c r="D33" s="5" t="s">
        <v>854</v>
      </c>
      <c r="E33" s="5" t="s">
        <v>850</v>
      </c>
      <c r="F33" s="8" t="s">
        <v>851</v>
      </c>
    </row>
    <row r="34" spans="1:6" ht="86.75" customHeight="1">
      <c r="A34" s="5" t="s">
        <v>855</v>
      </c>
      <c r="B34" s="5" t="s">
        <v>856</v>
      </c>
      <c r="C34" s="5" t="s">
        <v>857</v>
      </c>
      <c r="D34" s="5" t="s">
        <v>436</v>
      </c>
      <c r="E34" s="5" t="s">
        <v>858</v>
      </c>
      <c r="F34" s="8" t="s">
        <v>859</v>
      </c>
    </row>
    <row r="35" spans="1:6" ht="86.75" customHeight="1">
      <c r="A35" s="5" t="s">
        <v>860</v>
      </c>
      <c r="B35" s="5" t="s">
        <v>861</v>
      </c>
      <c r="C35" s="5" t="s">
        <v>862</v>
      </c>
      <c r="D35" s="5" t="s">
        <v>436</v>
      </c>
      <c r="E35" s="5" t="s">
        <v>644</v>
      </c>
      <c r="F35" s="8" t="s">
        <v>502</v>
      </c>
    </row>
    <row r="36" spans="1:6" ht="86.75" customHeight="1">
      <c r="A36" s="5" t="s">
        <v>863</v>
      </c>
      <c r="B36" s="5" t="s">
        <v>864</v>
      </c>
      <c r="C36" s="5" t="s">
        <v>865</v>
      </c>
      <c r="D36" s="5" t="s">
        <v>436</v>
      </c>
      <c r="E36" s="5" t="s">
        <v>644</v>
      </c>
      <c r="F36" s="8" t="s">
        <v>502</v>
      </c>
    </row>
    <row r="37" spans="1:6" ht="86.75" customHeight="1">
      <c r="A37" s="5" t="s">
        <v>866</v>
      </c>
      <c r="B37" s="5" t="s">
        <v>541</v>
      </c>
      <c r="C37" s="5" t="s">
        <v>867</v>
      </c>
      <c r="D37" s="5" t="s">
        <v>436</v>
      </c>
      <c r="E37" s="5" t="s">
        <v>437</v>
      </c>
      <c r="F37" s="8" t="s">
        <v>438</v>
      </c>
    </row>
    <row r="38" spans="1:6" ht="86.75" customHeight="1">
      <c r="A38" s="5" t="s">
        <v>868</v>
      </c>
      <c r="B38" s="5" t="s">
        <v>869</v>
      </c>
      <c r="C38" s="5" t="s">
        <v>870</v>
      </c>
      <c r="D38" s="5" t="s">
        <v>871</v>
      </c>
      <c r="E38" s="5" t="s">
        <v>437</v>
      </c>
      <c r="F38" s="8" t="s">
        <v>438</v>
      </c>
    </row>
    <row r="39" spans="1:6" ht="86.75" customHeight="1">
      <c r="A39" s="5" t="s">
        <v>872</v>
      </c>
      <c r="B39" s="5" t="s">
        <v>873</v>
      </c>
      <c r="C39" s="5" t="s">
        <v>874</v>
      </c>
      <c r="D39" s="5" t="s">
        <v>436</v>
      </c>
      <c r="E39" s="5" t="s">
        <v>437</v>
      </c>
      <c r="F39" s="8" t="s">
        <v>438</v>
      </c>
    </row>
    <row r="40" spans="1:6" ht="86.75" customHeight="1">
      <c r="A40" s="5" t="s">
        <v>875</v>
      </c>
      <c r="B40" s="5" t="s">
        <v>876</v>
      </c>
      <c r="C40" s="5" t="s">
        <v>877</v>
      </c>
      <c r="D40" s="5" t="s">
        <v>436</v>
      </c>
      <c r="E40" s="5" t="s">
        <v>878</v>
      </c>
      <c r="F40" s="8" t="s">
        <v>879</v>
      </c>
    </row>
    <row r="41" spans="1:6" ht="86.75" customHeight="1">
      <c r="A41" s="5" t="s">
        <v>880</v>
      </c>
      <c r="B41" s="5" t="s">
        <v>881</v>
      </c>
      <c r="C41" s="5" t="s">
        <v>882</v>
      </c>
      <c r="D41" s="5" t="s">
        <v>436</v>
      </c>
      <c r="E41" s="5" t="s">
        <v>437</v>
      </c>
      <c r="F41" s="8" t="s">
        <v>438</v>
      </c>
    </row>
    <row r="42" spans="1:6" ht="86.75" customHeight="1">
      <c r="A42" s="5" t="s">
        <v>883</v>
      </c>
      <c r="B42" s="5" t="s">
        <v>884</v>
      </c>
      <c r="C42" s="5" t="s">
        <v>885</v>
      </c>
      <c r="D42" s="5" t="s">
        <v>436</v>
      </c>
      <c r="E42" s="5" t="s">
        <v>437</v>
      </c>
      <c r="F42" s="8" t="s">
        <v>438</v>
      </c>
    </row>
    <row r="43" spans="1:6" ht="86.75" customHeight="1">
      <c r="A43" s="5" t="s">
        <v>886</v>
      </c>
      <c r="B43" s="5" t="s">
        <v>887</v>
      </c>
      <c r="C43" s="5" t="s">
        <v>888</v>
      </c>
      <c r="D43" s="5" t="s">
        <v>436</v>
      </c>
      <c r="E43" s="5" t="s">
        <v>437</v>
      </c>
      <c r="F43" s="8" t="s">
        <v>438</v>
      </c>
    </row>
    <row r="44" spans="1:6" ht="86.75" customHeight="1">
      <c r="A44" s="5" t="s">
        <v>889</v>
      </c>
      <c r="B44" s="5" t="s">
        <v>890</v>
      </c>
      <c r="C44" s="5" t="s">
        <v>891</v>
      </c>
      <c r="D44" s="5" t="s">
        <v>436</v>
      </c>
      <c r="E44" s="5" t="s">
        <v>437</v>
      </c>
      <c r="F44" s="8" t="s">
        <v>438</v>
      </c>
    </row>
    <row r="45" spans="1:6" ht="86.75" customHeight="1">
      <c r="A45" s="5" t="s">
        <v>892</v>
      </c>
      <c r="B45" s="5" t="s">
        <v>893</v>
      </c>
      <c r="C45" s="5" t="s">
        <v>894</v>
      </c>
      <c r="D45" s="5" t="s">
        <v>436</v>
      </c>
      <c r="E45" s="5" t="s">
        <v>895</v>
      </c>
      <c r="F45" s="8" t="s">
        <v>896</v>
      </c>
    </row>
    <row r="46" spans="1:6" ht="86.75" customHeight="1">
      <c r="A46" s="5" t="s">
        <v>897</v>
      </c>
      <c r="B46" s="5" t="s">
        <v>898</v>
      </c>
      <c r="C46" s="5" t="s">
        <v>899</v>
      </c>
      <c r="D46" s="5" t="s">
        <v>900</v>
      </c>
      <c r="E46" s="5" t="s">
        <v>437</v>
      </c>
      <c r="F46" s="8" t="s">
        <v>438</v>
      </c>
    </row>
    <row r="47" spans="1:6" ht="86.75" customHeight="1">
      <c r="A47" s="5" t="s">
        <v>643</v>
      </c>
      <c r="B47" s="5" t="s">
        <v>901</v>
      </c>
      <c r="C47" s="5" t="s">
        <v>902</v>
      </c>
      <c r="D47" s="5" t="s">
        <v>436</v>
      </c>
      <c r="E47" s="5" t="s">
        <v>644</v>
      </c>
      <c r="F47" s="8" t="s">
        <v>502</v>
      </c>
    </row>
    <row r="48" spans="1:6" ht="86.75" customHeight="1">
      <c r="A48" s="5" t="s">
        <v>903</v>
      </c>
      <c r="B48" s="5" t="s">
        <v>904</v>
      </c>
      <c r="C48" s="5" t="s">
        <v>905</v>
      </c>
      <c r="D48" s="5" t="s">
        <v>871</v>
      </c>
      <c r="E48" s="5" t="s">
        <v>437</v>
      </c>
      <c r="F48" s="8" t="s">
        <v>438</v>
      </c>
    </row>
    <row r="49" spans="1:6" ht="86.75" customHeight="1">
      <c r="A49" s="5" t="s">
        <v>906</v>
      </c>
      <c r="B49" s="5" t="s">
        <v>907</v>
      </c>
      <c r="C49" s="5" t="s">
        <v>908</v>
      </c>
      <c r="D49" s="5" t="s">
        <v>436</v>
      </c>
      <c r="E49" s="5" t="s">
        <v>878</v>
      </c>
      <c r="F49" s="8" t="s">
        <v>879</v>
      </c>
    </row>
    <row r="50" spans="1:6" ht="86.75" customHeight="1">
      <c r="A50" s="5" t="s">
        <v>909</v>
      </c>
      <c r="B50" s="5" t="s">
        <v>910</v>
      </c>
      <c r="C50" s="5" t="s">
        <v>911</v>
      </c>
      <c r="D50" s="5" t="s">
        <v>912</v>
      </c>
      <c r="E50" s="5" t="s">
        <v>913</v>
      </c>
      <c r="F50" s="8" t="s">
        <v>914</v>
      </c>
    </row>
    <row r="51" spans="1:6" ht="86.75" customHeight="1">
      <c r="A51" s="5" t="s">
        <v>915</v>
      </c>
      <c r="B51" s="5" t="s">
        <v>916</v>
      </c>
      <c r="C51" s="5" t="s">
        <v>917</v>
      </c>
      <c r="D51" s="5" t="s">
        <v>436</v>
      </c>
      <c r="E51" s="5" t="s">
        <v>918</v>
      </c>
      <c r="F51" s="8" t="s">
        <v>919</v>
      </c>
    </row>
    <row r="52" spans="1:6" ht="86.75" customHeight="1">
      <c r="A52" s="5" t="s">
        <v>60</v>
      </c>
      <c r="B52" s="5" t="s">
        <v>920</v>
      </c>
      <c r="C52" s="5" t="s">
        <v>921</v>
      </c>
      <c r="D52" s="5" t="s">
        <v>61</v>
      </c>
      <c r="E52" s="5" t="s">
        <v>62</v>
      </c>
      <c r="F52" s="8" t="s">
        <v>63</v>
      </c>
    </row>
    <row r="53" spans="1:6" ht="86.75" customHeight="1">
      <c r="A53" s="5" t="s">
        <v>922</v>
      </c>
      <c r="B53" s="5" t="s">
        <v>923</v>
      </c>
      <c r="C53" s="5" t="s">
        <v>924</v>
      </c>
      <c r="D53" s="5" t="s">
        <v>925</v>
      </c>
      <c r="E53" s="5" t="s">
        <v>926</v>
      </c>
      <c r="F53" s="8" t="s">
        <v>927</v>
      </c>
    </row>
    <row r="54" spans="1:6" ht="86.75" customHeight="1">
      <c r="A54" s="5" t="s">
        <v>213</v>
      </c>
      <c r="B54" s="5" t="s">
        <v>928</v>
      </c>
      <c r="C54" s="5" t="s">
        <v>929</v>
      </c>
      <c r="D54" s="5" t="s">
        <v>61</v>
      </c>
      <c r="E54" s="5" t="s">
        <v>214</v>
      </c>
      <c r="F54" s="8" t="s">
        <v>215</v>
      </c>
    </row>
    <row r="55" spans="1:6" ht="86.75" customHeight="1">
      <c r="A55" s="5" t="s">
        <v>249</v>
      </c>
      <c r="B55" s="5" t="s">
        <v>930</v>
      </c>
      <c r="C55" s="5" t="s">
        <v>931</v>
      </c>
      <c r="D55" s="5" t="s">
        <v>61</v>
      </c>
      <c r="E55" s="5" t="s">
        <v>250</v>
      </c>
      <c r="F55" s="8" t="s">
        <v>251</v>
      </c>
    </row>
    <row r="56" spans="1:6" ht="86.75" customHeight="1">
      <c r="A56" s="5" t="s">
        <v>324</v>
      </c>
      <c r="B56" s="5" t="s">
        <v>932</v>
      </c>
      <c r="C56" s="5" t="s">
        <v>933</v>
      </c>
      <c r="D56" s="5" t="s">
        <v>61</v>
      </c>
      <c r="E56" s="5" t="s">
        <v>325</v>
      </c>
      <c r="F56" s="8" t="s">
        <v>326</v>
      </c>
    </row>
    <row r="57" spans="1:6" ht="86.75" customHeight="1">
      <c r="A57" s="5" t="s">
        <v>934</v>
      </c>
      <c r="B57" s="5" t="s">
        <v>935</v>
      </c>
      <c r="C57" s="5" t="s">
        <v>936</v>
      </c>
      <c r="D57" s="5" t="s">
        <v>937</v>
      </c>
      <c r="E57" s="5" t="s">
        <v>938</v>
      </c>
      <c r="F57" s="8" t="s">
        <v>939</v>
      </c>
    </row>
    <row r="58" spans="1:6" ht="86.75" customHeight="1">
      <c r="A58" s="5" t="s">
        <v>940</v>
      </c>
      <c r="B58" s="5" t="s">
        <v>941</v>
      </c>
      <c r="C58" s="5" t="s">
        <v>942</v>
      </c>
      <c r="D58" s="5" t="s">
        <v>943</v>
      </c>
      <c r="E58" s="5" t="s">
        <v>944</v>
      </c>
      <c r="F58" s="8" t="s">
        <v>945</v>
      </c>
    </row>
    <row r="59" spans="1:6" ht="86.75" customHeight="1">
      <c r="A59" s="5" t="s">
        <v>946</v>
      </c>
      <c r="B59" s="5" t="s">
        <v>947</v>
      </c>
      <c r="C59" s="5" t="s">
        <v>948</v>
      </c>
      <c r="D59" s="5" t="s">
        <v>949</v>
      </c>
      <c r="E59" s="5" t="s">
        <v>950</v>
      </c>
      <c r="F59" s="8" t="s">
        <v>951</v>
      </c>
    </row>
    <row r="60" spans="1:6" ht="86.75" customHeight="1">
      <c r="A60" s="5" t="s">
        <v>461</v>
      </c>
      <c r="B60" s="5" t="s">
        <v>952</v>
      </c>
      <c r="C60" s="5" t="s">
        <v>953</v>
      </c>
      <c r="D60" s="5" t="s">
        <v>462</v>
      </c>
      <c r="E60" s="5" t="s">
        <v>463</v>
      </c>
      <c r="F60" s="8" t="s">
        <v>464</v>
      </c>
    </row>
    <row r="61" spans="1:6" ht="86.75" customHeight="1">
      <c r="A61" s="5" t="s">
        <v>954</v>
      </c>
      <c r="B61" s="5" t="s">
        <v>474</v>
      </c>
      <c r="C61" s="5" t="s">
        <v>955</v>
      </c>
      <c r="D61" s="5" t="s">
        <v>956</v>
      </c>
      <c r="E61" s="5" t="s">
        <v>957</v>
      </c>
      <c r="F61" s="8" t="s">
        <v>958</v>
      </c>
    </row>
    <row r="62" spans="1:6" ht="86.75" customHeight="1">
      <c r="A62" s="5" t="s">
        <v>959</v>
      </c>
      <c r="B62" s="5" t="s">
        <v>485</v>
      </c>
      <c r="C62" s="5" t="s">
        <v>960</v>
      </c>
      <c r="D62" s="5" t="s">
        <v>956</v>
      </c>
      <c r="E62" s="5" t="s">
        <v>957</v>
      </c>
      <c r="F62" s="8" t="s">
        <v>958</v>
      </c>
    </row>
    <row r="63" spans="1:6" ht="86.75" customHeight="1">
      <c r="A63" s="5" t="s">
        <v>961</v>
      </c>
      <c r="B63" s="5" t="s">
        <v>527</v>
      </c>
      <c r="C63" s="5" t="s">
        <v>962</v>
      </c>
      <c r="D63" s="5" t="s">
        <v>963</v>
      </c>
      <c r="E63" s="5" t="s">
        <v>964</v>
      </c>
      <c r="F63" s="8" t="s">
        <v>965</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workbookViewId="0">
      <selection sqref="A1:E1"/>
    </sheetView>
  </sheetViews>
  <sheetFormatPr baseColWidth="10" defaultColWidth="8.83203125" defaultRowHeight="14"/>
  <cols>
    <col min="1" max="1" width="16" customWidth="1"/>
    <col min="2" max="2" width="42" customWidth="1"/>
    <col min="3" max="3" width="24" customWidth="1"/>
    <col min="4" max="4" width="48" customWidth="1"/>
    <col min="5" max="5" width="24" customWidth="1"/>
  </cols>
  <sheetData>
    <row r="1" spans="1:5" ht="19" customHeight="1">
      <c r="A1" s="43" t="s">
        <v>966</v>
      </c>
      <c r="B1" s="41"/>
      <c r="C1" s="41"/>
      <c r="D1" s="41"/>
      <c r="E1" s="41"/>
    </row>
    <row r="3" spans="1:5" ht="16" customHeight="1">
      <c r="A3" s="4" t="s">
        <v>967</v>
      </c>
      <c r="B3" s="4" t="s">
        <v>968</v>
      </c>
      <c r="C3" s="4" t="s">
        <v>969</v>
      </c>
      <c r="D3" s="4" t="s">
        <v>970</v>
      </c>
      <c r="E3" s="4" t="s">
        <v>971</v>
      </c>
    </row>
    <row r="4" spans="1:5" ht="66.75" customHeight="1">
      <c r="A4" s="5" t="s">
        <v>972</v>
      </c>
      <c r="B4" s="5" t="s">
        <v>973</v>
      </c>
      <c r="C4" s="5" t="s">
        <v>974</v>
      </c>
      <c r="D4" s="5" t="s">
        <v>975</v>
      </c>
      <c r="E4" s="5" t="s">
        <v>976</v>
      </c>
    </row>
    <row r="5" spans="1:5" ht="66.75" customHeight="1">
      <c r="A5" s="5" t="s">
        <v>977</v>
      </c>
      <c r="B5" s="5" t="s">
        <v>978</v>
      </c>
      <c r="C5" s="5" t="s">
        <v>979</v>
      </c>
      <c r="D5" s="5" t="s">
        <v>980</v>
      </c>
      <c r="E5" s="5" t="s">
        <v>981</v>
      </c>
    </row>
    <row r="6" spans="1:5" ht="66.75" customHeight="1">
      <c r="A6" s="5" t="s">
        <v>982</v>
      </c>
      <c r="B6" s="5" t="s">
        <v>983</v>
      </c>
      <c r="C6" s="5" t="s">
        <v>974</v>
      </c>
      <c r="D6" s="5" t="s">
        <v>984</v>
      </c>
      <c r="E6" s="5" t="s">
        <v>985</v>
      </c>
    </row>
    <row r="7" spans="1:5" ht="66.75" customHeight="1">
      <c r="A7" s="5" t="s">
        <v>986</v>
      </c>
      <c r="B7" s="5" t="s">
        <v>987</v>
      </c>
      <c r="C7" s="5" t="s">
        <v>974</v>
      </c>
      <c r="D7" s="5" t="s">
        <v>988</v>
      </c>
      <c r="E7" s="5" t="s">
        <v>985</v>
      </c>
    </row>
    <row r="8" spans="1:5" ht="66.75" customHeight="1">
      <c r="A8" s="5" t="s">
        <v>47</v>
      </c>
      <c r="B8" s="5" t="s">
        <v>989</v>
      </c>
      <c r="C8" s="5" t="s">
        <v>990</v>
      </c>
      <c r="D8" s="5" t="s">
        <v>991</v>
      </c>
      <c r="E8" s="5" t="s">
        <v>992</v>
      </c>
    </row>
    <row r="9" spans="1:5" ht="66.75" customHeight="1">
      <c r="A9" s="5" t="s">
        <v>791</v>
      </c>
      <c r="B9" s="5" t="s">
        <v>993</v>
      </c>
      <c r="C9" s="5" t="s">
        <v>990</v>
      </c>
      <c r="D9" s="5" t="s">
        <v>994</v>
      </c>
      <c r="E9" s="5" t="s">
        <v>995</v>
      </c>
    </row>
    <row r="10" spans="1:5" ht="66.75" customHeight="1">
      <c r="A10" s="5" t="s">
        <v>126</v>
      </c>
      <c r="B10" s="5" t="s">
        <v>996</v>
      </c>
      <c r="C10" s="5" t="s">
        <v>990</v>
      </c>
      <c r="D10" s="5" t="s">
        <v>997</v>
      </c>
      <c r="E10" s="5" t="s">
        <v>998</v>
      </c>
    </row>
    <row r="11" spans="1:5" ht="30" customHeight="1">
      <c r="A11" s="8" t="s">
        <v>800</v>
      </c>
      <c r="B11" s="8" t="s">
        <v>999</v>
      </c>
      <c r="C11" s="8" t="s">
        <v>990</v>
      </c>
      <c r="D11" s="8" t="s">
        <v>1000</v>
      </c>
      <c r="E11" s="8" t="s">
        <v>1001</v>
      </c>
    </row>
    <row r="12" spans="1:5" ht="30" customHeight="1">
      <c r="A12" s="8" t="s">
        <v>815</v>
      </c>
      <c r="B12" s="8" t="s">
        <v>1002</v>
      </c>
      <c r="C12" s="8" t="s">
        <v>990</v>
      </c>
      <c r="D12" s="8" t="s">
        <v>1003</v>
      </c>
      <c r="E12" s="8" t="s">
        <v>1004</v>
      </c>
    </row>
    <row r="13" spans="1:5" ht="30" customHeight="1">
      <c r="A13" s="8" t="s">
        <v>193</v>
      </c>
      <c r="B13" s="8" t="s">
        <v>1005</v>
      </c>
      <c r="C13" s="8" t="s">
        <v>990</v>
      </c>
      <c r="D13" s="8" t="s">
        <v>1006</v>
      </c>
      <c r="E13" s="8" t="s">
        <v>1007</v>
      </c>
    </row>
    <row r="14" spans="1:5" ht="30" customHeight="1">
      <c r="A14" s="8" t="s">
        <v>203</v>
      </c>
      <c r="B14" s="8" t="s">
        <v>1008</v>
      </c>
      <c r="C14" s="8" t="s">
        <v>990</v>
      </c>
      <c r="D14" s="8" t="s">
        <v>1009</v>
      </c>
      <c r="E14" s="8" t="s">
        <v>1010</v>
      </c>
    </row>
    <row r="15" spans="1:5" ht="30" customHeight="1">
      <c r="A15" s="8" t="s">
        <v>229</v>
      </c>
      <c r="B15" s="8" t="s">
        <v>1011</v>
      </c>
      <c r="C15" s="8" t="s">
        <v>990</v>
      </c>
      <c r="D15" s="8" t="s">
        <v>1012</v>
      </c>
      <c r="E15" s="8" t="s">
        <v>1013</v>
      </c>
    </row>
    <row r="16" spans="1:5" ht="30" customHeight="1">
      <c r="A16" s="8" t="s">
        <v>281</v>
      </c>
      <c r="B16" s="8" t="s">
        <v>1014</v>
      </c>
      <c r="C16" s="8" t="s">
        <v>990</v>
      </c>
      <c r="D16" s="8" t="s">
        <v>1015</v>
      </c>
      <c r="E16" s="8" t="s">
        <v>1016</v>
      </c>
    </row>
    <row r="17" spans="1:5" ht="30" customHeight="1">
      <c r="A17" s="8" t="s">
        <v>91</v>
      </c>
      <c r="B17" s="8" t="s">
        <v>1017</v>
      </c>
      <c r="C17" s="8" t="s">
        <v>990</v>
      </c>
      <c r="D17" s="8" t="s">
        <v>1018</v>
      </c>
      <c r="E17" s="8" t="s">
        <v>1019</v>
      </c>
    </row>
    <row r="18" spans="1:5" ht="30" customHeight="1">
      <c r="A18" s="8" t="s">
        <v>1020</v>
      </c>
      <c r="B18" s="8" t="s">
        <v>81</v>
      </c>
      <c r="C18" s="8" t="s">
        <v>990</v>
      </c>
      <c r="D18" s="8" t="s">
        <v>1021</v>
      </c>
      <c r="E18" s="8" t="s">
        <v>1022</v>
      </c>
    </row>
    <row r="19" spans="1:5" ht="30" customHeight="1">
      <c r="A19" s="8" t="s">
        <v>845</v>
      </c>
      <c r="B19" s="8" t="s">
        <v>1023</v>
      </c>
      <c r="C19" s="8" t="s">
        <v>990</v>
      </c>
      <c r="D19" s="8" t="s">
        <v>1024</v>
      </c>
      <c r="E19" s="8" t="s">
        <v>1025</v>
      </c>
    </row>
    <row r="20" spans="1:5" ht="30" customHeight="1">
      <c r="A20" s="8" t="s">
        <v>1026</v>
      </c>
      <c r="B20" s="8" t="s">
        <v>1027</v>
      </c>
      <c r="C20" s="8" t="s">
        <v>1028</v>
      </c>
      <c r="D20" s="8" t="s">
        <v>1029</v>
      </c>
      <c r="E20" s="8" t="s">
        <v>1030</v>
      </c>
    </row>
    <row r="21" spans="1:5" ht="30" customHeight="1">
      <c r="A21" s="8" t="s">
        <v>1031</v>
      </c>
      <c r="B21" s="8" t="s">
        <v>1027</v>
      </c>
      <c r="C21" s="8" t="s">
        <v>1032</v>
      </c>
      <c r="D21" s="8" t="s">
        <v>1033</v>
      </c>
      <c r="E21" s="8" t="s">
        <v>1034</v>
      </c>
    </row>
    <row r="22" spans="1:5" ht="30" customHeight="1">
      <c r="A22" s="8" t="s">
        <v>1035</v>
      </c>
      <c r="B22" s="8" t="s">
        <v>1036</v>
      </c>
      <c r="C22" s="8" t="s">
        <v>1032</v>
      </c>
      <c r="D22" s="8" t="s">
        <v>1037</v>
      </c>
      <c r="E22" s="8" t="s">
        <v>1038</v>
      </c>
    </row>
    <row r="23" spans="1:5" ht="30" customHeight="1">
      <c r="A23" s="8" t="s">
        <v>918</v>
      </c>
      <c r="B23" s="8" t="s">
        <v>1039</v>
      </c>
      <c r="C23" s="8" t="s">
        <v>1032</v>
      </c>
      <c r="D23" s="8" t="s">
        <v>1040</v>
      </c>
      <c r="E23" s="8" t="s">
        <v>1041</v>
      </c>
    </row>
    <row r="24" spans="1:5" ht="30" customHeight="1">
      <c r="A24" s="8" t="s">
        <v>1042</v>
      </c>
      <c r="B24" s="8" t="s">
        <v>1043</v>
      </c>
      <c r="C24" s="8" t="s">
        <v>1032</v>
      </c>
      <c r="D24" s="8" t="s">
        <v>1044</v>
      </c>
      <c r="E24" s="8" t="s">
        <v>1045</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workbookViewId="0">
      <selection activeCell="G6" sqref="G6"/>
    </sheetView>
  </sheetViews>
  <sheetFormatPr baseColWidth="10" defaultColWidth="8.83203125" defaultRowHeight="14"/>
  <cols>
    <col min="1" max="1" width="16" customWidth="1"/>
    <col min="2" max="2" width="22" customWidth="1"/>
    <col min="3" max="3" width="34" customWidth="1"/>
    <col min="4" max="4" width="42" customWidth="1"/>
    <col min="5" max="5" width="52" customWidth="1"/>
    <col min="6" max="6" width="28" customWidth="1"/>
    <col min="7" max="7" width="20" customWidth="1"/>
    <col min="8" max="8" width="42" customWidth="1"/>
    <col min="9" max="9" width="26" customWidth="1"/>
    <col min="10" max="10" width="24" customWidth="1"/>
  </cols>
  <sheetData>
    <row r="1" spans="1:10" ht="37.25" customHeight="1">
      <c r="A1" s="40" t="s">
        <v>1046</v>
      </c>
      <c r="B1" s="41"/>
      <c r="C1" s="41"/>
      <c r="D1" s="41"/>
      <c r="E1" s="41"/>
      <c r="F1" s="41"/>
      <c r="G1" s="41"/>
      <c r="H1" s="41"/>
      <c r="I1" s="41"/>
      <c r="J1" s="41"/>
    </row>
    <row r="2" spans="1:10" ht="56" customHeight="1">
      <c r="A2" s="42" t="s">
        <v>1047</v>
      </c>
      <c r="B2" s="41"/>
      <c r="C2" s="41"/>
      <c r="D2" s="41"/>
      <c r="E2" s="41"/>
      <c r="F2" s="41"/>
      <c r="G2" s="41"/>
      <c r="H2" s="41"/>
      <c r="I2" s="41"/>
      <c r="J2" s="41"/>
    </row>
    <row r="3" spans="1:10" ht="15" customHeight="1">
      <c r="A3" s="6"/>
      <c r="B3" s="6"/>
      <c r="C3" s="6"/>
      <c r="D3" s="6"/>
      <c r="E3" s="6"/>
      <c r="F3" s="6"/>
      <c r="G3" s="6"/>
      <c r="H3" s="6"/>
    </row>
    <row r="4" spans="1:10" ht="45.25" customHeight="1">
      <c r="A4" s="13" t="s">
        <v>1048</v>
      </c>
      <c r="B4" s="13" t="s">
        <v>1049</v>
      </c>
      <c r="C4" s="13" t="s">
        <v>1050</v>
      </c>
      <c r="D4" s="13" t="s">
        <v>1051</v>
      </c>
      <c r="E4" s="13" t="s">
        <v>1052</v>
      </c>
      <c r="F4" s="13" t="s">
        <v>1053</v>
      </c>
      <c r="G4" s="13" t="s">
        <v>1054</v>
      </c>
      <c r="H4" s="13" t="s">
        <v>20</v>
      </c>
      <c r="I4" s="13" t="s">
        <v>1055</v>
      </c>
      <c r="J4" s="13" t="s">
        <v>1056</v>
      </c>
    </row>
    <row r="5" spans="1:10" ht="125" customHeight="1">
      <c r="A5" s="5" t="s">
        <v>71</v>
      </c>
      <c r="B5" s="5" t="s">
        <v>1057</v>
      </c>
      <c r="C5" s="5" t="s">
        <v>1058</v>
      </c>
      <c r="D5" s="5" t="s">
        <v>1059</v>
      </c>
      <c r="E5" s="5" t="s">
        <v>1060</v>
      </c>
      <c r="F5" s="5" t="s">
        <v>67</v>
      </c>
      <c r="G5" s="5" t="s">
        <v>1061</v>
      </c>
      <c r="H5" s="5" t="s">
        <v>1062</v>
      </c>
      <c r="I5" s="5"/>
      <c r="J5" s="5"/>
    </row>
    <row r="6" spans="1:10" ht="125" customHeight="1">
      <c r="A6" s="5" t="s">
        <v>185</v>
      </c>
      <c r="B6" s="5" t="s">
        <v>1057</v>
      </c>
      <c r="C6" s="5" t="s">
        <v>1063</v>
      </c>
      <c r="D6" s="5" t="s">
        <v>1064</v>
      </c>
      <c r="E6" s="5" t="s">
        <v>1065</v>
      </c>
      <c r="F6" s="5" t="s">
        <v>1066</v>
      </c>
      <c r="G6" s="5" t="s">
        <v>1061</v>
      </c>
      <c r="H6" s="5" t="s">
        <v>1067</v>
      </c>
      <c r="I6" s="24" t="s">
        <v>1068</v>
      </c>
      <c r="J6" s="5" t="s">
        <v>1061</v>
      </c>
    </row>
    <row r="7" spans="1:10" ht="150" customHeight="1">
      <c r="A7" s="5" t="s">
        <v>258</v>
      </c>
      <c r="B7" s="5" t="s">
        <v>1069</v>
      </c>
      <c r="C7" s="5" t="s">
        <v>1070</v>
      </c>
      <c r="D7" s="5" t="s">
        <v>1071</v>
      </c>
      <c r="E7" s="5" t="s">
        <v>1072</v>
      </c>
      <c r="F7" s="5" t="s">
        <v>254</v>
      </c>
      <c r="G7" s="5" t="s">
        <v>1061</v>
      </c>
      <c r="H7" s="5" t="s">
        <v>1073</v>
      </c>
      <c r="I7" s="24" t="s">
        <v>1074</v>
      </c>
      <c r="J7" s="5" t="s">
        <v>1061</v>
      </c>
    </row>
    <row r="8" spans="1:10" ht="120" customHeight="1">
      <c r="A8" s="5" t="s">
        <v>331</v>
      </c>
      <c r="B8" s="5" t="s">
        <v>1057</v>
      </c>
      <c r="C8" s="5" t="s">
        <v>1075</v>
      </c>
      <c r="D8" s="5" t="s">
        <v>1076</v>
      </c>
      <c r="E8" s="5" t="s">
        <v>1077</v>
      </c>
      <c r="F8" s="5" t="s">
        <v>329</v>
      </c>
      <c r="G8" s="5" t="s">
        <v>1061</v>
      </c>
      <c r="H8" s="5" t="s">
        <v>1078</v>
      </c>
      <c r="I8" s="5"/>
      <c r="J8" s="5"/>
    </row>
    <row r="9" spans="1:10" ht="155" customHeight="1">
      <c r="A9" s="5" t="s">
        <v>362</v>
      </c>
      <c r="B9" s="5" t="s">
        <v>1079</v>
      </c>
      <c r="C9" s="5" t="s">
        <v>1080</v>
      </c>
      <c r="D9" s="5" t="s">
        <v>1081</v>
      </c>
      <c r="E9" s="5" t="s">
        <v>1082</v>
      </c>
      <c r="F9" s="5" t="s">
        <v>1083</v>
      </c>
      <c r="G9" s="5" t="s">
        <v>1061</v>
      </c>
      <c r="H9" s="5" t="s">
        <v>1084</v>
      </c>
      <c r="I9" s="24" t="s">
        <v>1085</v>
      </c>
      <c r="J9" s="5" t="s">
        <v>1061</v>
      </c>
    </row>
    <row r="10" spans="1:10" ht="95" customHeight="1">
      <c r="A10" s="5" t="s">
        <v>388</v>
      </c>
      <c r="B10" s="5" t="s">
        <v>1079</v>
      </c>
      <c r="C10" s="5" t="s">
        <v>1086</v>
      </c>
      <c r="D10" s="5" t="s">
        <v>1087</v>
      </c>
      <c r="E10" s="5" t="s">
        <v>1088</v>
      </c>
      <c r="F10" s="5" t="s">
        <v>360</v>
      </c>
      <c r="G10" s="5" t="s">
        <v>1061</v>
      </c>
      <c r="H10" s="5" t="s">
        <v>1089</v>
      </c>
      <c r="I10" s="5"/>
      <c r="J10" s="5"/>
    </row>
    <row r="11" spans="1:10" ht="125" customHeight="1">
      <c r="A11" s="5" t="s">
        <v>420</v>
      </c>
      <c r="B11" s="5" t="s">
        <v>1090</v>
      </c>
      <c r="C11" s="5" t="s">
        <v>1091</v>
      </c>
      <c r="D11" s="5" t="s">
        <v>1092</v>
      </c>
      <c r="E11" s="5" t="s">
        <v>1093</v>
      </c>
      <c r="F11" s="5" t="s">
        <v>1094</v>
      </c>
      <c r="G11" s="5" t="s">
        <v>1061</v>
      </c>
      <c r="H11" s="5" t="s">
        <v>1095</v>
      </c>
      <c r="I11" s="5"/>
      <c r="J11" s="5"/>
    </row>
    <row r="12" spans="1:10" ht="140" customHeight="1">
      <c r="A12" s="5" t="s">
        <v>471</v>
      </c>
      <c r="B12" s="5" t="s">
        <v>1096</v>
      </c>
      <c r="C12" s="5" t="s">
        <v>1097</v>
      </c>
      <c r="D12" s="5" t="s">
        <v>1098</v>
      </c>
      <c r="E12" s="5" t="s">
        <v>1099</v>
      </c>
      <c r="F12" s="5" t="s">
        <v>467</v>
      </c>
      <c r="G12" s="5" t="s">
        <v>1061</v>
      </c>
      <c r="H12" s="5" t="s">
        <v>1100</v>
      </c>
      <c r="I12" s="24" t="s">
        <v>1101</v>
      </c>
      <c r="J12" s="5" t="s">
        <v>1061</v>
      </c>
    </row>
    <row r="13" spans="1:10" ht="130" customHeight="1">
      <c r="A13" s="5" t="s">
        <v>483</v>
      </c>
      <c r="B13" s="5" t="s">
        <v>1102</v>
      </c>
      <c r="C13" s="5" t="s">
        <v>1103</v>
      </c>
      <c r="D13" s="5" t="s">
        <v>1104</v>
      </c>
      <c r="E13" s="5" t="s">
        <v>1105</v>
      </c>
      <c r="F13" s="5" t="s">
        <v>51</v>
      </c>
      <c r="G13" s="5" t="s">
        <v>1061</v>
      </c>
      <c r="H13" s="5" t="s">
        <v>1106</v>
      </c>
      <c r="I13" s="24" t="s">
        <v>493</v>
      </c>
      <c r="J13" s="5" t="s">
        <v>1061</v>
      </c>
    </row>
    <row r="14" spans="1:10" ht="125" customHeight="1">
      <c r="A14" s="5" t="s">
        <v>521</v>
      </c>
      <c r="B14" s="5" t="s">
        <v>1090</v>
      </c>
      <c r="C14" s="5" t="s">
        <v>1107</v>
      </c>
      <c r="D14" s="5" t="s">
        <v>1108</v>
      </c>
      <c r="E14" s="5" t="s">
        <v>1109</v>
      </c>
      <c r="F14" s="5" t="s">
        <v>1110</v>
      </c>
      <c r="G14" s="5" t="s">
        <v>1061</v>
      </c>
      <c r="H14" s="5" t="s">
        <v>1111</v>
      </c>
      <c r="I14" s="5"/>
      <c r="J14" s="5"/>
    </row>
    <row r="15" spans="1:10" ht="130" customHeight="1">
      <c r="A15" s="5" t="s">
        <v>537</v>
      </c>
      <c r="B15" s="5" t="s">
        <v>1102</v>
      </c>
      <c r="C15" s="5" t="s">
        <v>1112</v>
      </c>
      <c r="D15" s="5" t="s">
        <v>1113</v>
      </c>
      <c r="E15" s="5" t="s">
        <v>1114</v>
      </c>
      <c r="F15" s="5" t="s">
        <v>51</v>
      </c>
      <c r="G15" s="5" t="s">
        <v>1061</v>
      </c>
      <c r="H15" s="5" t="s">
        <v>1115</v>
      </c>
      <c r="I15" s="24" t="s">
        <v>1116</v>
      </c>
      <c r="J15" s="5" t="s">
        <v>1061</v>
      </c>
    </row>
    <row r="16" spans="1:10" ht="165" customHeight="1">
      <c r="A16" s="5" t="s">
        <v>598</v>
      </c>
      <c r="B16" s="5" t="s">
        <v>1117</v>
      </c>
      <c r="C16" s="5" t="s">
        <v>1118</v>
      </c>
      <c r="D16" s="5" t="s">
        <v>1119</v>
      </c>
      <c r="E16" s="5" t="s">
        <v>1120</v>
      </c>
      <c r="F16" s="5" t="s">
        <v>1121</v>
      </c>
      <c r="G16" s="5" t="s">
        <v>1061</v>
      </c>
      <c r="H16" s="5" t="s">
        <v>1122</v>
      </c>
      <c r="I16" s="24" t="s">
        <v>1123</v>
      </c>
      <c r="J16" s="5" t="s">
        <v>1061</v>
      </c>
    </row>
    <row r="17" spans="1:10" ht="155" customHeight="1">
      <c r="A17" s="5" t="s">
        <v>572</v>
      </c>
      <c r="B17" s="5" t="s">
        <v>1124</v>
      </c>
      <c r="C17" s="5" t="s">
        <v>1125</v>
      </c>
      <c r="D17" s="5" t="s">
        <v>1126</v>
      </c>
      <c r="E17" s="5" t="s">
        <v>1127</v>
      </c>
      <c r="F17" s="5" t="s">
        <v>51</v>
      </c>
      <c r="G17" s="5" t="s">
        <v>1061</v>
      </c>
      <c r="H17" s="5" t="s">
        <v>1128</v>
      </c>
      <c r="I17" s="24" t="s">
        <v>1129</v>
      </c>
      <c r="J17" s="5" t="s">
        <v>1061</v>
      </c>
    </row>
    <row r="18" spans="1:10" ht="80" customHeight="1">
      <c r="A18" s="5"/>
      <c r="B18" s="5"/>
      <c r="C18" s="5"/>
      <c r="D18" s="5"/>
      <c r="E18" s="5"/>
      <c r="F18" s="5"/>
      <c r="G18" s="5"/>
      <c r="H18" s="5"/>
    </row>
    <row r="19" spans="1:10" ht="80" customHeight="1">
      <c r="A19" s="5"/>
      <c r="B19" s="5"/>
      <c r="C19" s="5"/>
      <c r="D19" s="5"/>
      <c r="E19" s="5"/>
      <c r="F19" s="5"/>
      <c r="G19" s="5"/>
      <c r="H19" s="5"/>
    </row>
    <row r="20" spans="1:10" ht="80" customHeight="1">
      <c r="A20" s="5"/>
      <c r="B20" s="5"/>
      <c r="C20" s="5"/>
      <c r="D20" s="5"/>
      <c r="E20" s="5"/>
      <c r="F20" s="5"/>
      <c r="G20" s="5"/>
      <c r="H20" s="5"/>
    </row>
    <row r="21" spans="1:10" ht="80" customHeight="1">
      <c r="A21" s="5"/>
      <c r="B21" s="5"/>
      <c r="C21" s="5"/>
      <c r="D21" s="5"/>
      <c r="E21" s="5"/>
      <c r="F21" s="5"/>
      <c r="G21" s="5"/>
      <c r="H21" s="5"/>
    </row>
    <row r="22" spans="1:10" ht="80" customHeight="1">
      <c r="A22" s="5"/>
      <c r="B22" s="5"/>
      <c r="C22" s="5"/>
      <c r="D22" s="5"/>
      <c r="E22" s="5"/>
      <c r="F22" s="5"/>
      <c r="G22" s="5"/>
      <c r="H22" s="5"/>
    </row>
    <row r="23" spans="1:10" ht="80" customHeight="1">
      <c r="A23" s="5"/>
      <c r="B23" s="5"/>
      <c r="C23" s="5"/>
      <c r="D23" s="5"/>
      <c r="E23" s="5"/>
      <c r="F23" s="5"/>
      <c r="G23" s="5"/>
      <c r="H23" s="5"/>
    </row>
    <row r="24" spans="1:10" ht="80" customHeight="1">
      <c r="A24" s="5"/>
      <c r="B24" s="5"/>
      <c r="C24" s="5"/>
      <c r="D24" s="5"/>
      <c r="E24" s="5"/>
      <c r="F24" s="5"/>
      <c r="G24" s="5"/>
      <c r="H24" s="5"/>
    </row>
    <row r="25" spans="1:10" ht="80" customHeight="1">
      <c r="A25" s="5"/>
      <c r="B25" s="5"/>
      <c r="C25" s="5"/>
      <c r="D25" s="5"/>
      <c r="E25" s="5"/>
      <c r="F25" s="5"/>
      <c r="G25" s="5"/>
      <c r="H25" s="5"/>
    </row>
    <row r="26" spans="1:10" ht="80" customHeight="1">
      <c r="A26" s="5"/>
      <c r="B26" s="5"/>
      <c r="C26" s="5"/>
      <c r="D26" s="5"/>
      <c r="E26" s="5"/>
      <c r="F26" s="5"/>
      <c r="G26" s="5"/>
      <c r="H26" s="5"/>
    </row>
    <row r="27" spans="1:10" ht="80" customHeight="1">
      <c r="A27" s="5"/>
      <c r="B27" s="5"/>
      <c r="C27" s="5"/>
      <c r="D27" s="5"/>
      <c r="E27" s="5"/>
      <c r="F27" s="5"/>
      <c r="G27" s="5"/>
      <c r="H27" s="5"/>
    </row>
    <row r="28" spans="1:10" ht="80" customHeight="1">
      <c r="A28" s="5"/>
      <c r="B28" s="5"/>
      <c r="C28" s="5"/>
      <c r="D28" s="5"/>
      <c r="E28" s="5"/>
      <c r="F28" s="5"/>
      <c r="G28" s="5"/>
      <c r="H28" s="5"/>
    </row>
    <row r="29" spans="1:10" ht="80" customHeight="1">
      <c r="A29" s="5"/>
      <c r="B29" s="5"/>
      <c r="C29" s="5"/>
      <c r="D29" s="5"/>
      <c r="E29" s="5"/>
      <c r="F29" s="5"/>
      <c r="G29" s="5"/>
      <c r="H29" s="5"/>
    </row>
    <row r="30" spans="1:10" ht="80" customHeight="1">
      <c r="A30" s="5"/>
      <c r="B30" s="5"/>
      <c r="C30" s="5"/>
      <c r="D30" s="5"/>
      <c r="E30" s="5"/>
      <c r="F30" s="5"/>
      <c r="G30" s="5"/>
      <c r="H30" s="5"/>
    </row>
    <row r="31" spans="1:10" ht="80" customHeight="1">
      <c r="A31" s="5"/>
      <c r="B31" s="5"/>
      <c r="C31" s="5"/>
      <c r="D31" s="5"/>
      <c r="E31" s="5"/>
      <c r="F31" s="5"/>
      <c r="G31" s="5"/>
      <c r="H31" s="5"/>
    </row>
    <row r="32" spans="1:10" ht="80" customHeight="1">
      <c r="A32" s="5"/>
      <c r="B32" s="5"/>
      <c r="C32" s="5"/>
      <c r="D32" s="5"/>
      <c r="E32" s="5"/>
      <c r="F32" s="5"/>
      <c r="G32" s="5"/>
      <c r="H32" s="5"/>
    </row>
    <row r="33" spans="1:8" ht="80" customHeight="1">
      <c r="A33" s="5"/>
      <c r="B33" s="5"/>
      <c r="C33" s="5"/>
      <c r="D33" s="5"/>
      <c r="E33" s="5"/>
      <c r="F33" s="5"/>
      <c r="G33" s="5"/>
      <c r="H33" s="5"/>
    </row>
    <row r="34" spans="1:8" ht="80" customHeight="1">
      <c r="A34" s="5"/>
      <c r="B34" s="5"/>
      <c r="C34" s="5"/>
      <c r="D34" s="5"/>
      <c r="E34" s="5"/>
      <c r="F34" s="5"/>
      <c r="G34" s="5"/>
      <c r="H34" s="5"/>
    </row>
    <row r="35" spans="1:8" ht="80" customHeight="1">
      <c r="A35" s="5"/>
      <c r="B35" s="5"/>
      <c r="C35" s="5"/>
      <c r="D35" s="5"/>
      <c r="E35" s="5"/>
      <c r="F35" s="5"/>
      <c r="G35" s="5"/>
      <c r="H35" s="5"/>
    </row>
    <row r="36" spans="1:8" ht="80" customHeight="1">
      <c r="A36" s="5"/>
      <c r="B36" s="5"/>
      <c r="C36" s="5"/>
      <c r="D36" s="5"/>
      <c r="E36" s="5"/>
      <c r="F36" s="5"/>
      <c r="G36" s="5"/>
      <c r="H36" s="5"/>
    </row>
    <row r="37" spans="1:8" ht="80" customHeight="1">
      <c r="A37" s="5"/>
      <c r="B37" s="5"/>
      <c r="C37" s="5"/>
      <c r="D37" s="5"/>
      <c r="E37" s="5"/>
      <c r="F37" s="5"/>
      <c r="G37" s="5"/>
      <c r="H37" s="5"/>
    </row>
    <row r="38" spans="1:8" ht="80" customHeight="1">
      <c r="A38" s="5"/>
      <c r="B38" s="5"/>
      <c r="C38" s="5"/>
      <c r="D38" s="5"/>
      <c r="E38" s="5"/>
      <c r="F38" s="5"/>
      <c r="G38" s="5"/>
      <c r="H38" s="5"/>
    </row>
    <row r="39" spans="1:8" ht="80" customHeight="1">
      <c r="A39" s="5"/>
      <c r="B39" s="5"/>
      <c r="C39" s="5"/>
      <c r="D39" s="5"/>
      <c r="E39" s="5"/>
      <c r="F39" s="5"/>
      <c r="G39" s="5"/>
      <c r="H39" s="5"/>
    </row>
    <row r="40" spans="1:8" ht="80" customHeight="1">
      <c r="A40" s="5"/>
      <c r="B40" s="5"/>
      <c r="C40" s="5"/>
      <c r="D40" s="5"/>
      <c r="E40" s="5"/>
      <c r="F40" s="5"/>
      <c r="G40" s="5"/>
      <c r="H40" s="5"/>
    </row>
    <row r="41" spans="1:8" ht="80" customHeight="1">
      <c r="A41" s="5"/>
      <c r="B41" s="5"/>
      <c r="C41" s="5"/>
      <c r="D41" s="5"/>
      <c r="E41" s="5"/>
      <c r="F41" s="5"/>
      <c r="G41" s="5"/>
      <c r="H41" s="5"/>
    </row>
    <row r="42" spans="1:8" ht="80" customHeight="1">
      <c r="A42" s="5"/>
      <c r="B42" s="5"/>
      <c r="C42" s="5"/>
      <c r="D42" s="5"/>
      <c r="E42" s="5"/>
      <c r="F42" s="5"/>
      <c r="G42" s="5"/>
      <c r="H42" s="5"/>
    </row>
    <row r="43" spans="1:8" ht="80" customHeight="1">
      <c r="A43" s="5"/>
      <c r="B43" s="5"/>
      <c r="C43" s="5"/>
      <c r="D43" s="5"/>
      <c r="E43" s="5"/>
      <c r="F43" s="5"/>
      <c r="G43" s="5"/>
      <c r="H43" s="5"/>
    </row>
    <row r="44" spans="1:8" ht="80" customHeight="1">
      <c r="A44" s="5"/>
      <c r="B44" s="5"/>
      <c r="C44" s="5"/>
      <c r="D44" s="5"/>
      <c r="E44" s="5"/>
      <c r="F44" s="5"/>
      <c r="G44" s="5"/>
      <c r="H44" s="5"/>
    </row>
    <row r="45" spans="1:8" ht="80" customHeight="1">
      <c r="A45" s="5"/>
      <c r="B45" s="5"/>
      <c r="C45" s="5"/>
      <c r="D45" s="5"/>
      <c r="E45" s="5"/>
      <c r="F45" s="5"/>
      <c r="G45" s="5"/>
      <c r="H45" s="5"/>
    </row>
    <row r="46" spans="1:8" ht="80" customHeight="1">
      <c r="A46" s="5"/>
      <c r="B46" s="5"/>
      <c r="C46" s="5"/>
      <c r="D46" s="5"/>
      <c r="E46" s="5"/>
      <c r="F46" s="5"/>
      <c r="G46" s="5"/>
      <c r="H46" s="5"/>
    </row>
    <row r="47" spans="1:8" ht="80" customHeight="1">
      <c r="A47" s="5"/>
      <c r="B47" s="5"/>
      <c r="C47" s="5"/>
      <c r="D47" s="5"/>
      <c r="E47" s="5"/>
      <c r="F47" s="5"/>
      <c r="G47" s="5"/>
      <c r="H47" s="5"/>
    </row>
    <row r="48" spans="1:8" ht="80" customHeight="1">
      <c r="A48" s="5"/>
      <c r="B48" s="5"/>
      <c r="C48" s="5"/>
      <c r="D48" s="5"/>
      <c r="E48" s="5"/>
      <c r="F48" s="5"/>
      <c r="G48" s="5"/>
      <c r="H48" s="5"/>
    </row>
    <row r="49" spans="1:8" ht="80" customHeight="1">
      <c r="A49" s="5"/>
      <c r="B49" s="5"/>
      <c r="C49" s="5"/>
      <c r="D49" s="5"/>
      <c r="E49" s="5"/>
      <c r="F49" s="5"/>
      <c r="G49" s="5"/>
      <c r="H49" s="5"/>
    </row>
    <row r="50" spans="1:8" ht="80" customHeight="1">
      <c r="A50" s="5"/>
      <c r="B50" s="5"/>
      <c r="C50" s="5"/>
      <c r="D50" s="5"/>
      <c r="E50" s="5"/>
      <c r="F50" s="5"/>
      <c r="G50" s="5"/>
      <c r="H50" s="5"/>
    </row>
    <row r="51" spans="1:8" ht="80" customHeight="1">
      <c r="A51" s="5"/>
      <c r="B51" s="5"/>
      <c r="C51" s="5"/>
      <c r="D51" s="5"/>
      <c r="E51" s="5"/>
      <c r="F51" s="5"/>
      <c r="G51" s="5"/>
      <c r="H51" s="5"/>
    </row>
    <row r="52" spans="1:8" ht="80" customHeight="1">
      <c r="A52" s="5"/>
      <c r="B52" s="5"/>
      <c r="C52" s="5"/>
      <c r="D52" s="5"/>
      <c r="E52" s="5"/>
      <c r="F52" s="5"/>
      <c r="G52" s="5"/>
      <c r="H52" s="5"/>
    </row>
    <row r="53" spans="1:8" ht="80" customHeight="1">
      <c r="A53" s="5"/>
      <c r="B53" s="5"/>
      <c r="C53" s="5"/>
      <c r="D53" s="5"/>
      <c r="E53" s="5"/>
      <c r="F53" s="5"/>
      <c r="G53" s="5"/>
      <c r="H53" s="5"/>
    </row>
    <row r="54" spans="1:8" ht="80" customHeight="1">
      <c r="A54" s="5"/>
      <c r="B54" s="5"/>
      <c r="C54" s="5"/>
      <c r="D54" s="5"/>
      <c r="E54" s="5"/>
      <c r="F54" s="5"/>
      <c r="G54" s="5"/>
      <c r="H54" s="5"/>
    </row>
    <row r="55" spans="1:8" ht="80" customHeight="1">
      <c r="A55" s="5"/>
      <c r="B55" s="5"/>
      <c r="C55" s="5"/>
      <c r="D55" s="5"/>
      <c r="E55" s="5"/>
      <c r="F55" s="5"/>
      <c r="G55" s="5"/>
      <c r="H55" s="5"/>
    </row>
    <row r="56" spans="1:8" ht="80" customHeight="1">
      <c r="A56" s="5"/>
      <c r="B56" s="5"/>
      <c r="C56" s="5"/>
      <c r="D56" s="5"/>
      <c r="E56" s="5"/>
      <c r="F56" s="5"/>
      <c r="G56" s="5"/>
      <c r="H56" s="5"/>
    </row>
    <row r="57" spans="1:8" ht="80" customHeight="1">
      <c r="A57" s="5"/>
      <c r="B57" s="5"/>
      <c r="C57" s="5"/>
      <c r="D57" s="5"/>
      <c r="E57" s="5"/>
      <c r="F57" s="5"/>
      <c r="G57" s="5"/>
      <c r="H57" s="5"/>
    </row>
  </sheetData>
  <mergeCells count="2">
    <mergeCell ref="A1:J1"/>
    <mergeCell ref="A2:J2"/>
  </mergeCells>
  <conditionalFormatting sqref="G5:G17">
    <cfRule type="expression" dxfId="3" priority="1">
      <formula>G5="Resuelto"</formula>
    </cfRule>
    <cfRule type="expression" dxfId="2" priority="2">
      <formula>G5="Pendiente"</formula>
    </cfRule>
    <cfRule type="expression" dxfId="1" priority="3">
      <formula>G5="Requiere análisis"</formula>
    </cfRule>
    <cfRule type="expression" dxfId="0" priority="4">
      <formula>G5="Fuera de alcance"</formula>
    </cfRule>
  </conditionalFormatting>
  <dataValidations count="2">
    <dataValidation type="list" sqref="G4:G57" xr:uid="{00000000-0002-0000-0400-000000000000}">
      <formula1>"Pendiente,Aprobado,Ajustar,Fuera de alcance,Requiere análisis"</formula1>
    </dataValidation>
    <dataValidation type="list" allowBlank="1" sqref="G5:G17" xr:uid="{00000000-0002-0000-0400-000001000000}">
      <formula1>"Pendiente,Resuelto,Requiere análisis,Fuera de alcance"</formula1>
    </dataValidation>
  </dataValidations>
  <hyperlinks>
    <hyperlink ref="I6" location="'Observaciones Producto'!A14" display="M1-DP-010" xr:uid="{00000000-0004-0000-0400-000000000000}"/>
    <hyperlink ref="I7" location="'Observaciones Producto'!A15" display="M1-DP-011" xr:uid="{00000000-0004-0000-0400-000001000000}"/>
    <hyperlink ref="I9" location="'Observaciones Producto'!A6" display="M1-DP-002" xr:uid="{00000000-0004-0000-0400-000002000000}"/>
    <hyperlink ref="I12" location="'Observaciones Producto'!A7" display="M1-DP-003" xr:uid="{00000000-0004-0000-0400-000003000000}"/>
    <hyperlink ref="I13" location="'Observaciones Producto'!A8" display="M1-DP-004" xr:uid="{00000000-0004-0000-0400-000004000000}"/>
    <hyperlink ref="I15" location="'Observaciones Producto'!A9" display="M1-DP-005" xr:uid="{00000000-0004-0000-0400-000005000000}"/>
    <hyperlink ref="I16" location="'Observaciones Producto'!A10" display="M1-DP-006" xr:uid="{00000000-0004-0000-0400-000006000000}"/>
    <hyperlink ref="I17" location="'Observaciones Producto'!A12" display="M1-DP-008" xr:uid="{00000000-0004-0000-0400-000007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workbookViewId="0">
      <selection activeCell="B16" sqref="B16"/>
    </sheetView>
  </sheetViews>
  <sheetFormatPr baseColWidth="10" defaultColWidth="8.83203125" defaultRowHeight="14"/>
  <cols>
    <col min="1" max="1" width="30" customWidth="1"/>
    <col min="2" max="3" width="16" customWidth="1"/>
    <col min="4" max="4" width="7.5" customWidth="1"/>
    <col min="5" max="5" width="26" customWidth="1"/>
    <col min="6" max="6" width="14" customWidth="1"/>
    <col min="7" max="7" width="29.1640625" customWidth="1"/>
  </cols>
  <sheetData>
    <row r="1" spans="1:7" ht="19" customHeight="1">
      <c r="A1" s="43" t="s">
        <v>1130</v>
      </c>
      <c r="B1" s="41"/>
      <c r="C1" s="41"/>
      <c r="D1" s="41"/>
      <c r="E1" s="41"/>
      <c r="F1" s="41"/>
      <c r="G1" s="41"/>
    </row>
    <row r="3" spans="1:7" ht="15" customHeight="1">
      <c r="A3" s="3" t="s">
        <v>1131</v>
      </c>
      <c r="B3" s="3" t="s">
        <v>1132</v>
      </c>
      <c r="E3" s="47" t="s">
        <v>1133</v>
      </c>
      <c r="F3" s="41"/>
      <c r="G3" s="41"/>
    </row>
    <row r="4" spans="1:7" ht="45" customHeight="1">
      <c r="A4" s="7" t="s">
        <v>1134</v>
      </c>
      <c r="B4" s="7">
        <f>COUNTA('Matriz Trazabilidad'!$A$5:$A$64)</f>
        <v>60</v>
      </c>
      <c r="E4" s="8" t="s">
        <v>1135</v>
      </c>
      <c r="F4" s="8" t="s">
        <v>1136</v>
      </c>
      <c r="G4" s="8" t="s">
        <v>1137</v>
      </c>
    </row>
    <row r="5" spans="1:7" ht="45" customHeight="1">
      <c r="A5" s="7" t="s">
        <v>1138</v>
      </c>
      <c r="B5" s="7">
        <v>34</v>
      </c>
      <c r="E5" s="8" t="s">
        <v>1139</v>
      </c>
      <c r="F5" s="8" t="s">
        <v>1140</v>
      </c>
      <c r="G5" s="8" t="s">
        <v>1141</v>
      </c>
    </row>
    <row r="6" spans="1:7" ht="30" customHeight="1">
      <c r="A6" s="7" t="s">
        <v>1142</v>
      </c>
      <c r="B6" s="7">
        <v>60</v>
      </c>
      <c r="E6" s="8" t="s">
        <v>1143</v>
      </c>
      <c r="F6" s="8" t="s">
        <v>1144</v>
      </c>
      <c r="G6" s="8" t="s">
        <v>1145</v>
      </c>
    </row>
    <row r="7" spans="1:7" ht="45" customHeight="1">
      <c r="A7" s="7" t="s">
        <v>1146</v>
      </c>
      <c r="B7" s="7">
        <f>COUNTIF('Matriz Trazabilidad'!$N$5:$N$64,"Passed")</f>
        <v>21</v>
      </c>
      <c r="E7" s="8" t="s">
        <v>1147</v>
      </c>
      <c r="F7" s="8" t="s">
        <v>1148</v>
      </c>
      <c r="G7" s="8" t="s">
        <v>1149</v>
      </c>
    </row>
    <row r="8" spans="1:7">
      <c r="A8" s="7" t="s">
        <v>1150</v>
      </c>
      <c r="B8" s="7">
        <f>COUNTIF('Matriz Trazabilidad'!$N$5:$N$64,"Pendiente")</f>
        <v>38</v>
      </c>
    </row>
    <row r="9" spans="1:7">
      <c r="A9" s="7" t="s">
        <v>1151</v>
      </c>
      <c r="B9" s="7">
        <f>COUNTA('Pendientes Cliente'!$A$5:$A$17)</f>
        <v>13</v>
      </c>
    </row>
    <row r="10" spans="1:7" ht="66" customHeight="1">
      <c r="A10" s="8" t="s">
        <v>1152</v>
      </c>
      <c r="B10" s="45" t="s">
        <v>1153</v>
      </c>
      <c r="C10" s="41"/>
      <c r="D10" s="23"/>
      <c r="E10" s="8"/>
      <c r="F10" s="8"/>
      <c r="G10" s="8"/>
    </row>
    <row r="12" spans="1:7" ht="37.25" customHeight="1">
      <c r="A12" s="46" t="s">
        <v>1154</v>
      </c>
      <c r="B12" s="41"/>
      <c r="C12" s="41"/>
      <c r="E12" s="46" t="s">
        <v>1155</v>
      </c>
      <c r="F12" s="41"/>
      <c r="G12" s="41"/>
    </row>
    <row r="13" spans="1:7" ht="29.25" customHeight="1">
      <c r="A13" s="14" t="s">
        <v>1156</v>
      </c>
      <c r="B13" s="14" t="s">
        <v>1157</v>
      </c>
      <c r="C13" s="14" t="s">
        <v>1158</v>
      </c>
      <c r="E13" s="14" t="s">
        <v>1054</v>
      </c>
      <c r="F13" s="14" t="s">
        <v>1157</v>
      </c>
      <c r="G13" s="14" t="s">
        <v>1158</v>
      </c>
    </row>
    <row r="14" spans="1:7" ht="29.25" customHeight="1">
      <c r="A14" s="29" t="s">
        <v>39</v>
      </c>
      <c r="B14" s="29">
        <f>COUNTIF('Matriz Trazabilidad'!$R$5:$R$64,"Aprobado")</f>
        <v>42</v>
      </c>
      <c r="C14" s="30">
        <f>IF($B$4=0,0,B14/$B$4)</f>
        <v>0.7</v>
      </c>
      <c r="E14" s="15" t="s">
        <v>66</v>
      </c>
      <c r="F14" s="15">
        <f>COUNTIF('Pendientes Cliente'!$G$5:$G$17,"Pendiente")</f>
        <v>0</v>
      </c>
      <c r="G14" s="16">
        <f>IF($B$9=0,0,F14/$B$9)</f>
        <v>0</v>
      </c>
    </row>
    <row r="15" spans="1:7" ht="29.25" customHeight="1">
      <c r="A15" s="31" t="s">
        <v>66</v>
      </c>
      <c r="B15" s="31">
        <f>COUNTIF('Matriz Trazabilidad'!$R$5:$R$64,"Pendiente")</f>
        <v>0</v>
      </c>
      <c r="C15" s="32">
        <f>IF($B$4=0,0,B15/$B$4)</f>
        <v>0</v>
      </c>
      <c r="E15" s="17" t="s">
        <v>1061</v>
      </c>
      <c r="F15" s="17">
        <f>COUNTIF('Pendientes Cliente'!$G$5:$G$17,"Resuelto")</f>
        <v>13</v>
      </c>
      <c r="G15" s="18">
        <f>IF($B$9=0,0,F15/$B$9)</f>
        <v>1</v>
      </c>
    </row>
    <row r="16" spans="1:7" ht="29.25" customHeight="1">
      <c r="A16" s="33" t="s">
        <v>53</v>
      </c>
      <c r="B16" s="33">
        <f>COUNTIF('Matriz Trazabilidad'!$R$5:$R$64,"Ajustar")</f>
        <v>18</v>
      </c>
      <c r="C16" s="34">
        <f>IF($B$4=0,0,B16/$B$4)</f>
        <v>0.3</v>
      </c>
      <c r="E16" s="19" t="s">
        <v>1159</v>
      </c>
      <c r="F16" s="19">
        <f>COUNTIF('Pendientes Cliente'!$G$5:$G$17,"Requiere análisis")</f>
        <v>0</v>
      </c>
      <c r="G16" s="20">
        <f>IF($B$9=0,0,F16/$B$9)</f>
        <v>0</v>
      </c>
    </row>
    <row r="17" spans="1:7" ht="29.25" customHeight="1">
      <c r="A17" s="35" t="s">
        <v>1160</v>
      </c>
      <c r="B17" s="35">
        <f>COUNTIF('Matriz Trazabilidad'!$R$5:$R$64,"Fuera de alcance")</f>
        <v>0</v>
      </c>
      <c r="C17" s="36">
        <f>IF($B$4=0,0,B17/$B$4)</f>
        <v>0</v>
      </c>
      <c r="E17" s="21" t="s">
        <v>1160</v>
      </c>
      <c r="F17" s="21">
        <f>COUNTIF('Pendientes Cliente'!$G$5:$G$17,"Fuera de alcance")</f>
        <v>0</v>
      </c>
      <c r="G17" s="22">
        <f>IF($B$9=0,0,F17/$B$9)</f>
        <v>0</v>
      </c>
    </row>
    <row r="18" spans="1:7" ht="29.25" customHeight="1">
      <c r="A18" s="9" t="s">
        <v>1159</v>
      </c>
      <c r="B18" s="9">
        <f>COUNTIF('Matriz Trazabilidad'!$R$5:$R$64,"Requiere análisis")</f>
        <v>0</v>
      </c>
      <c r="C18" s="10">
        <f>IF($B$4=0,0,B18/$B$4)</f>
        <v>0</v>
      </c>
    </row>
    <row r="19" spans="1:7" ht="29.25" customHeight="1"/>
    <row r="20" spans="1:7" ht="29.25" customHeight="1">
      <c r="A20" s="37" t="s">
        <v>1161</v>
      </c>
      <c r="B20" s="38">
        <f>SUM(B14,B16:B18)</f>
        <v>60</v>
      </c>
    </row>
    <row r="21" spans="1:7" ht="29.25" customHeight="1">
      <c r="A21" s="37" t="s">
        <v>1162</v>
      </c>
      <c r="B21" s="39">
        <f>IF($B$4=0,0,B20/$B$4)</f>
        <v>1</v>
      </c>
    </row>
    <row r="22" spans="1:7" ht="29.25" customHeight="1">
      <c r="A22" s="37" t="s">
        <v>1163</v>
      </c>
      <c r="B22" s="39">
        <f>IF(B20=0,0,B14/B20)</f>
        <v>0.7</v>
      </c>
    </row>
  </sheetData>
  <mergeCells count="5">
    <mergeCell ref="A1:G1"/>
    <mergeCell ref="B10:C10"/>
    <mergeCell ref="E12:G12"/>
    <mergeCell ref="E3:G3"/>
    <mergeCell ref="A12:C12"/>
  </mergeCells>
  <conditionalFormatting sqref="B21:B22">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{DA12C461-A72D-FADC-ED1B-42B2A151D9C7}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12C461-A72D-FADC-ED1B-42B2A151D9C7}">
            <x14:dataBar>
              <x14:cfvo type="min"/>
              <x14:cfvo type="max"/>
              <x14:negativeFillColor auto="1"/>
              <x14:axisColor auto="1"/>
            </x14:dataBar>
          </x14:cfRule>
          <xm:sqref>B21:B22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5"/>
  <sheetViews>
    <sheetView workbookViewId="0">
      <pane ySplit="4" topLeftCell="A5" activePane="bottomLeft" state="frozen"/>
      <selection pane="bottomLeft" sqref="A1:Q1"/>
    </sheetView>
  </sheetViews>
  <sheetFormatPr baseColWidth="10" defaultColWidth="8.83203125" defaultRowHeight="14"/>
  <cols>
    <col min="1" max="1" width="15" customWidth="1"/>
    <col min="2" max="2" width="18" customWidth="1"/>
    <col min="3" max="3" width="24" customWidth="1"/>
    <col min="4" max="5" width="55" customWidth="1"/>
    <col min="6" max="6" width="26" customWidth="1"/>
    <col min="7" max="7" width="42" customWidth="1"/>
    <col min="8" max="8" width="22" customWidth="1"/>
    <col min="9" max="9" width="12" customWidth="1"/>
    <col min="10" max="11" width="18" customWidth="1"/>
    <col min="12" max="12" width="42" customWidth="1"/>
    <col min="13" max="13" width="24" customWidth="1"/>
    <col min="14" max="14" width="48" customWidth="1"/>
    <col min="15" max="15" width="24" customWidth="1"/>
    <col min="16" max="16" width="28" customWidth="1"/>
    <col min="17" max="17" width="48" customWidth="1"/>
  </cols>
  <sheetData>
    <row r="1" spans="1:17" ht="34.75" customHeight="1">
      <c r="A1" s="49" t="s">
        <v>1164</v>
      </c>
      <c r="B1" s="41"/>
      <c r="C1" s="41"/>
      <c r="D1" s="41"/>
      <c r="E1" s="41"/>
      <c r="F1" s="41"/>
      <c r="G1" s="41"/>
      <c r="H1" s="41"/>
      <c r="I1" s="41"/>
      <c r="J1" s="41"/>
      <c r="K1" s="41"/>
      <c r="L1" s="41"/>
      <c r="M1" s="41"/>
      <c r="N1" s="41"/>
      <c r="O1" s="41"/>
      <c r="P1" s="41"/>
      <c r="Q1" s="41"/>
    </row>
    <row r="2" spans="1:17" ht="48" customHeight="1">
      <c r="A2" s="48" t="s">
        <v>1165</v>
      </c>
      <c r="B2" s="41"/>
      <c r="C2" s="41"/>
      <c r="D2" s="41"/>
      <c r="E2" s="41"/>
      <c r="F2" s="41"/>
      <c r="G2" s="41"/>
      <c r="H2" s="41"/>
      <c r="I2" s="41"/>
      <c r="J2" s="41"/>
      <c r="K2" s="41"/>
      <c r="L2" s="41"/>
      <c r="M2" s="41"/>
      <c r="N2" s="41"/>
      <c r="O2" s="41"/>
      <c r="P2" s="41"/>
      <c r="Q2" s="41"/>
    </row>
    <row r="4" spans="1:17" ht="45" customHeight="1">
      <c r="A4" s="26" t="s">
        <v>1166</v>
      </c>
      <c r="B4" s="26" t="s">
        <v>1167</v>
      </c>
      <c r="C4" s="26" t="s">
        <v>1168</v>
      </c>
      <c r="D4" s="26" t="s">
        <v>1169</v>
      </c>
      <c r="E4" s="26" t="s">
        <v>1170</v>
      </c>
      <c r="F4" s="26" t="s">
        <v>1171</v>
      </c>
      <c r="G4" s="26" t="s">
        <v>1172</v>
      </c>
      <c r="H4" s="26" t="s">
        <v>1173</v>
      </c>
      <c r="I4" s="26" t="s">
        <v>1174</v>
      </c>
      <c r="J4" s="26" t="s">
        <v>1175</v>
      </c>
      <c r="K4" s="26" t="s">
        <v>1176</v>
      </c>
      <c r="L4" s="26" t="s">
        <v>1177</v>
      </c>
      <c r="M4" s="26" t="s">
        <v>1178</v>
      </c>
      <c r="N4" s="26" t="s">
        <v>1179</v>
      </c>
      <c r="O4" s="26" t="s">
        <v>1180</v>
      </c>
      <c r="P4" s="26" t="s">
        <v>1181</v>
      </c>
      <c r="Q4" s="26" t="s">
        <v>1182</v>
      </c>
    </row>
    <row r="5" spans="1:17" ht="84" customHeight="1">
      <c r="A5" s="25" t="s">
        <v>40</v>
      </c>
      <c r="B5" s="25" t="s">
        <v>786</v>
      </c>
      <c r="C5" s="25" t="s">
        <v>1183</v>
      </c>
      <c r="D5" s="25" t="s">
        <v>1184</v>
      </c>
      <c r="E5" s="25" t="s">
        <v>1185</v>
      </c>
      <c r="F5" s="25" t="s">
        <v>1186</v>
      </c>
      <c r="G5" s="25" t="s">
        <v>1187</v>
      </c>
      <c r="H5" s="25" t="s">
        <v>1188</v>
      </c>
      <c r="I5" s="25" t="s">
        <v>1189</v>
      </c>
      <c r="J5" s="25" t="s">
        <v>1190</v>
      </c>
      <c r="K5" s="25" t="s">
        <v>1191</v>
      </c>
      <c r="L5" s="25" t="s">
        <v>1192</v>
      </c>
      <c r="M5" s="25" t="s">
        <v>1193</v>
      </c>
      <c r="N5" s="25" t="s">
        <v>1194</v>
      </c>
      <c r="O5" s="25" t="s">
        <v>1195</v>
      </c>
      <c r="P5" s="25" t="s">
        <v>1196</v>
      </c>
      <c r="Q5" s="25" t="s">
        <v>1197</v>
      </c>
    </row>
    <row r="6" spans="1:17" ht="84" customHeight="1">
      <c r="A6" s="25" t="s">
        <v>132</v>
      </c>
      <c r="B6" s="25" t="s">
        <v>120</v>
      </c>
      <c r="C6" s="25" t="s">
        <v>1198</v>
      </c>
      <c r="D6" s="25" t="s">
        <v>1199</v>
      </c>
      <c r="E6" s="25" t="s">
        <v>1200</v>
      </c>
      <c r="F6" s="25" t="s">
        <v>1201</v>
      </c>
      <c r="G6" s="25" t="s">
        <v>1202</v>
      </c>
      <c r="H6" s="25" t="s">
        <v>1188</v>
      </c>
      <c r="I6" s="25" t="s">
        <v>1203</v>
      </c>
      <c r="J6" s="25" t="s">
        <v>1190</v>
      </c>
      <c r="K6" s="25" t="s">
        <v>1191</v>
      </c>
      <c r="L6" s="25" t="s">
        <v>1204</v>
      </c>
      <c r="M6" s="25" t="s">
        <v>1205</v>
      </c>
      <c r="N6" s="25" t="s">
        <v>1206</v>
      </c>
      <c r="O6" s="25" t="s">
        <v>1195</v>
      </c>
      <c r="P6" s="25" t="s">
        <v>1207</v>
      </c>
      <c r="Q6" s="25" t="s">
        <v>1197</v>
      </c>
    </row>
    <row r="7" spans="1:17" ht="84" customHeight="1">
      <c r="A7" s="25" t="s">
        <v>235</v>
      </c>
      <c r="B7" s="25" t="s">
        <v>829</v>
      </c>
      <c r="C7" s="25" t="s">
        <v>1183</v>
      </c>
      <c r="D7" s="25" t="s">
        <v>1208</v>
      </c>
      <c r="E7" s="25" t="s">
        <v>1209</v>
      </c>
      <c r="F7" s="25" t="s">
        <v>1210</v>
      </c>
      <c r="G7" s="25" t="s">
        <v>1211</v>
      </c>
      <c r="H7" s="25" t="s">
        <v>1188</v>
      </c>
      <c r="I7" s="25" t="s">
        <v>1203</v>
      </c>
      <c r="J7" s="25" t="s">
        <v>1190</v>
      </c>
      <c r="K7" s="25" t="s">
        <v>1191</v>
      </c>
      <c r="L7" s="25" t="s">
        <v>1212</v>
      </c>
      <c r="M7" s="25" t="s">
        <v>1213</v>
      </c>
      <c r="N7" s="25" t="s">
        <v>1214</v>
      </c>
      <c r="O7" s="25" t="s">
        <v>1195</v>
      </c>
      <c r="P7" s="25" t="s">
        <v>1215</v>
      </c>
      <c r="Q7" s="25" t="s">
        <v>1197</v>
      </c>
    </row>
    <row r="8" spans="1:17" ht="84" customHeight="1">
      <c r="A8" s="25" t="s">
        <v>98</v>
      </c>
      <c r="B8" s="25" t="s">
        <v>85</v>
      </c>
      <c r="C8" s="25" t="s">
        <v>1216</v>
      </c>
      <c r="D8" s="25" t="s">
        <v>1217</v>
      </c>
      <c r="E8" s="25" t="s">
        <v>1218</v>
      </c>
      <c r="F8" s="25" t="s">
        <v>1219</v>
      </c>
      <c r="G8" s="25" t="s">
        <v>1220</v>
      </c>
      <c r="H8" s="25" t="s">
        <v>1188</v>
      </c>
      <c r="I8" s="25" t="s">
        <v>1221</v>
      </c>
      <c r="J8" s="25" t="s">
        <v>1222</v>
      </c>
      <c r="K8" s="25" t="s">
        <v>1191</v>
      </c>
      <c r="L8" s="25" t="s">
        <v>1223</v>
      </c>
      <c r="M8" s="25" t="s">
        <v>1224</v>
      </c>
      <c r="N8" s="25" t="s">
        <v>1225</v>
      </c>
      <c r="O8" s="25" t="s">
        <v>1226</v>
      </c>
      <c r="P8" s="25" t="s">
        <v>1227</v>
      </c>
      <c r="Q8" s="25" t="s">
        <v>1197</v>
      </c>
    </row>
    <row r="9" spans="1:17" ht="84" customHeight="1">
      <c r="A9" s="25" t="s">
        <v>347</v>
      </c>
      <c r="B9" s="25" t="s">
        <v>333</v>
      </c>
      <c r="C9" s="25" t="s">
        <v>1228</v>
      </c>
      <c r="D9" s="25" t="s">
        <v>1229</v>
      </c>
      <c r="E9" s="25" t="s">
        <v>1230</v>
      </c>
      <c r="F9" s="25" t="s">
        <v>1231</v>
      </c>
      <c r="G9" s="25" t="s">
        <v>1232</v>
      </c>
      <c r="H9" s="25" t="s">
        <v>1188</v>
      </c>
      <c r="I9" s="25" t="s">
        <v>1203</v>
      </c>
      <c r="J9" s="25" t="s">
        <v>1190</v>
      </c>
      <c r="K9" s="25" t="s">
        <v>1233</v>
      </c>
      <c r="L9" s="25" t="s">
        <v>1234</v>
      </c>
      <c r="M9" s="25" t="s">
        <v>1235</v>
      </c>
      <c r="N9" s="25" t="s">
        <v>1236</v>
      </c>
      <c r="O9" s="25" t="s">
        <v>1237</v>
      </c>
      <c r="P9" s="25" t="s">
        <v>1238</v>
      </c>
      <c r="Q9" s="25" t="s">
        <v>1197</v>
      </c>
    </row>
    <row r="10" spans="1:17" ht="84" customHeight="1">
      <c r="A10" s="25" t="s">
        <v>1239</v>
      </c>
      <c r="B10" s="25" t="s">
        <v>1240</v>
      </c>
      <c r="C10" s="25" t="s">
        <v>1241</v>
      </c>
      <c r="D10" s="25" t="s">
        <v>1242</v>
      </c>
      <c r="E10" s="25" t="s">
        <v>1243</v>
      </c>
      <c r="F10" s="25" t="s">
        <v>1244</v>
      </c>
      <c r="G10" s="25" t="s">
        <v>1245</v>
      </c>
      <c r="H10" s="25" t="s">
        <v>1188</v>
      </c>
      <c r="I10" s="25" t="s">
        <v>1189</v>
      </c>
      <c r="J10" s="25" t="s">
        <v>1190</v>
      </c>
      <c r="K10" s="25" t="s">
        <v>1233</v>
      </c>
      <c r="L10" s="25" t="s">
        <v>1246</v>
      </c>
      <c r="M10" s="25" t="s">
        <v>1247</v>
      </c>
      <c r="N10" s="25" t="s">
        <v>1248</v>
      </c>
      <c r="O10" s="25" t="s">
        <v>1249</v>
      </c>
      <c r="P10" s="25" t="s">
        <v>1250</v>
      </c>
      <c r="Q10" s="25" t="s">
        <v>1197</v>
      </c>
    </row>
    <row r="11" spans="1:17" ht="84" customHeight="1">
      <c r="A11" s="25" t="s">
        <v>318</v>
      </c>
      <c r="B11" s="25" t="s">
        <v>1251</v>
      </c>
      <c r="C11" s="25" t="s">
        <v>1252</v>
      </c>
      <c r="D11" s="25" t="s">
        <v>1253</v>
      </c>
      <c r="E11" s="25" t="s">
        <v>1254</v>
      </c>
      <c r="F11" s="25" t="s">
        <v>1255</v>
      </c>
      <c r="G11" s="25" t="s">
        <v>1256</v>
      </c>
      <c r="H11" s="25" t="s">
        <v>1188</v>
      </c>
      <c r="I11" s="25" t="s">
        <v>1203</v>
      </c>
      <c r="J11" s="25" t="s">
        <v>1190</v>
      </c>
      <c r="K11" s="25" t="s">
        <v>1233</v>
      </c>
      <c r="L11" s="25" t="s">
        <v>1257</v>
      </c>
      <c r="M11" s="25" t="s">
        <v>1258</v>
      </c>
      <c r="N11" s="25" t="s">
        <v>1259</v>
      </c>
      <c r="O11" s="25" t="s">
        <v>1260</v>
      </c>
      <c r="P11" s="25" t="s">
        <v>1261</v>
      </c>
      <c r="Q11" s="25" t="s">
        <v>1197</v>
      </c>
    </row>
    <row r="12" spans="1:17" ht="84" customHeight="1">
      <c r="A12" s="25" t="s">
        <v>1262</v>
      </c>
      <c r="B12" s="25" t="s">
        <v>637</v>
      </c>
      <c r="C12" s="25" t="s">
        <v>1263</v>
      </c>
      <c r="D12" s="25" t="s">
        <v>1264</v>
      </c>
      <c r="E12" s="25" t="s">
        <v>1265</v>
      </c>
      <c r="F12" s="25" t="s">
        <v>1266</v>
      </c>
      <c r="G12" s="25" t="s">
        <v>1267</v>
      </c>
      <c r="H12" s="25" t="s">
        <v>1188</v>
      </c>
      <c r="I12" s="25" t="s">
        <v>1203</v>
      </c>
      <c r="J12" s="25" t="s">
        <v>1190</v>
      </c>
      <c r="K12" s="25" t="s">
        <v>1233</v>
      </c>
      <c r="L12" s="25" t="s">
        <v>1268</v>
      </c>
      <c r="M12" s="25" t="s">
        <v>1269</v>
      </c>
      <c r="N12" s="25" t="s">
        <v>1270</v>
      </c>
      <c r="O12" s="25" t="s">
        <v>1271</v>
      </c>
      <c r="P12" s="25" t="s">
        <v>1272</v>
      </c>
      <c r="Q12" s="25" t="s">
        <v>1197</v>
      </c>
    </row>
    <row r="13" spans="1:17" ht="84" customHeight="1">
      <c r="A13" s="25" t="s">
        <v>421</v>
      </c>
      <c r="B13" s="25" t="s">
        <v>407</v>
      </c>
      <c r="C13" s="25" t="s">
        <v>1183</v>
      </c>
      <c r="D13" s="25" t="s">
        <v>1273</v>
      </c>
      <c r="E13" s="25" t="s">
        <v>1274</v>
      </c>
      <c r="F13" s="25" t="s">
        <v>1275</v>
      </c>
      <c r="G13" s="25" t="s">
        <v>1276</v>
      </c>
      <c r="H13" s="25" t="s">
        <v>1188</v>
      </c>
      <c r="I13" s="25" t="s">
        <v>1203</v>
      </c>
      <c r="J13" s="25" t="s">
        <v>1190</v>
      </c>
      <c r="K13" s="25" t="s">
        <v>1191</v>
      </c>
      <c r="L13" s="25" t="s">
        <v>1277</v>
      </c>
      <c r="M13" s="25" t="s">
        <v>1278</v>
      </c>
      <c r="N13" s="25" t="s">
        <v>1279</v>
      </c>
      <c r="O13" s="25" t="s">
        <v>1280</v>
      </c>
      <c r="P13" s="25" t="s">
        <v>1281</v>
      </c>
      <c r="Q13" s="25" t="s">
        <v>1197</v>
      </c>
    </row>
    <row r="14" spans="1:17" ht="84" customHeight="1">
      <c r="A14" s="25" t="s">
        <v>455</v>
      </c>
      <c r="B14" s="25" t="s">
        <v>407</v>
      </c>
      <c r="C14" s="25" t="s">
        <v>1282</v>
      </c>
      <c r="D14" s="25" t="s">
        <v>1283</v>
      </c>
      <c r="E14" s="25" t="s">
        <v>1284</v>
      </c>
      <c r="F14" s="25" t="s">
        <v>1285</v>
      </c>
      <c r="G14" s="25" t="s">
        <v>1286</v>
      </c>
      <c r="H14" s="25" t="s">
        <v>1188</v>
      </c>
      <c r="I14" s="25" t="s">
        <v>1189</v>
      </c>
      <c r="J14" s="25" t="s">
        <v>1190</v>
      </c>
      <c r="K14" s="25" t="s">
        <v>1233</v>
      </c>
      <c r="L14" s="25" t="s">
        <v>1287</v>
      </c>
      <c r="M14" s="25" t="s">
        <v>1288</v>
      </c>
      <c r="N14" s="25" t="s">
        <v>1289</v>
      </c>
      <c r="O14" s="25" t="s">
        <v>1280</v>
      </c>
      <c r="P14" s="25" t="s">
        <v>1290</v>
      </c>
      <c r="Q14" s="25" t="s">
        <v>1197</v>
      </c>
    </row>
    <row r="15" spans="1:17" ht="84" customHeight="1">
      <c r="A15" s="25" t="s">
        <v>1291</v>
      </c>
      <c r="B15" s="25" t="s">
        <v>1292</v>
      </c>
      <c r="C15" s="25" t="s">
        <v>1293</v>
      </c>
      <c r="D15" s="25" t="s">
        <v>1294</v>
      </c>
      <c r="E15" s="25" t="s">
        <v>1295</v>
      </c>
      <c r="F15" s="25" t="s">
        <v>1296</v>
      </c>
      <c r="G15" s="25" t="s">
        <v>1297</v>
      </c>
      <c r="H15" s="25" t="s">
        <v>1188</v>
      </c>
      <c r="I15" s="25" t="s">
        <v>1203</v>
      </c>
      <c r="J15" s="25" t="s">
        <v>1190</v>
      </c>
      <c r="K15" s="25" t="s">
        <v>1233</v>
      </c>
      <c r="L15" s="25" t="s">
        <v>1298</v>
      </c>
      <c r="M15" s="25" t="s">
        <v>1299</v>
      </c>
      <c r="N15" s="25" t="s">
        <v>1300</v>
      </c>
      <c r="O15" s="25" t="s">
        <v>1280</v>
      </c>
      <c r="P15" s="25" t="s">
        <v>1301</v>
      </c>
      <c r="Q15" s="25" t="s">
        <v>1197</v>
      </c>
    </row>
    <row r="16" spans="1:17" ht="84" customHeight="1">
      <c r="A16" s="25" t="s">
        <v>1302</v>
      </c>
      <c r="B16" s="25" t="s">
        <v>540</v>
      </c>
      <c r="C16" s="25" t="s">
        <v>1303</v>
      </c>
      <c r="D16" s="25" t="s">
        <v>1304</v>
      </c>
      <c r="E16" s="25" t="s">
        <v>1305</v>
      </c>
      <c r="F16" s="25" t="s">
        <v>1296</v>
      </c>
      <c r="G16" s="25" t="s">
        <v>1306</v>
      </c>
      <c r="H16" s="25" t="s">
        <v>1188</v>
      </c>
      <c r="I16" s="25" t="s">
        <v>1203</v>
      </c>
      <c r="J16" s="25" t="s">
        <v>1190</v>
      </c>
      <c r="K16" s="25" t="s">
        <v>1233</v>
      </c>
      <c r="L16" s="25" t="s">
        <v>1307</v>
      </c>
      <c r="M16" s="25" t="s">
        <v>1308</v>
      </c>
      <c r="N16" s="25" t="s">
        <v>1309</v>
      </c>
      <c r="O16" s="25" t="s">
        <v>1271</v>
      </c>
      <c r="P16" s="25" t="s">
        <v>1310</v>
      </c>
      <c r="Q16" s="25" t="s">
        <v>1197</v>
      </c>
    </row>
    <row r="17" spans="1:17" ht="84" customHeight="1">
      <c r="A17" s="25" t="s">
        <v>1311</v>
      </c>
      <c r="B17" s="25" t="s">
        <v>540</v>
      </c>
      <c r="C17" s="25" t="s">
        <v>1312</v>
      </c>
      <c r="D17" s="25" t="s">
        <v>1313</v>
      </c>
      <c r="E17" s="25" t="s">
        <v>1314</v>
      </c>
      <c r="F17" s="25" t="s">
        <v>1285</v>
      </c>
      <c r="G17" s="25" t="s">
        <v>1315</v>
      </c>
      <c r="H17" s="25" t="s">
        <v>1188</v>
      </c>
      <c r="I17" s="25" t="s">
        <v>1203</v>
      </c>
      <c r="J17" s="25" t="s">
        <v>1190</v>
      </c>
      <c r="K17" s="25" t="s">
        <v>1233</v>
      </c>
      <c r="L17" s="25" t="s">
        <v>1316</v>
      </c>
      <c r="M17" s="25" t="s">
        <v>1317</v>
      </c>
      <c r="N17" s="25" t="s">
        <v>1318</v>
      </c>
      <c r="O17" s="25" t="s">
        <v>1319</v>
      </c>
      <c r="P17" s="25" t="s">
        <v>1301</v>
      </c>
      <c r="Q17" s="25" t="s">
        <v>1197</v>
      </c>
    </row>
    <row r="18" spans="1:17" ht="84" customHeight="1">
      <c r="A18" s="25" t="s">
        <v>1320</v>
      </c>
      <c r="B18" s="25" t="s">
        <v>1321</v>
      </c>
      <c r="C18" s="25" t="s">
        <v>1322</v>
      </c>
      <c r="D18" s="25" t="s">
        <v>1323</v>
      </c>
      <c r="E18" s="25" t="s">
        <v>1324</v>
      </c>
      <c r="F18" s="25" t="s">
        <v>1325</v>
      </c>
      <c r="G18" s="25" t="s">
        <v>1326</v>
      </c>
      <c r="H18" s="25" t="s">
        <v>1188</v>
      </c>
      <c r="I18" s="25" t="s">
        <v>1189</v>
      </c>
      <c r="J18" s="25" t="s">
        <v>1190</v>
      </c>
      <c r="K18" s="25" t="s">
        <v>1191</v>
      </c>
      <c r="L18" s="25" t="s">
        <v>1327</v>
      </c>
      <c r="M18" s="25" t="s">
        <v>1328</v>
      </c>
      <c r="N18" s="25" t="s">
        <v>1329</v>
      </c>
      <c r="O18" s="25" t="s">
        <v>1271</v>
      </c>
      <c r="P18" s="25" t="s">
        <v>1330</v>
      </c>
      <c r="Q18" s="25" t="s">
        <v>1197</v>
      </c>
    </row>
    <row r="19" spans="1:17" ht="115" customHeight="1">
      <c r="A19" s="25" t="s">
        <v>1331</v>
      </c>
      <c r="B19" s="25" t="s">
        <v>1332</v>
      </c>
      <c r="C19" s="25" t="s">
        <v>1333</v>
      </c>
      <c r="D19" s="25" t="s">
        <v>1334</v>
      </c>
      <c r="E19" s="25" t="s">
        <v>1335</v>
      </c>
      <c r="F19" s="25" t="s">
        <v>1336</v>
      </c>
      <c r="G19" s="25" t="s">
        <v>1337</v>
      </c>
      <c r="H19" s="25" t="s">
        <v>1188</v>
      </c>
      <c r="I19" s="25" t="s">
        <v>1203</v>
      </c>
      <c r="J19" s="25" t="s">
        <v>1190</v>
      </c>
      <c r="K19" s="25" t="s">
        <v>1233</v>
      </c>
      <c r="L19" s="25" t="s">
        <v>1338</v>
      </c>
      <c r="M19" s="25" t="s">
        <v>1339</v>
      </c>
      <c r="N19" s="25" t="s">
        <v>1340</v>
      </c>
      <c r="O19" s="25" t="s">
        <v>1341</v>
      </c>
      <c r="P19" s="25" t="s">
        <v>1342</v>
      </c>
      <c r="Q19" s="25" t="s">
        <v>1197</v>
      </c>
    </row>
    <row r="20" spans="1:17" ht="84" customHeight="1">
      <c r="A20" s="25" t="s">
        <v>1343</v>
      </c>
      <c r="B20" s="25" t="s">
        <v>1344</v>
      </c>
      <c r="C20" s="25" t="s">
        <v>1345</v>
      </c>
      <c r="D20" s="25" t="s">
        <v>1346</v>
      </c>
      <c r="E20" s="25" t="s">
        <v>1347</v>
      </c>
      <c r="F20" s="25" t="s">
        <v>1348</v>
      </c>
      <c r="G20" s="25" t="s">
        <v>1349</v>
      </c>
      <c r="H20" s="25" t="s">
        <v>1188</v>
      </c>
      <c r="I20" s="25" t="s">
        <v>1203</v>
      </c>
      <c r="J20" s="25" t="s">
        <v>1190</v>
      </c>
      <c r="K20" s="25" t="s">
        <v>1233</v>
      </c>
      <c r="L20" s="25" t="s">
        <v>1350</v>
      </c>
      <c r="M20" s="25" t="s">
        <v>1351</v>
      </c>
      <c r="N20" s="25" t="s">
        <v>1352</v>
      </c>
      <c r="O20" s="25" t="s">
        <v>1353</v>
      </c>
      <c r="P20" s="25" t="s">
        <v>1354</v>
      </c>
      <c r="Q20" s="25" t="s">
        <v>1197</v>
      </c>
    </row>
    <row r="21" spans="1:17" ht="84" customHeight="1">
      <c r="A21" s="25" t="s">
        <v>1355</v>
      </c>
      <c r="B21" s="25" t="s">
        <v>1356</v>
      </c>
      <c r="C21" s="25" t="s">
        <v>1357</v>
      </c>
      <c r="D21" s="25" t="s">
        <v>1358</v>
      </c>
      <c r="E21" s="25" t="s">
        <v>1359</v>
      </c>
      <c r="F21" s="25" t="s">
        <v>1360</v>
      </c>
      <c r="G21" s="25" t="s">
        <v>1361</v>
      </c>
      <c r="H21" s="25" t="s">
        <v>1188</v>
      </c>
      <c r="I21" s="25" t="s">
        <v>1189</v>
      </c>
      <c r="J21" s="25" t="s">
        <v>1190</v>
      </c>
      <c r="K21" s="25" t="s">
        <v>1362</v>
      </c>
      <c r="L21" s="25" t="s">
        <v>1363</v>
      </c>
      <c r="M21" s="25" t="s">
        <v>1364</v>
      </c>
      <c r="N21" s="25" t="s">
        <v>1365</v>
      </c>
      <c r="O21" s="25" t="s">
        <v>1366</v>
      </c>
      <c r="P21" s="25"/>
      <c r="Q21" s="25" t="s">
        <v>1197</v>
      </c>
    </row>
    <row r="22" spans="1:17" ht="84" customHeight="1">
      <c r="A22" s="25" t="s">
        <v>1367</v>
      </c>
      <c r="B22" s="25" t="s">
        <v>916</v>
      </c>
      <c r="C22" s="25" t="s">
        <v>1368</v>
      </c>
      <c r="D22" s="25" t="s">
        <v>1369</v>
      </c>
      <c r="E22" s="25" t="s">
        <v>1370</v>
      </c>
      <c r="F22" s="25" t="s">
        <v>1360</v>
      </c>
      <c r="G22" s="25" t="s">
        <v>1371</v>
      </c>
      <c r="H22" s="25" t="s">
        <v>1188</v>
      </c>
      <c r="I22" s="25" t="s">
        <v>1189</v>
      </c>
      <c r="J22" s="25" t="s">
        <v>1222</v>
      </c>
      <c r="K22" s="25" t="s">
        <v>1362</v>
      </c>
      <c r="L22" s="25" t="s">
        <v>1372</v>
      </c>
      <c r="M22" s="25" t="s">
        <v>1373</v>
      </c>
      <c r="N22" s="25" t="s">
        <v>1374</v>
      </c>
      <c r="O22" s="25" t="s">
        <v>1375</v>
      </c>
      <c r="P22" s="25"/>
      <c r="Q22" s="25" t="s">
        <v>1197</v>
      </c>
    </row>
    <row r="23" spans="1:17" ht="84" customHeight="1">
      <c r="A23" s="25" t="s">
        <v>1376</v>
      </c>
      <c r="B23" s="25" t="s">
        <v>1377</v>
      </c>
      <c r="C23" s="25" t="s">
        <v>1378</v>
      </c>
      <c r="D23" s="25" t="s">
        <v>1379</v>
      </c>
      <c r="E23" s="25" t="s">
        <v>1380</v>
      </c>
      <c r="F23" s="25" t="s">
        <v>1381</v>
      </c>
      <c r="G23" s="25" t="s">
        <v>1382</v>
      </c>
      <c r="H23" s="25" t="s">
        <v>1188</v>
      </c>
      <c r="I23" s="25" t="s">
        <v>1189</v>
      </c>
      <c r="J23" s="25" t="s">
        <v>1190</v>
      </c>
      <c r="K23" s="25" t="s">
        <v>1191</v>
      </c>
      <c r="L23" s="25" t="s">
        <v>1383</v>
      </c>
      <c r="M23" s="25" t="s">
        <v>1384</v>
      </c>
      <c r="N23" s="25" t="s">
        <v>1385</v>
      </c>
      <c r="O23" s="25" t="s">
        <v>1386</v>
      </c>
      <c r="P23" s="25"/>
      <c r="Q23" s="25" t="s">
        <v>1197</v>
      </c>
    </row>
    <row r="24" spans="1:17" ht="95" customHeight="1">
      <c r="A24" s="25" t="s">
        <v>1387</v>
      </c>
      <c r="B24" s="25" t="s">
        <v>1240</v>
      </c>
      <c r="C24" s="25" t="s">
        <v>1388</v>
      </c>
      <c r="D24" s="25" t="s">
        <v>1389</v>
      </c>
      <c r="E24" s="25" t="s">
        <v>1390</v>
      </c>
      <c r="F24" s="25" t="s">
        <v>1391</v>
      </c>
      <c r="G24" s="25" t="s">
        <v>1392</v>
      </c>
      <c r="H24" s="25" t="s">
        <v>1393</v>
      </c>
      <c r="I24" s="25"/>
      <c r="J24" s="25"/>
      <c r="K24" s="25" t="s">
        <v>1394</v>
      </c>
      <c r="L24" s="25"/>
      <c r="M24" s="25"/>
      <c r="N24" s="25" t="s">
        <v>1395</v>
      </c>
      <c r="O24" s="25" t="s">
        <v>1396</v>
      </c>
      <c r="P24" s="25" t="s">
        <v>1250</v>
      </c>
      <c r="Q24" s="25" t="s">
        <v>1397</v>
      </c>
    </row>
    <row r="25" spans="1:17" ht="95" customHeight="1">
      <c r="A25" s="25" t="s">
        <v>1398</v>
      </c>
      <c r="B25" s="25" t="s">
        <v>1240</v>
      </c>
      <c r="C25" s="25" t="s">
        <v>1399</v>
      </c>
      <c r="D25" s="25" t="s">
        <v>1400</v>
      </c>
      <c r="E25" s="25" t="s">
        <v>1401</v>
      </c>
      <c r="F25" s="25" t="s">
        <v>1391</v>
      </c>
      <c r="G25" s="25" t="s">
        <v>1402</v>
      </c>
      <c r="H25" s="25" t="s">
        <v>1393</v>
      </c>
      <c r="I25" s="25"/>
      <c r="J25" s="25"/>
      <c r="K25" s="25" t="s">
        <v>1394</v>
      </c>
      <c r="L25" s="25"/>
      <c r="M25" s="25"/>
      <c r="N25" s="25" t="s">
        <v>1403</v>
      </c>
      <c r="O25" s="25" t="s">
        <v>1404</v>
      </c>
      <c r="P25" s="25" t="s">
        <v>348</v>
      </c>
      <c r="Q25" s="25" t="s">
        <v>1397</v>
      </c>
    </row>
    <row r="26" spans="1:17" ht="84" customHeight="1">
      <c r="A26" s="25" t="s">
        <v>1405</v>
      </c>
      <c r="B26" s="25" t="s">
        <v>1240</v>
      </c>
      <c r="C26" s="25" t="s">
        <v>1406</v>
      </c>
      <c r="D26" s="25" t="s">
        <v>1407</v>
      </c>
      <c r="E26" s="25" t="s">
        <v>1408</v>
      </c>
      <c r="F26" s="25" t="s">
        <v>1391</v>
      </c>
      <c r="G26" s="25" t="s">
        <v>1402</v>
      </c>
      <c r="H26" s="25" t="s">
        <v>1393</v>
      </c>
      <c r="I26" s="25"/>
      <c r="J26" s="25"/>
      <c r="K26" s="25" t="s">
        <v>1394</v>
      </c>
      <c r="L26" s="25"/>
      <c r="M26" s="25"/>
      <c r="N26" s="25" t="s">
        <v>1409</v>
      </c>
      <c r="O26" s="25" t="s">
        <v>1404</v>
      </c>
      <c r="P26" s="25" t="s">
        <v>348</v>
      </c>
      <c r="Q26" s="25" t="s">
        <v>1397</v>
      </c>
    </row>
    <row r="27" spans="1:17" ht="95" customHeight="1">
      <c r="A27" s="25" t="s">
        <v>1410</v>
      </c>
      <c r="B27" s="25" t="s">
        <v>1240</v>
      </c>
      <c r="C27" s="25" t="s">
        <v>1411</v>
      </c>
      <c r="D27" s="25" t="s">
        <v>1412</v>
      </c>
      <c r="E27" s="25" t="s">
        <v>1413</v>
      </c>
      <c r="F27" s="25" t="s">
        <v>1391</v>
      </c>
      <c r="G27" s="25" t="s">
        <v>1402</v>
      </c>
      <c r="H27" s="25" t="s">
        <v>1393</v>
      </c>
      <c r="I27" s="25"/>
      <c r="J27" s="25"/>
      <c r="K27" s="25" t="s">
        <v>1394</v>
      </c>
      <c r="L27" s="25"/>
      <c r="M27" s="25"/>
      <c r="N27" s="25" t="s">
        <v>1414</v>
      </c>
      <c r="O27" s="25" t="s">
        <v>1415</v>
      </c>
      <c r="P27" s="25" t="s">
        <v>372</v>
      </c>
      <c r="Q27" s="25" t="s">
        <v>1397</v>
      </c>
    </row>
    <row r="28" spans="1:17" ht="84" customHeight="1">
      <c r="A28" s="25" t="s">
        <v>1416</v>
      </c>
      <c r="B28" s="25" t="s">
        <v>1240</v>
      </c>
      <c r="C28" s="25" t="s">
        <v>1417</v>
      </c>
      <c r="D28" s="25" t="s">
        <v>1418</v>
      </c>
      <c r="E28" s="25" t="s">
        <v>1419</v>
      </c>
      <c r="F28" s="25" t="s">
        <v>1391</v>
      </c>
      <c r="G28" s="25" t="s">
        <v>1402</v>
      </c>
      <c r="H28" s="25" t="s">
        <v>1393</v>
      </c>
      <c r="I28" s="25"/>
      <c r="J28" s="25"/>
      <c r="K28" s="25" t="s">
        <v>1394</v>
      </c>
      <c r="L28" s="25"/>
      <c r="M28" s="25"/>
      <c r="N28" s="25" t="s">
        <v>1409</v>
      </c>
      <c r="O28" s="25" t="s">
        <v>1420</v>
      </c>
      <c r="P28" s="25"/>
      <c r="Q28" s="25" t="s">
        <v>1397</v>
      </c>
    </row>
    <row r="29" spans="1:17" ht="84" customHeight="1">
      <c r="A29" s="25" t="s">
        <v>1421</v>
      </c>
      <c r="B29" s="25" t="s">
        <v>1240</v>
      </c>
      <c r="C29" s="25" t="s">
        <v>1422</v>
      </c>
      <c r="D29" s="25" t="s">
        <v>1423</v>
      </c>
      <c r="E29" s="25" t="s">
        <v>1424</v>
      </c>
      <c r="F29" s="25" t="s">
        <v>1391</v>
      </c>
      <c r="G29" s="25" t="s">
        <v>1402</v>
      </c>
      <c r="H29" s="25" t="s">
        <v>1393</v>
      </c>
      <c r="I29" s="25"/>
      <c r="J29" s="25"/>
      <c r="K29" s="25" t="s">
        <v>1394</v>
      </c>
      <c r="L29" s="25"/>
      <c r="M29" s="25"/>
      <c r="N29" s="25" t="s">
        <v>1409</v>
      </c>
      <c r="O29" s="25" t="s">
        <v>1415</v>
      </c>
      <c r="P29" s="25" t="s">
        <v>372</v>
      </c>
      <c r="Q29" s="25" t="s">
        <v>1397</v>
      </c>
    </row>
    <row r="30" spans="1:17" ht="95" customHeight="1">
      <c r="A30" s="25" t="s">
        <v>1425</v>
      </c>
      <c r="B30" s="25" t="s">
        <v>1240</v>
      </c>
      <c r="C30" s="25" t="s">
        <v>1426</v>
      </c>
      <c r="D30" s="25" t="s">
        <v>1427</v>
      </c>
      <c r="E30" s="25" t="s">
        <v>1428</v>
      </c>
      <c r="F30" s="25" t="s">
        <v>1391</v>
      </c>
      <c r="G30" s="25" t="s">
        <v>1402</v>
      </c>
      <c r="H30" s="25" t="s">
        <v>1393</v>
      </c>
      <c r="I30" s="25"/>
      <c r="J30" s="25"/>
      <c r="K30" s="25" t="s">
        <v>1394</v>
      </c>
      <c r="L30" s="25"/>
      <c r="M30" s="25"/>
      <c r="N30" s="25" t="s">
        <v>1429</v>
      </c>
      <c r="O30" s="25" t="s">
        <v>1420</v>
      </c>
      <c r="P30" s="25"/>
      <c r="Q30" s="25" t="s">
        <v>1397</v>
      </c>
    </row>
    <row r="31" spans="1:17" ht="84" customHeight="1">
      <c r="A31" s="25" t="s">
        <v>1430</v>
      </c>
      <c r="B31" s="25" t="s">
        <v>1240</v>
      </c>
      <c r="C31" s="25" t="s">
        <v>1431</v>
      </c>
      <c r="D31" s="25" t="s">
        <v>1432</v>
      </c>
      <c r="E31" s="25" t="s">
        <v>1433</v>
      </c>
      <c r="F31" s="25" t="s">
        <v>1391</v>
      </c>
      <c r="G31" s="25" t="s">
        <v>1402</v>
      </c>
      <c r="H31" s="25" t="s">
        <v>1393</v>
      </c>
      <c r="I31" s="25"/>
      <c r="J31" s="25"/>
      <c r="K31" s="25" t="s">
        <v>1394</v>
      </c>
      <c r="L31" s="25"/>
      <c r="M31" s="25"/>
      <c r="N31" s="25" t="s">
        <v>1409</v>
      </c>
      <c r="O31" s="25" t="s">
        <v>1420</v>
      </c>
      <c r="P31" s="25"/>
      <c r="Q31" s="25" t="s">
        <v>1397</v>
      </c>
    </row>
    <row r="32" spans="1:17" ht="95" customHeight="1">
      <c r="A32" s="25" t="s">
        <v>1434</v>
      </c>
      <c r="B32" s="25" t="s">
        <v>1240</v>
      </c>
      <c r="C32" s="25" t="s">
        <v>1435</v>
      </c>
      <c r="D32" s="25" t="s">
        <v>1436</v>
      </c>
      <c r="E32" s="25" t="s">
        <v>1437</v>
      </c>
      <c r="F32" s="25" t="s">
        <v>1391</v>
      </c>
      <c r="G32" s="25" t="s">
        <v>1402</v>
      </c>
      <c r="H32" s="25" t="s">
        <v>1393</v>
      </c>
      <c r="I32" s="25"/>
      <c r="J32" s="25"/>
      <c r="K32" s="25" t="s">
        <v>1394</v>
      </c>
      <c r="L32" s="25"/>
      <c r="M32" s="25"/>
      <c r="N32" s="25" t="s">
        <v>1438</v>
      </c>
      <c r="O32" s="25" t="s">
        <v>1420</v>
      </c>
      <c r="P32" s="25"/>
      <c r="Q32" s="25" t="s">
        <v>1397</v>
      </c>
    </row>
    <row r="33" spans="1:17" ht="84" customHeight="1">
      <c r="A33" s="25" t="s">
        <v>1439</v>
      </c>
      <c r="B33" s="25" t="s">
        <v>1240</v>
      </c>
      <c r="C33" s="25" t="s">
        <v>1440</v>
      </c>
      <c r="D33" s="25" t="s">
        <v>1441</v>
      </c>
      <c r="E33" s="25" t="s">
        <v>1442</v>
      </c>
      <c r="F33" s="25" t="s">
        <v>1391</v>
      </c>
      <c r="G33" s="25" t="s">
        <v>1402</v>
      </c>
      <c r="H33" s="25" t="s">
        <v>1393</v>
      </c>
      <c r="I33" s="25"/>
      <c r="J33" s="25"/>
      <c r="K33" s="25" t="s">
        <v>1394</v>
      </c>
      <c r="L33" s="25"/>
      <c r="M33" s="25"/>
      <c r="N33" s="25" t="s">
        <v>1409</v>
      </c>
      <c r="O33" s="25" t="s">
        <v>1420</v>
      </c>
      <c r="P33" s="25"/>
      <c r="Q33" s="25" t="s">
        <v>1397</v>
      </c>
    </row>
    <row r="34" spans="1:17" ht="84" customHeight="1">
      <c r="A34" s="25" t="s">
        <v>1443</v>
      </c>
      <c r="B34" s="25" t="s">
        <v>1240</v>
      </c>
      <c r="C34" s="25" t="s">
        <v>1444</v>
      </c>
      <c r="D34" s="25" t="s">
        <v>1445</v>
      </c>
      <c r="E34" s="25" t="s">
        <v>1446</v>
      </c>
      <c r="F34" s="25" t="s">
        <v>1391</v>
      </c>
      <c r="G34" s="25" t="s">
        <v>1402</v>
      </c>
      <c r="H34" s="25" t="s">
        <v>1393</v>
      </c>
      <c r="I34" s="25"/>
      <c r="J34" s="25"/>
      <c r="K34" s="25" t="s">
        <v>1394</v>
      </c>
      <c r="L34" s="25"/>
      <c r="M34" s="25"/>
      <c r="N34" s="25" t="s">
        <v>1409</v>
      </c>
      <c r="O34" s="25" t="s">
        <v>1420</v>
      </c>
      <c r="P34" s="25"/>
      <c r="Q34" s="25" t="s">
        <v>1397</v>
      </c>
    </row>
    <row r="35" spans="1:17" ht="60" customHeight="1"/>
    <row r="36" spans="1:17" ht="60" customHeight="1">
      <c r="A36" s="49" t="s">
        <v>1447</v>
      </c>
      <c r="B36" s="41"/>
      <c r="C36" s="41"/>
      <c r="D36" s="41"/>
      <c r="E36" s="41"/>
      <c r="F36" s="41"/>
      <c r="G36" s="41"/>
      <c r="H36" s="41"/>
      <c r="I36" s="41"/>
      <c r="J36" s="41"/>
      <c r="K36" s="41"/>
      <c r="L36" s="41"/>
      <c r="M36" s="41"/>
      <c r="N36" s="41"/>
      <c r="O36" s="41"/>
      <c r="P36" s="41"/>
      <c r="Q36" s="41"/>
    </row>
    <row r="37" spans="1:17" ht="60" customHeight="1"/>
    <row r="38" spans="1:17" ht="60" customHeight="1">
      <c r="A38" s="26" t="s">
        <v>1448</v>
      </c>
      <c r="B38" s="26" t="s">
        <v>1449</v>
      </c>
      <c r="C38" s="26" t="s">
        <v>1450</v>
      </c>
      <c r="D38" s="26" t="s">
        <v>1451</v>
      </c>
      <c r="E38" s="26" t="s">
        <v>1452</v>
      </c>
      <c r="F38" s="26" t="s">
        <v>1453</v>
      </c>
    </row>
    <row r="39" spans="1:17" ht="60" customHeight="1">
      <c r="A39" s="25" t="s">
        <v>1454</v>
      </c>
      <c r="B39" s="25" t="s">
        <v>1455</v>
      </c>
      <c r="C39" s="25" t="s">
        <v>1456</v>
      </c>
      <c r="D39" s="25" t="s">
        <v>1457</v>
      </c>
      <c r="E39" s="25" t="s">
        <v>1458</v>
      </c>
      <c r="F39" s="25" t="s">
        <v>1459</v>
      </c>
    </row>
    <row r="40" spans="1:17" ht="60" customHeight="1">
      <c r="A40" s="25" t="s">
        <v>1460</v>
      </c>
      <c r="B40" s="25" t="s">
        <v>1461</v>
      </c>
      <c r="C40" s="25" t="s">
        <v>1462</v>
      </c>
      <c r="D40" s="25" t="s">
        <v>1457</v>
      </c>
      <c r="E40" s="25" t="s">
        <v>1463</v>
      </c>
      <c r="F40" s="25" t="s">
        <v>1464</v>
      </c>
    </row>
    <row r="41" spans="1:17" ht="60" customHeight="1">
      <c r="A41" s="25" t="s">
        <v>1465</v>
      </c>
      <c r="B41" s="25" t="s">
        <v>1466</v>
      </c>
      <c r="C41" s="25" t="s">
        <v>1467</v>
      </c>
      <c r="D41" s="25" t="s">
        <v>1188</v>
      </c>
      <c r="E41" s="25" t="s">
        <v>1468</v>
      </c>
      <c r="F41" s="25" t="s">
        <v>1469</v>
      </c>
    </row>
    <row r="42" spans="1:17" ht="60" customHeight="1">
      <c r="A42" s="25" t="s">
        <v>1470</v>
      </c>
      <c r="B42" s="25" t="s">
        <v>1471</v>
      </c>
      <c r="C42" s="25" t="s">
        <v>1472</v>
      </c>
      <c r="D42" s="25" t="s">
        <v>1473</v>
      </c>
      <c r="E42" s="25" t="s">
        <v>1474</v>
      </c>
      <c r="F42" s="25" t="s">
        <v>1475</v>
      </c>
    </row>
    <row r="43" spans="1:17" ht="60" customHeight="1">
      <c r="A43" s="25" t="s">
        <v>1476</v>
      </c>
      <c r="B43" s="25" t="s">
        <v>1477</v>
      </c>
      <c r="C43" s="25" t="s">
        <v>1478</v>
      </c>
      <c r="D43" s="25" t="s">
        <v>1457</v>
      </c>
      <c r="E43" s="25" t="s">
        <v>1479</v>
      </c>
      <c r="F43" s="25" t="s">
        <v>1480</v>
      </c>
    </row>
    <row r="44" spans="1:17" ht="60" customHeight="1">
      <c r="A44" s="25" t="s">
        <v>1481</v>
      </c>
      <c r="B44" s="25" t="s">
        <v>1482</v>
      </c>
      <c r="C44" s="25" t="s">
        <v>1483</v>
      </c>
      <c r="D44" s="25" t="s">
        <v>1484</v>
      </c>
      <c r="E44" s="25" t="s">
        <v>1485</v>
      </c>
      <c r="F44" s="25" t="s">
        <v>1486</v>
      </c>
    </row>
    <row r="45" spans="1:17" ht="60" customHeight="1">
      <c r="A45" s="25" t="s">
        <v>1487</v>
      </c>
      <c r="B45" s="25" t="s">
        <v>1488</v>
      </c>
      <c r="C45" s="25" t="s">
        <v>1489</v>
      </c>
      <c r="D45" s="25" t="s">
        <v>1490</v>
      </c>
      <c r="E45" s="25" t="s">
        <v>1491</v>
      </c>
      <c r="F45" s="25" t="s">
        <v>1492</v>
      </c>
    </row>
    <row r="46" spans="1:17" ht="409.6">
      <c r="A46" s="25" t="s">
        <v>1493</v>
      </c>
      <c r="B46" s="25" t="s">
        <v>1494</v>
      </c>
      <c r="C46" s="25" t="s">
        <v>1495</v>
      </c>
      <c r="D46" s="25" t="s">
        <v>1496</v>
      </c>
      <c r="E46" s="25" t="s">
        <v>1497</v>
      </c>
      <c r="F46" s="25" t="s">
        <v>1498</v>
      </c>
    </row>
    <row r="47" spans="1:17" ht="90">
      <c r="A47" s="25" t="s">
        <v>1499</v>
      </c>
      <c r="B47" s="25" t="s">
        <v>1500</v>
      </c>
      <c r="C47" s="25" t="s">
        <v>1495</v>
      </c>
      <c r="D47" s="25" t="s">
        <v>1501</v>
      </c>
      <c r="E47" s="25" t="s">
        <v>1502</v>
      </c>
      <c r="F47" s="25" t="s">
        <v>1503</v>
      </c>
    </row>
    <row r="48" spans="1:17" ht="75">
      <c r="A48" s="25" t="s">
        <v>1504</v>
      </c>
      <c r="B48" s="25" t="s">
        <v>1505</v>
      </c>
      <c r="C48" s="25" t="s">
        <v>1506</v>
      </c>
      <c r="D48" s="25" t="s">
        <v>1507</v>
      </c>
      <c r="E48" s="25" t="s">
        <v>1508</v>
      </c>
      <c r="F48" s="25" t="s">
        <v>1509</v>
      </c>
    </row>
    <row r="49" spans="1:6" ht="60">
      <c r="A49" s="25" t="s">
        <v>1510</v>
      </c>
      <c r="B49" s="25" t="s">
        <v>1511</v>
      </c>
      <c r="C49" s="25" t="s">
        <v>1512</v>
      </c>
      <c r="D49" s="25" t="s">
        <v>1513</v>
      </c>
      <c r="E49" s="25" t="s">
        <v>1514</v>
      </c>
      <c r="F49" s="25" t="s">
        <v>1515</v>
      </c>
    </row>
    <row r="50" spans="1:6" ht="75">
      <c r="A50" s="25" t="s">
        <v>1516</v>
      </c>
      <c r="B50" s="25" t="s">
        <v>1517</v>
      </c>
      <c r="C50" s="25" t="s">
        <v>1518</v>
      </c>
      <c r="D50" s="25" t="s">
        <v>1519</v>
      </c>
      <c r="E50" s="25" t="s">
        <v>1520</v>
      </c>
      <c r="F50" s="25" t="s">
        <v>1521</v>
      </c>
    </row>
    <row r="51" spans="1:6" ht="90">
      <c r="A51" s="25" t="s">
        <v>1522</v>
      </c>
      <c r="B51" s="25" t="s">
        <v>1523</v>
      </c>
      <c r="C51" s="25" t="s">
        <v>1524</v>
      </c>
      <c r="D51" s="25" t="s">
        <v>1525</v>
      </c>
      <c r="E51" s="25" t="s">
        <v>1526</v>
      </c>
      <c r="F51" s="25" t="s">
        <v>1527</v>
      </c>
    </row>
    <row r="52" spans="1:6" ht="60">
      <c r="A52" s="25" t="s">
        <v>1528</v>
      </c>
      <c r="B52" s="25" t="s">
        <v>1529</v>
      </c>
      <c r="C52" s="25" t="s">
        <v>1530</v>
      </c>
      <c r="D52" s="25" t="s">
        <v>1531</v>
      </c>
      <c r="E52" s="25" t="s">
        <v>1532</v>
      </c>
      <c r="F52" s="25" t="s">
        <v>1533</v>
      </c>
    </row>
    <row r="53" spans="1:6" ht="105">
      <c r="A53" s="25" t="s">
        <v>1534</v>
      </c>
      <c r="B53" s="25" t="s">
        <v>1535</v>
      </c>
      <c r="C53" s="25" t="s">
        <v>1489</v>
      </c>
      <c r="D53" s="25" t="s">
        <v>1536</v>
      </c>
      <c r="E53" s="25" t="s">
        <v>1537</v>
      </c>
      <c r="F53" s="25" t="s">
        <v>1538</v>
      </c>
    </row>
    <row r="54" spans="1:6" ht="255">
      <c r="A54" s="25" t="s">
        <v>1381</v>
      </c>
      <c r="B54" s="25" t="s">
        <v>1539</v>
      </c>
      <c r="C54" s="25" t="s">
        <v>1489</v>
      </c>
      <c r="D54" s="25" t="s">
        <v>1540</v>
      </c>
      <c r="E54" s="25" t="s">
        <v>1541</v>
      </c>
      <c r="F54" s="25" t="s">
        <v>1542</v>
      </c>
    </row>
    <row r="55" spans="1:6" ht="45">
      <c r="A55" s="25" t="s">
        <v>1543</v>
      </c>
      <c r="B55" s="25" t="s">
        <v>1391</v>
      </c>
      <c r="C55" s="25" t="s">
        <v>1544</v>
      </c>
      <c r="D55" s="25" t="s">
        <v>1393</v>
      </c>
      <c r="E55" s="25" t="s">
        <v>1545</v>
      </c>
      <c r="F55" s="25" t="s">
        <v>1546</v>
      </c>
    </row>
  </sheetData>
  <autoFilter ref="A4:Q23" xr:uid="{00000000-0009-0000-0000-000006000000}"/>
  <mergeCells count="3">
    <mergeCell ref="A2:Q2"/>
    <mergeCell ref="A1:Q1"/>
    <mergeCell ref="A36:Q3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
  <sheetViews>
    <sheetView workbookViewId="0">
      <pane ySplit="4" topLeftCell="A5" activePane="bottomLeft" state="frozen"/>
      <selection pane="bottomLeft" sqref="A1:H1"/>
    </sheetView>
  </sheetViews>
  <sheetFormatPr baseColWidth="10" defaultColWidth="8.83203125" defaultRowHeight="14"/>
  <cols>
    <col min="1" max="1" width="16" customWidth="1"/>
    <col min="2" max="2" width="22" customWidth="1"/>
    <col min="3" max="4" width="38" customWidth="1"/>
    <col min="5" max="5" width="18" customWidth="1"/>
    <col min="6" max="6" width="34" customWidth="1"/>
    <col min="7" max="7" width="18" customWidth="1"/>
    <col min="8" max="8" width="45" customWidth="1"/>
  </cols>
  <sheetData>
    <row r="1" spans="1:8" ht="34.75" customHeight="1">
      <c r="A1" s="49" t="s">
        <v>1547</v>
      </c>
      <c r="B1" s="41"/>
      <c r="C1" s="41"/>
      <c r="D1" s="41"/>
      <c r="E1" s="41"/>
      <c r="F1" s="41"/>
      <c r="G1" s="41"/>
      <c r="H1" s="41"/>
    </row>
    <row r="2" spans="1:8" ht="48" customHeight="1">
      <c r="A2" s="48" t="s">
        <v>1548</v>
      </c>
      <c r="B2" s="41"/>
      <c r="C2" s="41"/>
      <c r="D2" s="41"/>
      <c r="E2" s="41"/>
      <c r="F2" s="41"/>
      <c r="G2" s="41"/>
      <c r="H2" s="41"/>
    </row>
    <row r="4" spans="1:8" ht="45" customHeight="1">
      <c r="A4" s="26" t="s">
        <v>1549</v>
      </c>
      <c r="B4" s="26" t="s">
        <v>1550</v>
      </c>
      <c r="C4" s="26" t="s">
        <v>1551</v>
      </c>
      <c r="D4" s="26" t="s">
        <v>1552</v>
      </c>
      <c r="E4" s="26" t="s">
        <v>1553</v>
      </c>
      <c r="F4" s="26" t="s">
        <v>1554</v>
      </c>
      <c r="G4" s="26" t="s">
        <v>1451</v>
      </c>
      <c r="H4" s="26" t="s">
        <v>1555</v>
      </c>
    </row>
    <row r="5" spans="1:8" ht="72" customHeight="1">
      <c r="A5" s="27" t="s">
        <v>1556</v>
      </c>
      <c r="B5" s="27" t="s">
        <v>333</v>
      </c>
      <c r="C5" s="27" t="s">
        <v>1557</v>
      </c>
      <c r="D5" s="27" t="s">
        <v>1558</v>
      </c>
      <c r="E5" s="27" t="s">
        <v>347</v>
      </c>
      <c r="F5" s="27" t="s">
        <v>1559</v>
      </c>
      <c r="G5" s="27" t="s">
        <v>1560</v>
      </c>
      <c r="H5" s="27" t="s">
        <v>1561</v>
      </c>
    </row>
    <row r="6" spans="1:8" ht="72" customHeight="1">
      <c r="A6" s="27" t="s">
        <v>1562</v>
      </c>
      <c r="B6" s="27" t="s">
        <v>407</v>
      </c>
      <c r="C6" s="27" t="s">
        <v>1563</v>
      </c>
      <c r="D6" s="27" t="s">
        <v>1564</v>
      </c>
      <c r="E6" s="27" t="s">
        <v>421</v>
      </c>
      <c r="F6" s="27" t="s">
        <v>1565</v>
      </c>
      <c r="G6" s="27" t="s">
        <v>1560</v>
      </c>
      <c r="H6" s="27" t="s">
        <v>1566</v>
      </c>
    </row>
    <row r="7" spans="1:8" ht="72" customHeight="1">
      <c r="A7" s="27" t="s">
        <v>1567</v>
      </c>
      <c r="B7" s="27" t="s">
        <v>407</v>
      </c>
      <c r="C7" s="27" t="s">
        <v>1568</v>
      </c>
      <c r="D7" s="27" t="s">
        <v>1569</v>
      </c>
      <c r="E7" s="27" t="s">
        <v>455</v>
      </c>
      <c r="F7" s="27" t="s">
        <v>1570</v>
      </c>
      <c r="G7" s="27" t="s">
        <v>1560</v>
      </c>
      <c r="H7" s="27" t="s">
        <v>1571</v>
      </c>
    </row>
    <row r="8" spans="1:8" ht="72" customHeight="1">
      <c r="A8" s="27" t="s">
        <v>1572</v>
      </c>
      <c r="B8" s="27" t="s">
        <v>24</v>
      </c>
      <c r="C8" s="27" t="s">
        <v>1573</v>
      </c>
      <c r="D8" s="27" t="s">
        <v>1574</v>
      </c>
      <c r="E8" s="27" t="s">
        <v>40</v>
      </c>
      <c r="F8" s="27" t="s">
        <v>1575</v>
      </c>
      <c r="G8" s="27" t="s">
        <v>1560</v>
      </c>
      <c r="H8" s="27" t="s">
        <v>1576</v>
      </c>
    </row>
  </sheetData>
  <mergeCells count="2">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5"/>
  <sheetViews>
    <sheetView workbookViewId="0">
      <pane ySplit="4" topLeftCell="A5" activePane="bottomLeft" state="frozen"/>
      <selection pane="bottomLeft" sqref="A1:G1"/>
    </sheetView>
  </sheetViews>
  <sheetFormatPr baseColWidth="10" defaultColWidth="8.83203125" defaultRowHeight="14"/>
  <cols>
    <col min="1" max="1" width="16" customWidth="1"/>
    <col min="2" max="2" width="20" customWidth="1"/>
    <col min="3" max="3" width="72" customWidth="1"/>
    <col min="4" max="4" width="24" customWidth="1"/>
    <col min="5" max="5" width="42" customWidth="1"/>
    <col min="6" max="6" width="18" customWidth="1"/>
    <col min="7" max="7" width="24" customWidth="1"/>
  </cols>
  <sheetData>
    <row r="1" spans="1:7" ht="34.75" customHeight="1">
      <c r="A1" s="49" t="s">
        <v>1577</v>
      </c>
      <c r="B1" s="41"/>
      <c r="C1" s="41"/>
      <c r="D1" s="41"/>
      <c r="E1" s="41"/>
      <c r="F1" s="41"/>
      <c r="G1" s="41"/>
    </row>
    <row r="2" spans="1:7" ht="48" customHeight="1">
      <c r="A2" s="48" t="s">
        <v>1578</v>
      </c>
      <c r="B2" s="41"/>
      <c r="C2" s="41"/>
      <c r="D2" s="41"/>
      <c r="E2" s="41"/>
      <c r="F2" s="41"/>
      <c r="G2" s="41"/>
    </row>
    <row r="4" spans="1:7" ht="45" customHeight="1">
      <c r="A4" s="26" t="s">
        <v>670</v>
      </c>
      <c r="B4" s="26" t="s">
        <v>1550</v>
      </c>
      <c r="C4" s="26" t="s">
        <v>1555</v>
      </c>
      <c r="D4" s="26" t="s">
        <v>969</v>
      </c>
      <c r="E4" s="26" t="s">
        <v>1579</v>
      </c>
      <c r="F4" s="26" t="s">
        <v>1451</v>
      </c>
      <c r="G4" s="26" t="s">
        <v>1580</v>
      </c>
    </row>
    <row r="5" spans="1:7" ht="80.25" customHeight="1">
      <c r="A5" s="25" t="s">
        <v>1581</v>
      </c>
      <c r="B5" s="25" t="s">
        <v>120</v>
      </c>
      <c r="C5" s="25" t="s">
        <v>1582</v>
      </c>
      <c r="D5" s="25" t="s">
        <v>1583</v>
      </c>
      <c r="E5" s="25" t="s">
        <v>1584</v>
      </c>
      <c r="F5" s="25" t="s">
        <v>1061</v>
      </c>
      <c r="G5" s="25"/>
    </row>
    <row r="6" spans="1:7" ht="175" customHeight="1">
      <c r="A6" s="25" t="s">
        <v>1085</v>
      </c>
      <c r="B6" s="25" t="s">
        <v>349</v>
      </c>
      <c r="C6" s="25" t="s">
        <v>1585</v>
      </c>
      <c r="D6" s="25" t="s">
        <v>1586</v>
      </c>
      <c r="E6" s="25" t="s">
        <v>1587</v>
      </c>
      <c r="F6" s="25" t="s">
        <v>1061</v>
      </c>
      <c r="G6" s="28" t="s">
        <v>362</v>
      </c>
    </row>
    <row r="7" spans="1:7" ht="180" customHeight="1">
      <c r="A7" s="25" t="s">
        <v>1101</v>
      </c>
      <c r="B7" s="25" t="s">
        <v>407</v>
      </c>
      <c r="C7" s="25" t="s">
        <v>1588</v>
      </c>
      <c r="D7" s="25" t="s">
        <v>1589</v>
      </c>
      <c r="E7" s="25" t="s">
        <v>1590</v>
      </c>
      <c r="F7" s="25" t="s">
        <v>1061</v>
      </c>
      <c r="G7" s="28" t="s">
        <v>471</v>
      </c>
    </row>
    <row r="8" spans="1:7" ht="150" customHeight="1">
      <c r="A8" s="25" t="s">
        <v>493</v>
      </c>
      <c r="B8" s="25" t="s">
        <v>407</v>
      </c>
      <c r="C8" s="25" t="s">
        <v>1591</v>
      </c>
      <c r="D8" s="25" t="s">
        <v>1592</v>
      </c>
      <c r="E8" s="25" t="s">
        <v>1593</v>
      </c>
      <c r="F8" s="25" t="s">
        <v>1061</v>
      </c>
      <c r="G8" s="28" t="s">
        <v>483</v>
      </c>
    </row>
    <row r="9" spans="1:7" ht="145" customHeight="1">
      <c r="A9" s="25" t="s">
        <v>1116</v>
      </c>
      <c r="B9" s="25" t="s">
        <v>495</v>
      </c>
      <c r="C9" s="25" t="s">
        <v>1594</v>
      </c>
      <c r="D9" s="25" t="s">
        <v>1586</v>
      </c>
      <c r="E9" s="25" t="s">
        <v>1595</v>
      </c>
      <c r="F9" s="25" t="s">
        <v>1061</v>
      </c>
      <c r="G9" s="28" t="s">
        <v>537</v>
      </c>
    </row>
    <row r="10" spans="1:7" ht="170" customHeight="1">
      <c r="A10" s="25" t="s">
        <v>1123</v>
      </c>
      <c r="B10" s="25" t="s">
        <v>1596</v>
      </c>
      <c r="C10" s="25" t="s">
        <v>1597</v>
      </c>
      <c r="D10" s="25" t="s">
        <v>1598</v>
      </c>
      <c r="E10" s="25" t="s">
        <v>1599</v>
      </c>
      <c r="F10" s="25" t="s">
        <v>1061</v>
      </c>
      <c r="G10" s="28" t="s">
        <v>598</v>
      </c>
    </row>
    <row r="11" spans="1:7" ht="93.25" customHeight="1">
      <c r="A11" s="25" t="s">
        <v>1600</v>
      </c>
      <c r="B11" s="25" t="s">
        <v>1601</v>
      </c>
      <c r="C11" s="25" t="s">
        <v>1602</v>
      </c>
      <c r="D11" s="25" t="s">
        <v>1603</v>
      </c>
      <c r="E11" s="25" t="s">
        <v>1604</v>
      </c>
      <c r="F11" s="25" t="s">
        <v>1061</v>
      </c>
      <c r="G11" s="25"/>
    </row>
    <row r="12" spans="1:7" ht="170" customHeight="1">
      <c r="A12" s="25" t="s">
        <v>1129</v>
      </c>
      <c r="B12" s="25" t="s">
        <v>540</v>
      </c>
      <c r="C12" s="25" t="s">
        <v>1605</v>
      </c>
      <c r="D12" s="25" t="s">
        <v>1606</v>
      </c>
      <c r="E12" s="25" t="s">
        <v>1607</v>
      </c>
      <c r="F12" s="25" t="s">
        <v>1061</v>
      </c>
      <c r="G12" s="28" t="s">
        <v>572</v>
      </c>
    </row>
    <row r="13" spans="1:7" ht="165" customHeight="1">
      <c r="A13" s="25" t="s">
        <v>1608</v>
      </c>
      <c r="B13" s="25" t="s">
        <v>1609</v>
      </c>
      <c r="C13" s="25" t="s">
        <v>1610</v>
      </c>
      <c r="D13" s="25" t="s">
        <v>1611</v>
      </c>
      <c r="E13" s="25" t="s">
        <v>1612</v>
      </c>
      <c r="F13" s="25" t="s">
        <v>1061</v>
      </c>
      <c r="G13" s="28"/>
    </row>
    <row r="14" spans="1:7" ht="175" customHeight="1">
      <c r="A14" s="25" t="s">
        <v>1068</v>
      </c>
      <c r="B14" s="25" t="s">
        <v>1613</v>
      </c>
      <c r="C14" s="25" t="s">
        <v>1614</v>
      </c>
      <c r="D14" s="25" t="s">
        <v>1615</v>
      </c>
      <c r="E14" s="25" t="s">
        <v>1616</v>
      </c>
      <c r="F14" s="25" t="s">
        <v>1061</v>
      </c>
      <c r="G14" s="28" t="s">
        <v>185</v>
      </c>
    </row>
    <row r="15" spans="1:7" ht="185" customHeight="1">
      <c r="A15" s="25" t="s">
        <v>1074</v>
      </c>
      <c r="B15" s="25" t="s">
        <v>1617</v>
      </c>
      <c r="C15" s="25" t="s">
        <v>1618</v>
      </c>
      <c r="D15" s="25" t="s">
        <v>1619</v>
      </c>
      <c r="E15" s="25" t="s">
        <v>1620</v>
      </c>
      <c r="F15" s="25" t="s">
        <v>1061</v>
      </c>
      <c r="G15" s="28" t="s">
        <v>258</v>
      </c>
    </row>
  </sheetData>
  <mergeCells count="2">
    <mergeCell ref="A2:G2"/>
    <mergeCell ref="A1:G1"/>
  </mergeCells>
  <hyperlinks>
    <hyperlink ref="G6" location="'Pendientes Cliente'!A9" display="PD-M1-05" xr:uid="{00000000-0004-0000-0800-000000000000}"/>
    <hyperlink ref="G7" location="'Pendientes Cliente'!A12" display="PD-M1-08" xr:uid="{00000000-0004-0000-0800-000001000000}"/>
    <hyperlink ref="G8" location="'Pendientes Cliente'!A13" display="PD-M1-09" xr:uid="{00000000-0004-0000-0800-000002000000}"/>
    <hyperlink ref="G9" location="'Pendientes Cliente'!A15" display="PD-M1-11" xr:uid="{00000000-0004-0000-0800-000003000000}"/>
    <hyperlink ref="G10" location="'Pendientes Cliente'!A16" display="PD-M1-12" xr:uid="{00000000-0004-0000-0800-000004000000}"/>
    <hyperlink ref="G12" location="'Pendientes Cliente'!A17" display="PD-M1-13" xr:uid="{00000000-0004-0000-0800-000005000000}"/>
    <hyperlink ref="G14" location="'Pendientes Cliente'!A6" display="PD-M1-02" xr:uid="{00000000-0004-0000-0800-000006000000}"/>
    <hyperlink ref="G15" location="'Pendientes Cliente'!A7" display="PD-M1-03" xr:uid="{00000000-0004-0000-0800-000007000000}"/>
  </hyperlink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39"/>
  <sheetViews>
    <sheetView workbookViewId="0">
      <pane ySplit="11" topLeftCell="A12" activePane="bottomLeft" state="frozen"/>
      <selection pane="bottomLeft" activeCell="A12" sqref="A12"/>
    </sheetView>
  </sheetViews>
  <sheetFormatPr baseColWidth="10" defaultColWidth="8.83203125" defaultRowHeight="14"/>
  <cols>
    <col min="1" max="1" width="30" customWidth="1"/>
    <col min="2" max="2" width="24" customWidth="1"/>
    <col min="3" max="3" width="72" customWidth="1"/>
    <col min="4" max="4" width="28" customWidth="1"/>
    <col min="5" max="5" width="34" customWidth="1"/>
    <col min="6" max="6" width="48" customWidth="1"/>
  </cols>
  <sheetData>
    <row r="1" spans="1:6" ht="34.75" customHeight="1">
      <c r="A1" s="49" t="s">
        <v>1621</v>
      </c>
      <c r="B1" s="41"/>
      <c r="C1" s="41"/>
      <c r="D1" s="41"/>
      <c r="E1" s="41"/>
      <c r="F1" s="41"/>
    </row>
    <row r="2" spans="1:6" ht="48" customHeight="1">
      <c r="A2" s="48" t="s">
        <v>1622</v>
      </c>
      <c r="B2" s="41"/>
      <c r="C2" s="41"/>
      <c r="D2" s="41"/>
      <c r="E2" s="41"/>
      <c r="F2" s="41"/>
    </row>
    <row r="3" spans="1:6" ht="10" customHeight="1"/>
    <row r="4" spans="1:6" ht="42" customHeight="1">
      <c r="A4" s="26" t="s">
        <v>1623</v>
      </c>
      <c r="B4" s="26" t="s">
        <v>1624</v>
      </c>
      <c r="C4" s="26" t="s">
        <v>1625</v>
      </c>
      <c r="D4" s="26" t="s">
        <v>1626</v>
      </c>
      <c r="E4" s="26" t="s">
        <v>1134</v>
      </c>
      <c r="F4" s="26" t="s">
        <v>1451</v>
      </c>
    </row>
    <row r="5" spans="1:6" ht="58" customHeight="1">
      <c r="A5" s="25" t="s">
        <v>1627</v>
      </c>
      <c r="B5" s="25" t="s">
        <v>1628</v>
      </c>
      <c r="C5" s="25" t="s">
        <v>1068</v>
      </c>
      <c r="D5" s="25" t="s">
        <v>185</v>
      </c>
      <c r="E5" s="25" t="s">
        <v>1629</v>
      </c>
      <c r="F5" s="25" t="s">
        <v>1630</v>
      </c>
    </row>
    <row r="6" spans="1:6" ht="12" customHeight="1"/>
    <row r="7" spans="1:6" ht="32" customHeight="1">
      <c r="A7" s="50" t="s">
        <v>1631</v>
      </c>
      <c r="B7" s="41"/>
      <c r="C7" s="41"/>
      <c r="D7" s="41"/>
      <c r="E7" s="41"/>
      <c r="F7" s="41"/>
    </row>
    <row r="8" spans="1:6" ht="92" customHeight="1">
      <c r="A8" s="48" t="s">
        <v>1632</v>
      </c>
      <c r="B8" s="41"/>
      <c r="C8" s="41"/>
      <c r="D8" s="41"/>
      <c r="E8" s="41"/>
      <c r="F8" s="41"/>
    </row>
    <row r="9" spans="1:6" ht="12" customHeight="1"/>
    <row r="10" spans="1:6" ht="32" customHeight="1">
      <c r="A10" s="50" t="s">
        <v>1633</v>
      </c>
      <c r="B10" s="41"/>
      <c r="C10" s="41"/>
      <c r="D10" s="41"/>
      <c r="E10" s="41"/>
      <c r="F10" s="41"/>
    </row>
    <row r="11" spans="1:6" ht="48" customHeight="1">
      <c r="A11" s="26" t="s">
        <v>1634</v>
      </c>
      <c r="B11" s="26" t="s">
        <v>1635</v>
      </c>
      <c r="C11" s="26" t="s">
        <v>1636</v>
      </c>
      <c r="D11" s="26" t="s">
        <v>1637</v>
      </c>
      <c r="E11" s="26" t="s">
        <v>1638</v>
      </c>
      <c r="F11" s="26" t="s">
        <v>1639</v>
      </c>
    </row>
    <row r="12" spans="1:6" ht="92" customHeight="1">
      <c r="A12" s="25" t="s">
        <v>1640</v>
      </c>
      <c r="B12" s="25" t="s">
        <v>1641</v>
      </c>
      <c r="C12" s="25" t="s">
        <v>1642</v>
      </c>
      <c r="D12" s="25" t="s">
        <v>1643</v>
      </c>
      <c r="E12" s="25" t="s">
        <v>1644</v>
      </c>
      <c r="F12" s="25" t="s">
        <v>1645</v>
      </c>
    </row>
    <row r="13" spans="1:6" ht="92" customHeight="1">
      <c r="A13" s="25" t="s">
        <v>1646</v>
      </c>
      <c r="B13" s="25" t="s">
        <v>1647</v>
      </c>
      <c r="C13" s="25" t="s">
        <v>1648</v>
      </c>
      <c r="D13" s="25" t="s">
        <v>1649</v>
      </c>
      <c r="E13" s="25" t="s">
        <v>1650</v>
      </c>
      <c r="F13" s="25" t="s">
        <v>1651</v>
      </c>
    </row>
    <row r="14" spans="1:6" ht="82" customHeight="1">
      <c r="A14" s="25" t="s">
        <v>1652</v>
      </c>
      <c r="B14" s="25" t="s">
        <v>1653</v>
      </c>
      <c r="C14" s="25" t="s">
        <v>1654</v>
      </c>
      <c r="D14" s="25" t="s">
        <v>1649</v>
      </c>
      <c r="E14" s="25" t="s">
        <v>1655</v>
      </c>
      <c r="F14" s="25" t="s">
        <v>1656</v>
      </c>
    </row>
    <row r="15" spans="1:6" ht="92" customHeight="1">
      <c r="A15" s="25" t="s">
        <v>1657</v>
      </c>
      <c r="B15" s="25" t="s">
        <v>1658</v>
      </c>
      <c r="C15" s="25" t="s">
        <v>1659</v>
      </c>
      <c r="D15" s="25" t="s">
        <v>1649</v>
      </c>
      <c r="E15" s="25" t="s">
        <v>1644</v>
      </c>
      <c r="F15" s="25" t="s">
        <v>1660</v>
      </c>
    </row>
    <row r="16" spans="1:6" ht="82" customHeight="1">
      <c r="A16" s="25" t="s">
        <v>1661</v>
      </c>
      <c r="B16" s="25" t="s">
        <v>1662</v>
      </c>
      <c r="C16" s="25" t="s">
        <v>1663</v>
      </c>
      <c r="D16" s="25" t="s">
        <v>1649</v>
      </c>
      <c r="E16" s="25" t="s">
        <v>1664</v>
      </c>
      <c r="F16" s="25" t="s">
        <v>1665</v>
      </c>
    </row>
    <row r="17" spans="1:6" ht="82" customHeight="1">
      <c r="A17" s="25" t="s">
        <v>1666</v>
      </c>
      <c r="B17" s="25" t="s">
        <v>1667</v>
      </c>
      <c r="C17" s="25" t="s">
        <v>1668</v>
      </c>
      <c r="D17" s="25" t="s">
        <v>1649</v>
      </c>
      <c r="E17" s="25" t="s">
        <v>1669</v>
      </c>
      <c r="F17" s="25" t="s">
        <v>1670</v>
      </c>
    </row>
    <row r="18" spans="1:6" ht="82" customHeight="1">
      <c r="A18" s="25" t="s">
        <v>1671</v>
      </c>
      <c r="B18" s="25" t="s">
        <v>1190</v>
      </c>
      <c r="C18" s="25" t="s">
        <v>1672</v>
      </c>
      <c r="D18" s="25" t="s">
        <v>1673</v>
      </c>
      <c r="E18" s="25" t="s">
        <v>1674</v>
      </c>
      <c r="F18" s="25" t="s">
        <v>1675</v>
      </c>
    </row>
    <row r="19" spans="1:6" ht="92" customHeight="1">
      <c r="A19" s="25" t="s">
        <v>1676</v>
      </c>
      <c r="B19" s="25" t="s">
        <v>1677</v>
      </c>
      <c r="C19" s="25" t="s">
        <v>1678</v>
      </c>
      <c r="D19" s="25" t="s">
        <v>1679</v>
      </c>
      <c r="E19" s="25" t="s">
        <v>1680</v>
      </c>
      <c r="F19" s="25" t="s">
        <v>1681</v>
      </c>
    </row>
    <row r="20" spans="1:6" ht="82" customHeight="1">
      <c r="A20" s="25" t="s">
        <v>1682</v>
      </c>
      <c r="B20" s="25" t="s">
        <v>1683</v>
      </c>
      <c r="C20" s="25" t="s">
        <v>1684</v>
      </c>
      <c r="D20" s="25" t="s">
        <v>1679</v>
      </c>
      <c r="E20" s="25" t="s">
        <v>1685</v>
      </c>
      <c r="F20" s="25" t="s">
        <v>1686</v>
      </c>
    </row>
    <row r="21" spans="1:6" ht="12" customHeight="1"/>
    <row r="22" spans="1:6" ht="32" customHeight="1">
      <c r="A22" s="26" t="s">
        <v>1687</v>
      </c>
    </row>
    <row r="23" spans="1:6" ht="48" customHeight="1">
      <c r="A23" s="48" t="s">
        <v>1688</v>
      </c>
      <c r="B23" s="41"/>
      <c r="C23" s="41"/>
      <c r="D23" s="41"/>
      <c r="E23" s="41"/>
      <c r="F23" s="41"/>
    </row>
    <row r="24" spans="1:6" ht="48" customHeight="1">
      <c r="A24" s="48" t="s">
        <v>1689</v>
      </c>
      <c r="B24" s="41"/>
      <c r="C24" s="41"/>
      <c r="D24" s="41"/>
      <c r="E24" s="41"/>
      <c r="F24" s="41"/>
    </row>
    <row r="25" spans="1:6" ht="48" customHeight="1">
      <c r="A25" s="48" t="s">
        <v>1690</v>
      </c>
      <c r="B25" s="41"/>
      <c r="C25" s="41"/>
      <c r="D25" s="41"/>
      <c r="E25" s="41"/>
      <c r="F25" s="41"/>
    </row>
    <row r="26" spans="1:6" ht="48" customHeight="1">
      <c r="A26" s="48" t="s">
        <v>1691</v>
      </c>
      <c r="B26" s="41"/>
      <c r="C26" s="41"/>
      <c r="D26" s="41"/>
      <c r="E26" s="41"/>
      <c r="F26" s="41"/>
    </row>
    <row r="27" spans="1:6" ht="66" customHeight="1">
      <c r="A27" s="48" t="s">
        <v>1692</v>
      </c>
      <c r="B27" s="41"/>
      <c r="C27" s="41"/>
      <c r="D27" s="41"/>
      <c r="E27" s="41"/>
      <c r="F27" s="41"/>
    </row>
    <row r="28" spans="1:6" ht="12" customHeight="1">
      <c r="A28" s="41"/>
      <c r="B28" s="41"/>
      <c r="C28" s="41"/>
      <c r="D28" s="41"/>
      <c r="E28" s="41"/>
      <c r="F28" s="41"/>
    </row>
    <row r="29" spans="1:6" ht="32" customHeight="1">
      <c r="A29" s="50" t="s">
        <v>1693</v>
      </c>
      <c r="B29" s="41"/>
      <c r="C29" s="41"/>
      <c r="D29" s="41"/>
      <c r="E29" s="41"/>
      <c r="F29" s="41"/>
    </row>
    <row r="30" spans="1:6" ht="40" customHeight="1">
      <c r="A30" s="26" t="s">
        <v>1694</v>
      </c>
      <c r="B30" s="26" t="s">
        <v>1695</v>
      </c>
    </row>
    <row r="31" spans="1:6" ht="44" customHeight="1">
      <c r="A31" s="25" t="s">
        <v>168</v>
      </c>
      <c r="B31" s="48" t="s">
        <v>1696</v>
      </c>
      <c r="C31" s="41"/>
      <c r="D31" s="41"/>
      <c r="E31" s="41"/>
      <c r="F31" s="41"/>
    </row>
    <row r="32" spans="1:6" ht="44" customHeight="1">
      <c r="A32" s="25" t="s">
        <v>1697</v>
      </c>
      <c r="B32" s="48" t="s">
        <v>1698</v>
      </c>
      <c r="C32" s="41"/>
      <c r="D32" s="41"/>
      <c r="E32" s="41"/>
      <c r="F32" s="41"/>
    </row>
    <row r="33" spans="1:6" ht="58" customHeight="1">
      <c r="A33" s="25" t="s">
        <v>1699</v>
      </c>
      <c r="B33" s="48" t="s">
        <v>1700</v>
      </c>
      <c r="C33" s="41"/>
      <c r="D33" s="41"/>
      <c r="E33" s="41"/>
      <c r="F33" s="41"/>
    </row>
    <row r="34" spans="1:6" ht="44" customHeight="1">
      <c r="A34" s="25" t="s">
        <v>1701</v>
      </c>
      <c r="B34" s="48" t="s">
        <v>1702</v>
      </c>
      <c r="C34" s="41"/>
      <c r="D34" s="41"/>
      <c r="E34" s="41"/>
      <c r="F34" s="41"/>
    </row>
    <row r="35" spans="1:6" ht="58" customHeight="1">
      <c r="A35" s="25" t="s">
        <v>1703</v>
      </c>
      <c r="B35" s="48" t="s">
        <v>1704</v>
      </c>
      <c r="C35" s="41"/>
      <c r="D35" s="41"/>
      <c r="E35" s="41"/>
      <c r="F35" s="41"/>
    </row>
    <row r="36" spans="1:6" ht="12" customHeight="1"/>
    <row r="37" spans="1:6" ht="32" customHeight="1">
      <c r="A37" s="50" t="s">
        <v>1705</v>
      </c>
      <c r="B37" s="41"/>
      <c r="C37" s="41"/>
      <c r="D37" s="41"/>
      <c r="E37" s="41"/>
      <c r="F37" s="41"/>
    </row>
    <row r="38" spans="1:6" ht="42" customHeight="1">
      <c r="A38" s="26" t="s">
        <v>670</v>
      </c>
      <c r="B38" s="26" t="s">
        <v>1706</v>
      </c>
      <c r="C38" s="26" t="s">
        <v>1707</v>
      </c>
    </row>
    <row r="39" spans="1:6" ht="68" customHeight="1">
      <c r="A39" s="25" t="s">
        <v>1650</v>
      </c>
      <c r="B39" s="25" t="s">
        <v>1708</v>
      </c>
      <c r="C39" s="48" t="s">
        <v>1709</v>
      </c>
      <c r="D39" s="41"/>
      <c r="E39" s="41"/>
      <c r="F39" s="41"/>
    </row>
    <row r="40" spans="1:6" ht="68" customHeight="1">
      <c r="A40" s="25" t="s">
        <v>1674</v>
      </c>
      <c r="B40" s="25" t="s">
        <v>1710</v>
      </c>
      <c r="C40" s="48" t="s">
        <v>1711</v>
      </c>
      <c r="D40" s="41"/>
      <c r="E40" s="41"/>
      <c r="F40" s="41"/>
    </row>
    <row r="41" spans="1:6" ht="68" customHeight="1">
      <c r="A41" s="25" t="s">
        <v>1712</v>
      </c>
      <c r="B41" s="25" t="s">
        <v>1713</v>
      </c>
      <c r="C41" s="48" t="s">
        <v>1714</v>
      </c>
      <c r="D41" s="41"/>
      <c r="E41" s="41"/>
      <c r="F41" s="41"/>
    </row>
    <row r="42" spans="1:6" ht="68" customHeight="1">
      <c r="A42" s="25" t="s">
        <v>1715</v>
      </c>
      <c r="B42" s="25" t="s">
        <v>1716</v>
      </c>
      <c r="C42" s="48" t="s">
        <v>1717</v>
      </c>
      <c r="D42" s="41"/>
      <c r="E42" s="41"/>
      <c r="F42" s="41"/>
    </row>
    <row r="43" spans="1:6" ht="68" customHeight="1">
      <c r="A43" s="25" t="s">
        <v>1718</v>
      </c>
      <c r="B43" s="25" t="s">
        <v>1719</v>
      </c>
      <c r="C43" s="48" t="s">
        <v>1720</v>
      </c>
      <c r="D43" s="41"/>
      <c r="E43" s="41"/>
      <c r="F43" s="41"/>
    </row>
    <row r="44" spans="1:6" ht="68" customHeight="1">
      <c r="A44" s="25" t="s">
        <v>1721</v>
      </c>
      <c r="B44" s="25" t="s">
        <v>1722</v>
      </c>
      <c r="C44" s="48" t="s">
        <v>1723</v>
      </c>
      <c r="D44" s="41"/>
      <c r="E44" s="41"/>
      <c r="F44" s="41"/>
    </row>
    <row r="46" spans="1:6" ht="42" customHeight="1">
      <c r="A46" s="26" t="s">
        <v>1623</v>
      </c>
      <c r="B46" s="26" t="s">
        <v>1624</v>
      </c>
      <c r="C46" s="26" t="s">
        <v>1625</v>
      </c>
      <c r="D46" s="26" t="s">
        <v>1626</v>
      </c>
      <c r="E46" s="26" t="s">
        <v>1134</v>
      </c>
      <c r="F46" s="26" t="s">
        <v>1451</v>
      </c>
    </row>
    <row r="47" spans="1:6" ht="48" customHeight="1">
      <c r="A47" s="25" t="s">
        <v>1724</v>
      </c>
      <c r="B47" s="25" t="s">
        <v>1725</v>
      </c>
      <c r="C47" s="25" t="s">
        <v>1085</v>
      </c>
      <c r="D47" s="25" t="s">
        <v>362</v>
      </c>
      <c r="E47" s="25" t="s">
        <v>372</v>
      </c>
      <c r="F47" s="25" t="s">
        <v>1726</v>
      </c>
    </row>
    <row r="48" spans="1:6" ht="12" customHeight="1"/>
    <row r="49" spans="1:6" ht="32" customHeight="1">
      <c r="A49" s="50" t="s">
        <v>1631</v>
      </c>
      <c r="B49" s="41"/>
      <c r="C49" s="41"/>
      <c r="D49" s="41"/>
      <c r="E49" s="41"/>
      <c r="F49" s="41"/>
    </row>
    <row r="50" spans="1:6" ht="92" customHeight="1">
      <c r="A50" s="48" t="s">
        <v>1727</v>
      </c>
      <c r="B50" s="41"/>
      <c r="C50" s="41"/>
      <c r="D50" s="41"/>
      <c r="E50" s="41"/>
      <c r="F50" s="41"/>
    </row>
    <row r="51" spans="1:6" ht="12" customHeight="1"/>
    <row r="52" spans="1:6" ht="32" customHeight="1">
      <c r="A52" s="50" t="s">
        <v>1728</v>
      </c>
      <c r="B52" s="41"/>
      <c r="C52" s="41"/>
      <c r="D52" s="41"/>
      <c r="E52" s="41"/>
      <c r="F52" s="41"/>
    </row>
    <row r="53" spans="1:6" ht="48" customHeight="1">
      <c r="A53" s="26" t="s">
        <v>1729</v>
      </c>
      <c r="B53" s="26" t="s">
        <v>1730</v>
      </c>
      <c r="C53" s="26" t="s">
        <v>1731</v>
      </c>
      <c r="D53" s="26" t="s">
        <v>1637</v>
      </c>
      <c r="E53" s="26" t="s">
        <v>1673</v>
      </c>
      <c r="F53" s="26" t="s">
        <v>1732</v>
      </c>
    </row>
    <row r="54" spans="1:6" ht="82" customHeight="1">
      <c r="A54" s="25" t="s">
        <v>1733</v>
      </c>
      <c r="B54" s="25" t="s">
        <v>1734</v>
      </c>
      <c r="C54" s="25" t="s">
        <v>380</v>
      </c>
      <c r="D54" s="25" t="s">
        <v>1735</v>
      </c>
      <c r="E54" s="25" t="s">
        <v>1736</v>
      </c>
      <c r="F54" s="25" t="s">
        <v>1737</v>
      </c>
    </row>
    <row r="55" spans="1:6" ht="72" customHeight="1">
      <c r="A55" s="25" t="s">
        <v>1738</v>
      </c>
      <c r="B55" s="25" t="s">
        <v>1739</v>
      </c>
      <c r="C55" s="25" t="s">
        <v>398</v>
      </c>
      <c r="D55" s="25" t="s">
        <v>1740</v>
      </c>
      <c r="E55" s="25" t="s">
        <v>1741</v>
      </c>
      <c r="F55" s="25" t="s">
        <v>1737</v>
      </c>
    </row>
    <row r="56" spans="1:6" ht="78" customHeight="1">
      <c r="A56" s="25" t="s">
        <v>1738</v>
      </c>
      <c r="B56" s="25" t="s">
        <v>1742</v>
      </c>
      <c r="C56" s="25" t="s">
        <v>404</v>
      </c>
      <c r="D56" s="25" t="s">
        <v>1740</v>
      </c>
      <c r="E56" s="25" t="s">
        <v>1741</v>
      </c>
      <c r="F56" s="25" t="s">
        <v>1737</v>
      </c>
    </row>
    <row r="57" spans="1:6" ht="88" customHeight="1">
      <c r="A57" s="25" t="s">
        <v>1743</v>
      </c>
      <c r="B57" s="25" t="s">
        <v>1744</v>
      </c>
      <c r="C57" s="25" t="s">
        <v>1745</v>
      </c>
      <c r="D57" s="25" t="s">
        <v>1746</v>
      </c>
      <c r="E57" s="25" t="s">
        <v>1747</v>
      </c>
      <c r="F57" s="25" t="s">
        <v>1737</v>
      </c>
    </row>
    <row r="58" spans="1:6" ht="12" customHeight="1"/>
    <row r="59" spans="1:6" ht="32" customHeight="1">
      <c r="A59" s="50" t="s">
        <v>1748</v>
      </c>
      <c r="B59" s="41"/>
      <c r="C59" s="41"/>
      <c r="D59" s="41"/>
      <c r="E59" s="41"/>
      <c r="F59" s="41"/>
    </row>
    <row r="60" spans="1:6" ht="102" customHeight="1">
      <c r="A60" s="48" t="s">
        <v>1749</v>
      </c>
      <c r="B60" s="41"/>
      <c r="C60" s="41"/>
      <c r="D60" s="41"/>
      <c r="E60" s="41"/>
      <c r="F60" s="41"/>
    </row>
    <row r="61" spans="1:6" ht="12" customHeight="1"/>
    <row r="62" spans="1:6" ht="32" customHeight="1">
      <c r="A62" s="50" t="s">
        <v>1750</v>
      </c>
      <c r="B62" s="41"/>
      <c r="C62" s="41"/>
      <c r="D62" s="41"/>
      <c r="E62" s="41"/>
      <c r="F62" s="41"/>
    </row>
    <row r="63" spans="1:6" ht="86" customHeight="1">
      <c r="A63" s="48" t="s">
        <v>1751</v>
      </c>
      <c r="B63" s="41"/>
      <c r="C63" s="41"/>
      <c r="D63" s="41"/>
      <c r="E63" s="41"/>
      <c r="F63" s="41"/>
    </row>
    <row r="64" spans="1:6" ht="12" customHeight="1"/>
    <row r="65" spans="1:6" ht="32" customHeight="1">
      <c r="A65" s="50" t="s">
        <v>1693</v>
      </c>
      <c r="B65" s="41"/>
      <c r="C65" s="41"/>
      <c r="D65" s="41"/>
      <c r="E65" s="41"/>
      <c r="F65" s="41"/>
    </row>
    <row r="66" spans="1:6" ht="40" customHeight="1">
      <c r="A66" s="26" t="s">
        <v>1694</v>
      </c>
      <c r="B66" s="50" t="s">
        <v>1695</v>
      </c>
      <c r="C66" s="41"/>
      <c r="D66" s="41"/>
      <c r="E66" s="41"/>
      <c r="F66" s="41"/>
    </row>
    <row r="67" spans="1:6" ht="52" customHeight="1">
      <c r="A67" s="25" t="s">
        <v>1752</v>
      </c>
      <c r="B67" s="48" t="s">
        <v>1753</v>
      </c>
      <c r="C67" s="41"/>
      <c r="D67" s="41"/>
      <c r="E67" s="41"/>
      <c r="F67" s="41"/>
    </row>
    <row r="68" spans="1:6" ht="62" customHeight="1">
      <c r="A68" s="25" t="s">
        <v>1754</v>
      </c>
      <c r="B68" s="48" t="s">
        <v>1755</v>
      </c>
      <c r="C68" s="41"/>
      <c r="D68" s="41"/>
      <c r="E68" s="41"/>
      <c r="F68" s="41"/>
    </row>
    <row r="69" spans="1:6" ht="56" customHeight="1">
      <c r="A69" s="25" t="s">
        <v>934</v>
      </c>
      <c r="B69" s="48" t="s">
        <v>1756</v>
      </c>
      <c r="C69" s="41"/>
      <c r="D69" s="41"/>
      <c r="E69" s="41"/>
      <c r="F69" s="41"/>
    </row>
    <row r="70" spans="1:6" ht="56" customHeight="1">
      <c r="A70" s="25" t="s">
        <v>1757</v>
      </c>
      <c r="B70" s="48" t="s">
        <v>1758</v>
      </c>
      <c r="C70" s="41"/>
      <c r="D70" s="41"/>
      <c r="E70" s="41"/>
      <c r="F70" s="41"/>
    </row>
    <row r="71" spans="1:6" ht="18" customHeight="1"/>
    <row r="72" spans="1:6" ht="42" customHeight="1">
      <c r="A72" s="26" t="s">
        <v>1623</v>
      </c>
      <c r="B72" s="26" t="s">
        <v>1624</v>
      </c>
      <c r="C72" s="26" t="s">
        <v>1625</v>
      </c>
      <c r="D72" s="26" t="s">
        <v>1626</v>
      </c>
      <c r="E72" s="26" t="s">
        <v>1134</v>
      </c>
      <c r="F72" s="26" t="s">
        <v>1451</v>
      </c>
    </row>
    <row r="73" spans="1:6" ht="48" customHeight="1">
      <c r="A73" s="25" t="s">
        <v>1759</v>
      </c>
      <c r="B73" s="25" t="s">
        <v>1760</v>
      </c>
      <c r="C73" s="25" t="s">
        <v>1129</v>
      </c>
      <c r="D73" s="25" t="s">
        <v>572</v>
      </c>
      <c r="E73" s="25" t="s">
        <v>563</v>
      </c>
      <c r="F73" s="25" t="s">
        <v>1726</v>
      </c>
    </row>
    <row r="74" spans="1:6" ht="12" customHeight="1"/>
    <row r="75" spans="1:6" ht="32" customHeight="1">
      <c r="A75" s="50" t="s">
        <v>1761</v>
      </c>
      <c r="B75" s="41"/>
      <c r="C75" s="41"/>
      <c r="D75" s="41"/>
      <c r="E75" s="41"/>
      <c r="F75" s="41"/>
    </row>
    <row r="76" spans="1:6" ht="92" customHeight="1">
      <c r="A76" s="48" t="s">
        <v>1762</v>
      </c>
      <c r="B76" s="41"/>
      <c r="C76" s="41"/>
      <c r="D76" s="41"/>
      <c r="E76" s="41"/>
      <c r="F76" s="41"/>
    </row>
    <row r="77" spans="1:6" ht="12" customHeight="1"/>
    <row r="78" spans="1:6" ht="32" customHeight="1">
      <c r="A78" s="50" t="s">
        <v>1763</v>
      </c>
      <c r="B78" s="41"/>
      <c r="C78" s="41"/>
      <c r="D78" s="41"/>
      <c r="E78" s="41"/>
      <c r="F78" s="41"/>
    </row>
    <row r="79" spans="1:6" ht="48" customHeight="1">
      <c r="A79" s="26" t="s">
        <v>1764</v>
      </c>
      <c r="B79" s="26" t="s">
        <v>1765</v>
      </c>
      <c r="C79" s="26" t="s">
        <v>1766</v>
      </c>
      <c r="D79" s="26" t="s">
        <v>1767</v>
      </c>
      <c r="E79" s="26" t="s">
        <v>1768</v>
      </c>
      <c r="F79" s="26" t="s">
        <v>1769</v>
      </c>
    </row>
    <row r="80" spans="1:6" ht="70" customHeight="1">
      <c r="A80" s="25" t="s">
        <v>541</v>
      </c>
      <c r="B80" s="25" t="s">
        <v>1770</v>
      </c>
      <c r="C80" s="25" t="s">
        <v>1771</v>
      </c>
      <c r="D80" s="25" t="s">
        <v>1772</v>
      </c>
      <c r="E80" s="25" t="s">
        <v>1773</v>
      </c>
      <c r="F80" s="25" t="s">
        <v>1774</v>
      </c>
    </row>
    <row r="81" spans="1:6" ht="82" customHeight="1">
      <c r="A81" s="25" t="s">
        <v>1775</v>
      </c>
      <c r="B81" s="25" t="s">
        <v>1776</v>
      </c>
      <c r="C81" s="25" t="s">
        <v>1777</v>
      </c>
      <c r="D81" s="25" t="s">
        <v>1778</v>
      </c>
      <c r="E81" s="25" t="s">
        <v>1779</v>
      </c>
      <c r="F81" s="25" t="s">
        <v>1780</v>
      </c>
    </row>
    <row r="82" spans="1:6" ht="78" customHeight="1">
      <c r="A82" s="25" t="s">
        <v>1781</v>
      </c>
      <c r="B82" s="25" t="s">
        <v>1782</v>
      </c>
      <c r="C82" s="25" t="s">
        <v>1777</v>
      </c>
      <c r="D82" s="25" t="s">
        <v>1783</v>
      </c>
      <c r="E82" s="25" t="s">
        <v>1784</v>
      </c>
      <c r="F82" s="25" t="s">
        <v>1785</v>
      </c>
    </row>
    <row r="83" spans="1:6" ht="82" customHeight="1">
      <c r="A83" s="25" t="s">
        <v>1786</v>
      </c>
      <c r="B83" s="25" t="s">
        <v>1787</v>
      </c>
      <c r="C83" s="25" t="s">
        <v>1788</v>
      </c>
      <c r="D83" s="25" t="s">
        <v>1783</v>
      </c>
      <c r="E83" s="25" t="s">
        <v>1784</v>
      </c>
      <c r="F83" s="25" t="s">
        <v>1789</v>
      </c>
    </row>
    <row r="84" spans="1:6" ht="12" customHeight="1"/>
    <row r="85" spans="1:6" ht="32" customHeight="1">
      <c r="A85" s="50" t="s">
        <v>1790</v>
      </c>
      <c r="B85" s="41"/>
      <c r="C85" s="41"/>
      <c r="D85" s="41"/>
      <c r="E85" s="41"/>
      <c r="F85" s="41"/>
    </row>
    <row r="86" spans="1:6" ht="48" customHeight="1">
      <c r="A86" s="26" t="s">
        <v>1791</v>
      </c>
      <c r="B86" s="26" t="s">
        <v>1792</v>
      </c>
      <c r="C86" s="26" t="s">
        <v>1793</v>
      </c>
      <c r="D86" s="26" t="s">
        <v>1794</v>
      </c>
      <c r="E86" s="26" t="s">
        <v>1795</v>
      </c>
      <c r="F86" s="26" t="s">
        <v>1796</v>
      </c>
    </row>
    <row r="87" spans="1:6" ht="82" customHeight="1">
      <c r="A87" s="25" t="s">
        <v>1797</v>
      </c>
      <c r="B87" s="25" t="s">
        <v>1798</v>
      </c>
      <c r="C87" s="25" t="s">
        <v>1799</v>
      </c>
      <c r="D87" s="25" t="s">
        <v>1800</v>
      </c>
      <c r="E87" s="25" t="s">
        <v>1801</v>
      </c>
      <c r="F87" s="25" t="s">
        <v>1802</v>
      </c>
    </row>
    <row r="88" spans="1:6" ht="92" customHeight="1">
      <c r="A88" s="25" t="s">
        <v>1803</v>
      </c>
      <c r="B88" s="25" t="s">
        <v>1798</v>
      </c>
      <c r="C88" s="25" t="s">
        <v>1804</v>
      </c>
      <c r="D88" s="25" t="s">
        <v>1805</v>
      </c>
      <c r="E88" s="25" t="s">
        <v>1806</v>
      </c>
      <c r="F88" s="25" t="s">
        <v>1807</v>
      </c>
    </row>
    <row r="89" spans="1:6" ht="68" customHeight="1">
      <c r="A89" s="25" t="s">
        <v>1808</v>
      </c>
      <c r="B89" s="25" t="s">
        <v>1809</v>
      </c>
      <c r="C89" s="25" t="s">
        <v>1810</v>
      </c>
      <c r="D89" s="25" t="s">
        <v>1811</v>
      </c>
      <c r="E89" s="25" t="s">
        <v>1812</v>
      </c>
      <c r="F89" s="25" t="s">
        <v>1813</v>
      </c>
    </row>
    <row r="90" spans="1:6" ht="68" customHeight="1">
      <c r="A90" s="25" t="s">
        <v>1814</v>
      </c>
      <c r="B90" s="25" t="s">
        <v>1809</v>
      </c>
      <c r="C90" s="25" t="s">
        <v>1810</v>
      </c>
      <c r="D90" s="25" t="s">
        <v>1811</v>
      </c>
      <c r="E90" s="25" t="s">
        <v>1815</v>
      </c>
      <c r="F90" s="25" t="s">
        <v>1813</v>
      </c>
    </row>
    <row r="91" spans="1:6" ht="84" customHeight="1">
      <c r="A91" s="25" t="s">
        <v>1816</v>
      </c>
      <c r="B91" s="25" t="s">
        <v>1809</v>
      </c>
      <c r="C91" s="25" t="s">
        <v>1817</v>
      </c>
      <c r="D91" s="25" t="s">
        <v>1811</v>
      </c>
      <c r="E91" s="25" t="s">
        <v>1818</v>
      </c>
      <c r="F91" s="25" t="s">
        <v>1819</v>
      </c>
    </row>
    <row r="92" spans="1:6" ht="76" customHeight="1">
      <c r="A92" s="25" t="s">
        <v>1820</v>
      </c>
      <c r="B92" s="25" t="s">
        <v>1821</v>
      </c>
      <c r="C92" s="25" t="s">
        <v>1822</v>
      </c>
      <c r="D92" s="25" t="s">
        <v>1811</v>
      </c>
      <c r="E92" s="25" t="s">
        <v>1823</v>
      </c>
      <c r="F92" s="25" t="s">
        <v>1824</v>
      </c>
    </row>
    <row r="93" spans="1:6" ht="70" customHeight="1">
      <c r="A93" s="25" t="s">
        <v>1825</v>
      </c>
      <c r="B93" s="25" t="s">
        <v>1809</v>
      </c>
      <c r="C93" s="25" t="s">
        <v>1826</v>
      </c>
      <c r="D93" s="25" t="s">
        <v>1827</v>
      </c>
      <c r="E93" s="25" t="s">
        <v>1828</v>
      </c>
      <c r="F93" s="25" t="s">
        <v>1829</v>
      </c>
    </row>
    <row r="94" spans="1:6" ht="12" customHeight="1"/>
    <row r="95" spans="1:6" ht="32" customHeight="1">
      <c r="A95" s="50" t="s">
        <v>1830</v>
      </c>
      <c r="B95" s="41"/>
      <c r="C95" s="41"/>
      <c r="D95" s="41"/>
      <c r="E95" s="41"/>
      <c r="F95" s="41"/>
    </row>
    <row r="96" spans="1:6" ht="112" customHeight="1">
      <c r="A96" s="48" t="s">
        <v>1831</v>
      </c>
      <c r="B96" s="41"/>
      <c r="C96" s="41"/>
      <c r="D96" s="41"/>
      <c r="E96" s="41"/>
      <c r="F96" s="41"/>
    </row>
    <row r="97" spans="1:6" ht="12" customHeight="1"/>
    <row r="98" spans="1:6" ht="32" customHeight="1">
      <c r="A98" s="50" t="s">
        <v>1693</v>
      </c>
      <c r="B98" s="41"/>
      <c r="C98" s="41"/>
      <c r="D98" s="41"/>
      <c r="E98" s="41"/>
      <c r="F98" s="41"/>
    </row>
    <row r="99" spans="1:6" ht="40" customHeight="1">
      <c r="A99" s="26" t="s">
        <v>1694</v>
      </c>
      <c r="B99" s="50" t="s">
        <v>1695</v>
      </c>
      <c r="C99" s="41"/>
      <c r="D99" s="41"/>
      <c r="E99" s="41"/>
      <c r="F99" s="41"/>
    </row>
    <row r="100" spans="1:6" ht="62" customHeight="1">
      <c r="A100" s="25" t="s">
        <v>1832</v>
      </c>
      <c r="B100" s="48" t="s">
        <v>1833</v>
      </c>
      <c r="C100" s="41"/>
      <c r="D100" s="41"/>
      <c r="E100" s="41"/>
      <c r="F100" s="41"/>
    </row>
    <row r="101" spans="1:6" ht="56" customHeight="1">
      <c r="A101" s="25" t="s">
        <v>1834</v>
      </c>
      <c r="B101" s="48" t="s">
        <v>1835</v>
      </c>
      <c r="C101" s="41"/>
      <c r="D101" s="41"/>
      <c r="E101" s="41"/>
      <c r="F101" s="41"/>
    </row>
    <row r="102" spans="1:6" ht="62" customHeight="1">
      <c r="A102" s="25" t="s">
        <v>1836</v>
      </c>
      <c r="B102" s="48" t="s">
        <v>1837</v>
      </c>
      <c r="C102" s="41"/>
      <c r="D102" s="41"/>
      <c r="E102" s="41"/>
      <c r="F102" s="41"/>
    </row>
    <row r="103" spans="1:6" ht="18" customHeight="1"/>
    <row r="104" spans="1:6" ht="42" customHeight="1">
      <c r="A104" s="26" t="s">
        <v>1623</v>
      </c>
      <c r="B104" s="26" t="s">
        <v>1624</v>
      </c>
      <c r="C104" s="26" t="s">
        <v>1625</v>
      </c>
      <c r="D104" s="26" t="s">
        <v>1626</v>
      </c>
      <c r="E104" s="26" t="s">
        <v>1134</v>
      </c>
      <c r="F104" s="26" t="s">
        <v>1451</v>
      </c>
    </row>
    <row r="105" spans="1:6" ht="48" customHeight="1">
      <c r="A105" s="25" t="s">
        <v>1838</v>
      </c>
      <c r="B105" s="25" t="s">
        <v>1839</v>
      </c>
      <c r="C105" s="25" t="s">
        <v>1123</v>
      </c>
      <c r="D105" s="25" t="s">
        <v>598</v>
      </c>
      <c r="E105" s="25" t="s">
        <v>1840</v>
      </c>
      <c r="F105" s="25" t="s">
        <v>1726</v>
      </c>
    </row>
    <row r="106" spans="1:6" ht="12" customHeight="1"/>
    <row r="107" spans="1:6" ht="32" customHeight="1">
      <c r="A107" s="50" t="s">
        <v>1841</v>
      </c>
      <c r="B107" s="41"/>
      <c r="C107" s="41"/>
      <c r="D107" s="41"/>
      <c r="E107" s="41"/>
      <c r="F107" s="41"/>
    </row>
    <row r="108" spans="1:6" ht="94" customHeight="1">
      <c r="A108" s="48" t="s">
        <v>1842</v>
      </c>
      <c r="B108" s="41"/>
      <c r="C108" s="41"/>
      <c r="D108" s="41"/>
      <c r="E108" s="41"/>
      <c r="F108" s="41"/>
    </row>
    <row r="109" spans="1:6" ht="12" customHeight="1"/>
    <row r="110" spans="1:6" ht="32" customHeight="1">
      <c r="A110" s="50" t="s">
        <v>1843</v>
      </c>
      <c r="B110" s="41"/>
      <c r="C110" s="41"/>
      <c r="D110" s="41"/>
      <c r="E110" s="41"/>
      <c r="F110" s="41"/>
    </row>
    <row r="111" spans="1:6" ht="48" customHeight="1">
      <c r="A111" s="26" t="s">
        <v>1844</v>
      </c>
      <c r="B111" s="26" t="s">
        <v>1845</v>
      </c>
      <c r="C111" s="26" t="s">
        <v>1846</v>
      </c>
      <c r="D111" s="26" t="s">
        <v>1637</v>
      </c>
      <c r="E111" s="26" t="s">
        <v>1673</v>
      </c>
      <c r="F111" s="26" t="s">
        <v>916</v>
      </c>
    </row>
    <row r="112" spans="1:6" ht="88" customHeight="1">
      <c r="A112" s="25" t="s">
        <v>1847</v>
      </c>
      <c r="B112" s="25" t="s">
        <v>1848</v>
      </c>
      <c r="C112" s="25" t="s">
        <v>1849</v>
      </c>
      <c r="D112" s="25" t="s">
        <v>1850</v>
      </c>
      <c r="E112" s="25" t="s">
        <v>1851</v>
      </c>
      <c r="F112" s="25" t="s">
        <v>1852</v>
      </c>
    </row>
    <row r="113" spans="1:6" ht="84" customHeight="1">
      <c r="A113" s="25" t="s">
        <v>1853</v>
      </c>
      <c r="B113" s="25" t="s">
        <v>1854</v>
      </c>
      <c r="C113" s="25" t="s">
        <v>1855</v>
      </c>
      <c r="D113" s="25" t="s">
        <v>1856</v>
      </c>
      <c r="E113" s="25" t="s">
        <v>1857</v>
      </c>
      <c r="F113" s="25" t="s">
        <v>1858</v>
      </c>
    </row>
    <row r="114" spans="1:6" ht="12" customHeight="1"/>
    <row r="115" spans="1:6" ht="32" customHeight="1">
      <c r="A115" s="50" t="s">
        <v>1859</v>
      </c>
      <c r="B115" s="41"/>
      <c r="C115" s="41"/>
      <c r="D115" s="41"/>
      <c r="E115" s="41"/>
      <c r="F115" s="41"/>
    </row>
    <row r="116" spans="1:6" ht="48" customHeight="1">
      <c r="A116" s="26" t="s">
        <v>1860</v>
      </c>
      <c r="B116" s="26" t="s">
        <v>1861</v>
      </c>
      <c r="C116" s="26" t="s">
        <v>1862</v>
      </c>
      <c r="D116" s="26" t="s">
        <v>1863</v>
      </c>
      <c r="E116" s="26" t="s">
        <v>1864</v>
      </c>
      <c r="F116" s="26" t="s">
        <v>1865</v>
      </c>
    </row>
    <row r="117" spans="1:6" ht="82" customHeight="1">
      <c r="A117" s="25" t="s">
        <v>1866</v>
      </c>
      <c r="B117" s="25" t="s">
        <v>1867</v>
      </c>
      <c r="C117" s="25" t="s">
        <v>1868</v>
      </c>
      <c r="D117" s="25" t="s">
        <v>1869</v>
      </c>
      <c r="E117" s="25" t="s">
        <v>1870</v>
      </c>
      <c r="F117" s="25" t="s">
        <v>1871</v>
      </c>
    </row>
    <row r="118" spans="1:6" ht="88" customHeight="1">
      <c r="A118" s="25" t="s">
        <v>1872</v>
      </c>
      <c r="B118" s="25" t="s">
        <v>1743</v>
      </c>
      <c r="C118" s="25" t="s">
        <v>1873</v>
      </c>
      <c r="D118" s="25" t="s">
        <v>1874</v>
      </c>
      <c r="E118" s="25" t="s">
        <v>1875</v>
      </c>
      <c r="F118" s="25" t="s">
        <v>1871</v>
      </c>
    </row>
    <row r="119" spans="1:6" ht="88" customHeight="1">
      <c r="A119" s="25" t="s">
        <v>1876</v>
      </c>
      <c r="B119" s="25" t="s">
        <v>1738</v>
      </c>
      <c r="C119" s="25" t="s">
        <v>1877</v>
      </c>
      <c r="D119" s="25" t="s">
        <v>1878</v>
      </c>
      <c r="E119" s="25" t="s">
        <v>1879</v>
      </c>
      <c r="F119" s="25" t="s">
        <v>1871</v>
      </c>
    </row>
    <row r="120" spans="1:6" ht="88" customHeight="1">
      <c r="A120" s="25" t="s">
        <v>1880</v>
      </c>
      <c r="B120" s="25" t="s">
        <v>1881</v>
      </c>
      <c r="C120" s="25" t="s">
        <v>1882</v>
      </c>
      <c r="D120" s="25" t="s">
        <v>1883</v>
      </c>
      <c r="E120" s="25" t="s">
        <v>1884</v>
      </c>
      <c r="F120" s="25" t="s">
        <v>1871</v>
      </c>
    </row>
    <row r="121" spans="1:6" ht="78" customHeight="1">
      <c r="A121" s="25" t="s">
        <v>1885</v>
      </c>
      <c r="B121" s="25" t="s">
        <v>1886</v>
      </c>
      <c r="C121" s="25" t="s">
        <v>1887</v>
      </c>
      <c r="D121" s="25" t="s">
        <v>1888</v>
      </c>
      <c r="E121" s="25" t="s">
        <v>1889</v>
      </c>
      <c r="F121" s="25" t="s">
        <v>1871</v>
      </c>
    </row>
    <row r="122" spans="1:6" ht="74" customHeight="1">
      <c r="A122" s="25" t="s">
        <v>1890</v>
      </c>
      <c r="B122" s="25" t="s">
        <v>1891</v>
      </c>
      <c r="C122" s="25" t="s">
        <v>1892</v>
      </c>
      <c r="D122" s="25" t="s">
        <v>1893</v>
      </c>
      <c r="E122" s="25" t="s">
        <v>1894</v>
      </c>
      <c r="F122" s="25" t="s">
        <v>1895</v>
      </c>
    </row>
    <row r="123" spans="1:6" ht="12" customHeight="1"/>
    <row r="124" spans="1:6" ht="32" customHeight="1">
      <c r="A124" s="50" t="s">
        <v>1896</v>
      </c>
      <c r="B124" s="41"/>
      <c r="C124" s="41"/>
      <c r="D124" s="41"/>
      <c r="E124" s="41"/>
      <c r="F124" s="41"/>
    </row>
    <row r="125" spans="1:6" ht="104" customHeight="1">
      <c r="A125" s="48" t="s">
        <v>1897</v>
      </c>
      <c r="B125" s="41"/>
      <c r="C125" s="41"/>
      <c r="D125" s="41"/>
      <c r="E125" s="41"/>
      <c r="F125" s="41"/>
    </row>
    <row r="126" spans="1:6" ht="12" customHeight="1"/>
    <row r="127" spans="1:6" ht="32" customHeight="1">
      <c r="A127" s="50" t="s">
        <v>1898</v>
      </c>
      <c r="B127" s="41"/>
      <c r="C127" s="41"/>
      <c r="D127" s="41"/>
      <c r="E127" s="41"/>
      <c r="F127" s="41"/>
    </row>
    <row r="128" spans="1:6" ht="92" customHeight="1">
      <c r="A128" s="48" t="s">
        <v>1899</v>
      </c>
      <c r="B128" s="41"/>
      <c r="C128" s="41"/>
      <c r="D128" s="41"/>
      <c r="E128" s="41"/>
      <c r="F128" s="41"/>
    </row>
    <row r="129" spans="1:6" ht="12" customHeight="1"/>
    <row r="130" spans="1:6" ht="32" customHeight="1">
      <c r="A130" s="50" t="s">
        <v>1900</v>
      </c>
      <c r="B130" s="41"/>
      <c r="C130" s="41"/>
      <c r="D130" s="41"/>
      <c r="E130" s="41"/>
      <c r="F130" s="41"/>
    </row>
    <row r="131" spans="1:6" ht="86" customHeight="1">
      <c r="A131" s="48" t="s">
        <v>1901</v>
      </c>
      <c r="B131" s="41"/>
      <c r="C131" s="41"/>
      <c r="D131" s="41"/>
      <c r="E131" s="41"/>
      <c r="F131" s="41"/>
    </row>
    <row r="132" spans="1:6" ht="12" customHeight="1"/>
    <row r="133" spans="1:6" ht="32" customHeight="1">
      <c r="A133" s="50" t="s">
        <v>1693</v>
      </c>
      <c r="B133" s="41"/>
      <c r="C133" s="41"/>
      <c r="D133" s="41"/>
      <c r="E133" s="41"/>
      <c r="F133" s="41"/>
    </row>
    <row r="134" spans="1:6" ht="40" customHeight="1">
      <c r="A134" s="26" t="s">
        <v>1694</v>
      </c>
      <c r="B134" s="50" t="s">
        <v>1695</v>
      </c>
      <c r="C134" s="41"/>
      <c r="D134" s="41"/>
      <c r="E134" s="41"/>
      <c r="F134" s="41"/>
    </row>
    <row r="135" spans="1:6" ht="54" customHeight="1">
      <c r="A135" s="25" t="s">
        <v>587</v>
      </c>
      <c r="B135" s="48" t="s">
        <v>1902</v>
      </c>
      <c r="C135" s="41"/>
      <c r="D135" s="41"/>
      <c r="E135" s="41"/>
      <c r="F135" s="41"/>
    </row>
    <row r="136" spans="1:6" ht="60" customHeight="1">
      <c r="A136" s="25" t="s">
        <v>600</v>
      </c>
      <c r="B136" s="48" t="s">
        <v>1903</v>
      </c>
      <c r="C136" s="41"/>
      <c r="D136" s="41"/>
      <c r="E136" s="41"/>
      <c r="F136" s="41"/>
    </row>
    <row r="137" spans="1:6" ht="60" customHeight="1">
      <c r="A137" s="25" t="s">
        <v>610</v>
      </c>
      <c r="B137" s="48" t="s">
        <v>1904</v>
      </c>
      <c r="C137" s="41"/>
      <c r="D137" s="41"/>
      <c r="E137" s="41"/>
      <c r="F137" s="41"/>
    </row>
    <row r="138" spans="1:6" ht="50" customHeight="1">
      <c r="A138" s="25" t="s">
        <v>883</v>
      </c>
      <c r="B138" s="48" t="s">
        <v>1905</v>
      </c>
      <c r="C138" s="41"/>
      <c r="D138" s="41"/>
      <c r="E138" s="41"/>
      <c r="F138" s="41"/>
    </row>
    <row r="139" spans="1:6" ht="68" customHeight="1">
      <c r="A139" s="25" t="s">
        <v>1906</v>
      </c>
      <c r="B139" s="48" t="s">
        <v>1907</v>
      </c>
      <c r="C139" s="41"/>
      <c r="D139" s="41"/>
      <c r="E139" s="41"/>
      <c r="F139" s="41"/>
    </row>
  </sheetData>
  <mergeCells count="65">
    <mergeCell ref="B138:F138"/>
    <mergeCell ref="C39:F39"/>
    <mergeCell ref="B100:F100"/>
    <mergeCell ref="A108:F108"/>
    <mergeCell ref="A128:F128"/>
    <mergeCell ref="B134:F134"/>
    <mergeCell ref="B136:F136"/>
    <mergeCell ref="B137:F137"/>
    <mergeCell ref="A133:F133"/>
    <mergeCell ref="B31:F31"/>
    <mergeCell ref="A50:F50"/>
    <mergeCell ref="A131:F131"/>
    <mergeCell ref="A125:F125"/>
    <mergeCell ref="A63:F63"/>
    <mergeCell ref="A52:F52"/>
    <mergeCell ref="A127:F127"/>
    <mergeCell ref="A130:F130"/>
    <mergeCell ref="A98:F98"/>
    <mergeCell ref="A2:F2"/>
    <mergeCell ref="A85:F85"/>
    <mergeCell ref="A78:F78"/>
    <mergeCell ref="A76:F76"/>
    <mergeCell ref="A23:F23"/>
    <mergeCell ref="A8:F8"/>
    <mergeCell ref="B67:F67"/>
    <mergeCell ref="A62:F62"/>
    <mergeCell ref="C42:F42"/>
    <mergeCell ref="A29:F29"/>
    <mergeCell ref="A37:F37"/>
    <mergeCell ref="A75:F75"/>
    <mergeCell ref="A27:F27"/>
    <mergeCell ref="B66:F66"/>
    <mergeCell ref="A24:F24"/>
    <mergeCell ref="C40:F40"/>
    <mergeCell ref="A49:F49"/>
    <mergeCell ref="B68:F68"/>
    <mergeCell ref="A107:F107"/>
    <mergeCell ref="A60:F60"/>
    <mergeCell ref="A26:F26"/>
    <mergeCell ref="B102:F102"/>
    <mergeCell ref="B70:F70"/>
    <mergeCell ref="A95:F95"/>
    <mergeCell ref="B101:F101"/>
    <mergeCell ref="A96:F96"/>
    <mergeCell ref="B34:F34"/>
    <mergeCell ref="B99:F99"/>
    <mergeCell ref="C41:F41"/>
    <mergeCell ref="A59:F59"/>
    <mergeCell ref="C44:F44"/>
    <mergeCell ref="B139:F139"/>
    <mergeCell ref="B33:F33"/>
    <mergeCell ref="A1:F1"/>
    <mergeCell ref="C43:F43"/>
    <mergeCell ref="A110:F110"/>
    <mergeCell ref="B135:F135"/>
    <mergeCell ref="B32:F32"/>
    <mergeCell ref="A124:F124"/>
    <mergeCell ref="A7:F7"/>
    <mergeCell ref="A25:F25"/>
    <mergeCell ref="B35:F35"/>
    <mergeCell ref="A10:F10"/>
    <mergeCell ref="A28:F28"/>
    <mergeCell ref="B69:F69"/>
    <mergeCell ref="A115:F115"/>
    <mergeCell ref="A65:F6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FCD4A6AF5D0146B0CDBDC1ECCDCBE7" ma:contentTypeVersion="14" ma:contentTypeDescription="Crear nuevo documento." ma:contentTypeScope="" ma:versionID="4d7503893b006ead27e0ea4dedea0c10">
  <xsd:schema xmlns:xsd="http://www.w3.org/2001/XMLSchema" xmlns:xs="http://www.w3.org/2001/XMLSchema" xmlns:p="http://schemas.microsoft.com/office/2006/metadata/properties" xmlns:ns2="438606ab-504c-4d4b-85a8-4460a7ac4a39" xmlns:ns3="844c1473-bec3-43a8-9453-77f408e7a524" targetNamespace="http://schemas.microsoft.com/office/2006/metadata/properties" ma:root="true" ma:fieldsID="6495c76130479332407c2493879908a2" ns2:_="" ns3:_="">
    <xsd:import namespace="438606ab-504c-4d4b-85a8-4460a7ac4a39"/>
    <xsd:import namespace="844c1473-bec3-43a8-9453-77f408e7a52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8606ab-504c-4d4b-85a8-4460a7ac4a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324c8c91-4e7f-40cb-9681-d426afa25ad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4c1473-bec3-43a8-9453-77f408e7a52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afbdf3b-5ec1-4472-b73d-61d6c39a3f5b}" ma:internalName="TaxCatchAll" ma:showField="CatchAllData" ma:web="844c1473-bec3-43a8-9453-77f408e7a52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38606ab-504c-4d4b-85a8-4460a7ac4a39">
      <Terms xmlns="http://schemas.microsoft.com/office/infopath/2007/PartnerControls"/>
    </lcf76f155ced4ddcb4097134ff3c332f>
    <TaxCatchAll xmlns="844c1473-bec3-43a8-9453-77f408e7a524" xsi:nil="true"/>
  </documentManagement>
</p:properties>
</file>

<file path=customXml/itemProps1.xml><?xml version="1.0" encoding="utf-8"?>
<ds:datastoreItem xmlns:ds="http://schemas.openxmlformats.org/officeDocument/2006/customXml" ds:itemID="{96AF6500-0A83-499A-B512-D3F39D41BB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8606ab-504c-4d4b-85a8-4460a7ac4a39"/>
    <ds:schemaRef ds:uri="844c1473-bec3-43a8-9453-77f408e7a5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733302-C194-42D5-8A9C-04C9B7299A8C}">
  <ds:schemaRefs>
    <ds:schemaRef ds:uri="http://schemas.microsoft.com/sharepoint/v3/contenttype/forms"/>
  </ds:schemaRefs>
</ds:datastoreItem>
</file>

<file path=customXml/itemProps3.xml><?xml version="1.0" encoding="utf-8"?>
<ds:datastoreItem xmlns:ds="http://schemas.openxmlformats.org/officeDocument/2006/customXml" ds:itemID="{5A4C0A1C-B34A-4574-8DA3-40A66C4E9B05}">
  <ds:schemaRefs>
    <ds:schemaRef ds:uri="http://schemas.microsoft.com/office/2006/metadata/properties"/>
    <ds:schemaRef ds:uri="http://schemas.microsoft.com/office/infopath/2007/PartnerControls"/>
    <ds:schemaRef ds:uri="438606ab-504c-4d4b-85a8-4460a7ac4a39"/>
    <ds:schemaRef ds:uri="844c1473-bec3-43a8-9453-77f408e7a52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10</vt:i4>
      </vt:variant>
    </vt:vector>
  </HeadingPairs>
  <TitlesOfParts>
    <vt:vector size="10" baseType="lpstr">
      <vt:lpstr>Matriz Trazabilidad</vt:lpstr>
      <vt:lpstr>Historias y CA</vt:lpstr>
      <vt:lpstr>Reglas de Negocio</vt:lpstr>
      <vt:lpstr>Fuentes</vt:lpstr>
      <vt:lpstr>Pendientes Cliente</vt:lpstr>
      <vt:lpstr>Resumen</vt:lpstr>
      <vt:lpstr>Reglas Walvy</vt:lpstr>
      <vt:lpstr>Brechas de Cobertura</vt:lpstr>
      <vt:lpstr>Observaciones Producto</vt:lpstr>
      <vt:lpstr>Anexos Producto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Ana Maria Soto Lobos</cp:lastModifiedBy>
  <cp:revision/>
  <dcterms:created xsi:type="dcterms:W3CDTF">2026-08-09T21:13:58Z</dcterms:created>
  <dcterms:modified xsi:type="dcterms:W3CDTF">2026-08-11T14:40:47Z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0x01010058FCD4A6AF5D0146B0CDBDC1ECCDCBE7</vt:lpwstr>
  </property>
</Properties>
</file>