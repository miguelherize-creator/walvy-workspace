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abeli/Downloads/"/>
    </mc:Choice>
  </mc:AlternateContent>
  <xr:revisionPtr revIDLastSave="0" documentId="13_ncr:1_{2C40198F-4B68-7649-96F8-99B440545418}" xr6:coauthVersionLast="47" xr6:coauthVersionMax="47" xr10:uidLastSave="{00000000-0000-0000-0000-000000000000}"/>
  <bookViews>
    <workbookView xWindow="31740" yWindow="1420" windowWidth="28800" windowHeight="15680" xr2:uid="{00000000-000D-0000-FFFF-FFFF00000000}"/>
  </bookViews>
  <sheets>
    <sheet name="Matriz Validación" sheetId="1" r:id="rId1"/>
    <sheet name="Resumen" sheetId="2" r:id="rId2"/>
    <sheet name="Fuentes" sheetId="3" r:id="rId3"/>
    <sheet name="_Listas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</calcChain>
</file>

<file path=xl/sharedStrings.xml><?xml version="1.0" encoding="utf-8"?>
<sst xmlns="http://schemas.openxmlformats.org/spreadsheetml/2006/main" count="1107" uniqueCount="606">
  <si>
    <t>Objetivo: validar cada escenario antes del cierre del módulo. La columna 'Clasificación de soporte' distingue lo confirmado por documentación/Figma de lo que requiere decisión.</t>
  </si>
  <si>
    <t>ID Variante</t>
  </si>
  <si>
    <t>Flujo / Subflujo</t>
  </si>
  <si>
    <t>Variante / Escenario</t>
  </si>
  <si>
    <t>Condición / Disparador</t>
  </si>
  <si>
    <t>Comportamiento esperado</t>
  </si>
  <si>
    <t>Fuente documental</t>
  </si>
  <si>
    <t>Referencia / sección</t>
  </si>
  <si>
    <t>Nodo Figma</t>
  </si>
  <si>
    <t>URL Figma</t>
  </si>
  <si>
    <t>Cobertura QA / evidencia</t>
  </si>
  <si>
    <t>Clasificación de soporte</t>
  </si>
  <si>
    <t>Validación Cliente</t>
  </si>
  <si>
    <t>Decisión PO / Comentarios</t>
  </si>
  <si>
    <t>M2-V01</t>
  </si>
  <si>
    <t>Perfil Financiero</t>
  </si>
  <si>
    <t>Caso A – Sin onboarding y sin base suficiente</t>
  </si>
  <si>
    <t>No hay información mínima para lectura útil</t>
  </si>
  <si>
    <t>Mostrar empty/valor parcial; Salud de Deuda = Sin datos suficientes; CTA Comenzar onboarding.</t>
  </si>
  <si>
    <t>Walvy_Especificacion_UX_Perfil_Financiero_v1.0_consolidado</t>
  </si>
  <si>
    <t>Estado A</t>
  </si>
  <si>
    <t>4340:10526</t>
  </si>
  <si>
    <t>https://www.figma.com/design/v45c4HTKnPnU0XABMa5vjY/Walvi-APP---Edificate-Inteligente?node-id=4340-10526</t>
  </si>
  <si>
    <t>Pendiente de enlazar evidencia QA M2</t>
  </si>
  <si>
    <t>Confirmado Doc + Figma</t>
  </si>
  <si>
    <t>Pendiente</t>
  </si>
  <si>
    <t>M2-V02</t>
  </si>
  <si>
    <t>Caso B – Sin onboarding, con información parcial</t>
  </si>
  <si>
    <t>Existe información parcial, pero base documental no alcanza para lectura completa</t>
  </si>
  <si>
    <t>Mostrar valor disponible y recomendación de mejorar precisión; Salud de Deuda puede quedar sin datos/pendiente/limitada.</t>
  </si>
  <si>
    <t>Estado B</t>
  </si>
  <si>
    <t>4340:10066</t>
  </si>
  <si>
    <t>https://www.figma.com/design/v45c4HTKnPnU0XABMa5vjY/Walvi-APP---Edificate-Inteligente?node-id=4340-10066</t>
  </si>
  <si>
    <t>Confirmado Doc + Figma conceptual</t>
  </si>
  <si>
    <t>M2-V03</t>
  </si>
  <si>
    <t>Caso C – Onboarding incompleto con base pendiente/insuficiente</t>
  </si>
  <si>
    <t>Hay avance útil pero falta base documental</t>
  </si>
  <si>
    <t>Mostrar banner/modal contextual; deuda no desplaza CTA si la base documental es insuficiente; CTA Continuar onboarding.</t>
  </si>
  <si>
    <t>Estado C</t>
  </si>
  <si>
    <t>4340:10184</t>
  </si>
  <si>
    <t>https://www.figma.com/design/v45c4HTKnPnU0XABMa5vjY/Walvi-APP---Edificate-Inteligente?node-id=4340-10184</t>
  </si>
  <si>
    <t>M2-V04</t>
  </si>
  <si>
    <t>Caso D – Perfil suficientemente completo</t>
  </si>
  <si>
    <t>Existe base suficiente</t>
  </si>
  <si>
    <t>Mostrar resumen con ingreso, compromisos, recurrentes, movimientos sin categorizar, mecanismos, completitud, regla financiera y Salud de Deuda; CTA de mayor impacto.</t>
  </si>
  <si>
    <t>Estado D</t>
  </si>
  <si>
    <t>4340:10299</t>
  </si>
  <si>
    <t>https://www.figma.com/design/v45c4HTKnPnU0XABMa5vjY/Walvi-APP---Edificate-Inteligente?node-id=4340-10299</t>
  </si>
  <si>
    <t>M2-V05</t>
  </si>
  <si>
    <t>Mi Perfil</t>
  </si>
  <si>
    <t>Abrir menú de avatar</t>
  </si>
  <si>
    <t>Usuario toca avatar/perfil</t>
  </si>
  <si>
    <t>Mostrar opciones Mi Perfil y Cerrar Sesión.</t>
  </si>
  <si>
    <t>Figma</t>
  </si>
  <si>
    <t>No se encontró regla funcional específica en documentos M2 revisados</t>
  </si>
  <si>
    <t>3395:4743</t>
  </si>
  <si>
    <t>https://www.figma.com/design/v45c4HTKnPnU0XABMa5vjY/Walvi-APP---Edificate-Inteligente?node-id=3395-4743</t>
  </si>
  <si>
    <t>Pendiente QA</t>
  </si>
  <si>
    <t>Figma solamente / formalizar regla</t>
  </si>
  <si>
    <t>M2-V06</t>
  </si>
  <si>
    <t>Ingresar a Mi Perfil</t>
  </si>
  <si>
    <t>Usuario selecciona Mi Perfil</t>
  </si>
  <si>
    <t>Abrir superficie Mi perfil.</t>
  </si>
  <si>
    <t>Estructura de navegación</t>
  </si>
  <si>
    <t>3395:4637</t>
  </si>
  <si>
    <t>https://www.figma.com/design/v45c4HTKnPnU0XABMa5vjY/Walvi-APP---Edificate-Inteligente?node-id=3395-4637</t>
  </si>
  <si>
    <t>Figma solamente</t>
  </si>
  <si>
    <t>M2-V07</t>
  </si>
  <si>
    <t>Cerrar sesión</t>
  </si>
  <si>
    <t>Usuario selecciona Cerrar Sesión</t>
  </si>
  <si>
    <t>Cerrar sesión conforme política; confirmar si existe modal previo.</t>
  </si>
  <si>
    <t>No se encontró regla de confirmación/cierre en documentos revisados</t>
  </si>
  <si>
    <t>Figma solamente / validar comportamiento</t>
  </si>
  <si>
    <t>M2-V08</t>
  </si>
  <si>
    <t>Acceder a Mis Datos</t>
  </si>
  <si>
    <t>Usuario selecciona Mis Datos</t>
  </si>
  <si>
    <t>Abrir pantalla Mis datos.</t>
  </si>
  <si>
    <t>Navegación desde Mi perfil</t>
  </si>
  <si>
    <t>3395:4654</t>
  </si>
  <si>
    <t>https://www.figma.com/design/v45c4HTKnPnU0XABMa5vjY/Walvi-APP---Edificate-Inteligente?node-id=3395-4654</t>
  </si>
  <si>
    <t>M2-V09</t>
  </si>
  <si>
    <t>Acceder a Mi Perfil Financiero</t>
  </si>
  <si>
    <t>Usuario selecciona Mi perfil financiero</t>
  </si>
  <si>
    <t>Abrir Perfil Financiero.</t>
  </si>
  <si>
    <t>Figma + Especificación UX Perfil Financiero</t>
  </si>
  <si>
    <t>Superficie Perfil Financiero</t>
  </si>
  <si>
    <t>3395:4664</t>
  </si>
  <si>
    <t>https://www.figma.com/design/v45c4HTKnPnU0XABMa5vjY/Walvi-APP---Edificate-Inteligente?node-id=3395-4664</t>
  </si>
  <si>
    <t>Confirmado por navegación + documento</t>
  </si>
  <si>
    <t>M2-V10</t>
  </si>
  <si>
    <t>Acceder a Mi Foco del Mes</t>
  </si>
  <si>
    <t>Usuario selecciona Mi foco del mes</t>
  </si>
  <si>
    <t>Abrir selección/estado de Foco del Mes.</t>
  </si>
  <si>
    <t>Figma + Regla Foco del Mes</t>
  </si>
  <si>
    <t>Catálogo y aplicación por pantalla</t>
  </si>
  <si>
    <t>3395:4673</t>
  </si>
  <si>
    <t>https://www.figma.com/design/v45c4HTKnPnU0XABMa5vjY/Walvi-APP---Edificate-Inteligente?node-id=3395-4673</t>
  </si>
  <si>
    <t>M2-V11</t>
  </si>
  <si>
    <t>Acceder a Mi Suscripción</t>
  </si>
  <si>
    <t>Usuario selecciona Mi suscripción</t>
  </si>
  <si>
    <t>Abrir flujo de suscripción.</t>
  </si>
  <si>
    <t>Reglas formales de suscripción no identificadas en documentos funcionales revisados</t>
  </si>
  <si>
    <t>3395:4682</t>
  </si>
  <si>
    <t>https://www.figma.com/design/v45c4HTKnPnU0XABMa5vjY/Walvi-APP---Edificate-Inteligente?node-id=3395-4682</t>
  </si>
  <si>
    <t>Figma solamente / formalizar reglas</t>
  </si>
  <si>
    <t>M2-V12</t>
  </si>
  <si>
    <t>Acceder a Configurar mis avisos</t>
  </si>
  <si>
    <t>Usuario selecciona Configurar mis avisos</t>
  </si>
  <si>
    <t>Abrir configuración cuando esté disponible.</t>
  </si>
  <si>
    <t>Pantalla en construcción; catálogo/priorización de avisos no cerrado en fuentes revisadas</t>
  </si>
  <si>
    <t>3395:4693</t>
  </si>
  <si>
    <t>https://www.figma.com/design/v45c4HTKnPnU0XABMa5vjY/Walvi-APP---Edificate-Inteligente?node-id=3395-4693</t>
  </si>
  <si>
    <t>Figma / funcionalidad incompleta</t>
  </si>
  <si>
    <t>M2-V13</t>
  </si>
  <si>
    <t>Acceder a Actualizar contraseña</t>
  </si>
  <si>
    <t>Usuario selecciona Actualizar mi contraseña</t>
  </si>
  <si>
    <t>Abrir formulario de cambio de contraseña.</t>
  </si>
  <si>
    <t>No se encontró documento funcional específico; estados sí están detallados en Figma</t>
  </si>
  <si>
    <t>3395:4702</t>
  </si>
  <si>
    <t>https://www.figma.com/design/v45c4HTKnPnU0XABMa5vjY/Walvi-APP---Edificate-Inteligente?node-id=3395-4702</t>
  </si>
  <si>
    <t>M2-V14</t>
  </si>
  <si>
    <t>Activar/desactivar modo oscuro</t>
  </si>
  <si>
    <t>Usuario cambia toggle Modo oscuro</t>
  </si>
  <si>
    <t>Cambiar apariencia conforme capacidad definida; persistencia debe confirmarse.</t>
  </si>
  <si>
    <t>No se encontró regla funcional de persistencia/cobertura</t>
  </si>
  <si>
    <t>3395:4714</t>
  </si>
  <si>
    <t>https://www.figma.com/design/v45c4HTKnPnU0XABMa5vjY/Walvi-APP---Edificate-Inteligente?node-id=3395-4714</t>
  </si>
  <si>
    <t>Figma solamente / validar alcance</t>
  </si>
  <si>
    <t>M2-V15</t>
  </si>
  <si>
    <t>Mis Datos</t>
  </si>
  <si>
    <t>Consultar datos personales</t>
  </si>
  <si>
    <t>Usuario entra a Mis datos</t>
  </si>
  <si>
    <t>Mostrar datos personales/contacto y sección Seguridad.</t>
  </si>
  <si>
    <t>No se encontró especificación funcional de edición de datos en fuentes revisadas</t>
  </si>
  <si>
    <t>3395:4515</t>
  </si>
  <si>
    <t>https://www.figma.com/design/v45c4HTKnPnU0XABMa5vjY/Walvi-APP---Edificate-Inteligente?node-id=3395-4515</t>
  </si>
  <si>
    <t>Figma solamente / formalizar alcance</t>
  </si>
  <si>
    <t>M2-V16</t>
  </si>
  <si>
    <t>Nombre visible</t>
  </si>
  <si>
    <t>Perfil posee nombre</t>
  </si>
  <si>
    <t>Mostrar nombre como dato de perfil según versión vigente.</t>
  </si>
  <si>
    <t>Hay iteraciones de diseño con distinta estructura de campos</t>
  </si>
  <si>
    <t>3584:2508</t>
  </si>
  <si>
    <t>https://www.figma.com/design/v45c4HTKnPnU0XABMa5vjY/Walvi-APP---Edificate-Inteligente?node-id=3584-2508</t>
  </si>
  <si>
    <t>Figma / confirmar versión vigente</t>
  </si>
  <si>
    <t>M2-V17</t>
  </si>
  <si>
    <t>RUT visible</t>
  </si>
  <si>
    <t>Perfil posee RUT</t>
  </si>
  <si>
    <t>Mostrar RUT; confirmar si es solo lectura.</t>
  </si>
  <si>
    <t>Regla de editabilidad no encontrada</t>
  </si>
  <si>
    <t>3584:2546</t>
  </si>
  <si>
    <t>https://www.figma.com/design/v45c4HTKnPnU0XABMa5vjY/Walvi-APP---Edificate-Inteligente?node-id=3584-2546</t>
  </si>
  <si>
    <t>Figma / decisión Producto</t>
  </si>
  <si>
    <t>M2-V18</t>
  </si>
  <si>
    <t>Editar alias</t>
  </si>
  <si>
    <t>Usuario modifica alias</t>
  </si>
  <si>
    <t>Permitir modificación y persistencia si campo es editable.</t>
  </si>
  <si>
    <t>Campo Alias visible en diseño</t>
  </si>
  <si>
    <t>3584:2550</t>
  </si>
  <si>
    <t>https://www.figma.com/design/v45c4HTKnPnU0XABMa5vjY/Walvi-APP---Edificate-Inteligente?node-id=3584-2550</t>
  </si>
  <si>
    <t>Figma / formalizar validación</t>
  </si>
  <si>
    <t>M2-V19</t>
  </si>
  <si>
    <t>Editar correo electrónico</t>
  </si>
  <si>
    <t>Usuario modifica correo</t>
  </si>
  <si>
    <t>Permitir o derivar a mecanismo de cambio seguro; regla de reverificación debe definirse.</t>
  </si>
  <si>
    <t>Campo visible como editable en una iteración; no se encontró regla de reverificación</t>
  </si>
  <si>
    <t>3584:2555</t>
  </si>
  <si>
    <t>https://www.figma.com/design/v45c4HTKnPnU0XABMa5vjY/Walvi-APP---Edificate-Inteligente?node-id=3584-2555</t>
  </si>
  <si>
    <t>Figma / alta prioridad de validación</t>
  </si>
  <si>
    <t>M2-V20</t>
  </si>
  <si>
    <t>Datos válidos actualizados</t>
  </si>
  <si>
    <t>Usuario guarda datos que cumplen validaciones</t>
  </si>
  <si>
    <t>Persistir cambios y reflejarlos en perfil.</t>
  </si>
  <si>
    <t>Tratamiento de éxito no detallado completamente en fuente documental</t>
  </si>
  <si>
    <t>Figma / regla pendiente</t>
  </si>
  <si>
    <t>M2-V21</t>
  </si>
  <si>
    <t>Datos inválidos</t>
  </si>
  <si>
    <t>Usuario ingresa valor inválido en campo editable</t>
  </si>
  <si>
    <t>Impedir guardado y mostrar error correspondiente.</t>
  </si>
  <si>
    <t>No se encontró catálogo completo de validaciones/errores</t>
  </si>
  <si>
    <t>Regla pendiente Producto/UX</t>
  </si>
  <si>
    <t>M2-V22</t>
  </si>
  <si>
    <t>Versiones de diseño con campos distintos</t>
  </si>
  <si>
    <t>Existen iteraciones Figma con correo/RUT + 3 inputs versus nombre/RUT + alias/correo</t>
  </si>
  <si>
    <t>Definir cuál es la versión vigente y campos editables/solo lectura.</t>
  </si>
  <si>
    <t>Diferencia de iteraciones observada en nodo Módulo 2</t>
  </si>
  <si>
    <t>3584:2409</t>
  </si>
  <si>
    <t>https://www.figma.com/design/v45c4HTKnPnU0XABMa5vjY/Walvi-APP---Edificate-Inteligente?node-id=3584-2409</t>
  </si>
  <si>
    <t>No aplica hasta definición</t>
  </si>
  <si>
    <t>Diferencia de diseño / decisión PO</t>
  </si>
  <si>
    <t>M2-V23</t>
  </si>
  <si>
    <t>Foto de perfil</t>
  </si>
  <si>
    <t>Avatar por defecto / sin foto</t>
  </si>
  <si>
    <t>Usuario no tiene foto personalizada</t>
  </si>
  <si>
    <t>Mostrar avatar por defecto.</t>
  </si>
  <si>
    <t>No se encontró documento funcional específico</t>
  </si>
  <si>
    <t>M2-V24</t>
  </si>
  <si>
    <t>Abrir edición de foto</t>
  </si>
  <si>
    <t>Usuario toca editar foto</t>
  </si>
  <si>
    <t>Abrir modal Mi foto de perfil.</t>
  </si>
  <si>
    <t>Modal explícito</t>
  </si>
  <si>
    <t>3584:2602</t>
  </si>
  <si>
    <t>https://www.figma.com/design/v45c4HTKnPnU0XABMa5vjY/Walvi-APP---Edificate-Inteligente?node-id=3584-2602</t>
  </si>
  <si>
    <t>M2-V25</t>
  </si>
  <si>
    <t>Modal sin imagen seleccionada</t>
  </si>
  <si>
    <t>Modal abierto sin nueva imagen</t>
  </si>
  <si>
    <t>Mostrar acción para seleccionar/cargar imagen y ayuda.</t>
  </si>
  <si>
    <t>Modal de carga</t>
  </si>
  <si>
    <t>M2-V26</t>
  </si>
  <si>
    <t>Imagen seleccionada</t>
  </si>
  <si>
    <t>Usuario selecciona una imagen</t>
  </si>
  <si>
    <t>Mostrar vista previa antes de confirmar.</t>
  </si>
  <si>
    <t>Vista previa</t>
  </si>
  <si>
    <t>3584:2621</t>
  </si>
  <si>
    <t>https://www.figma.com/design/v45c4HTKnPnU0XABMa5vjY/Walvi-APP---Edificate-Inteligente?node-id=3584-2621</t>
  </si>
  <si>
    <t>M2-V27</t>
  </si>
  <si>
    <t>Reposicionar/ajustar imagen</t>
  </si>
  <si>
    <t>Existe imagen en vista previa</t>
  </si>
  <si>
    <t>Permitir ajustar/reubicar dentro del recorte mostrado.</t>
  </si>
  <si>
    <t>Controles de vista previa</t>
  </si>
  <si>
    <t>3584:2715</t>
  </si>
  <si>
    <t>https://www.figma.com/design/v45c4HTKnPnU0XABMa5vjY/Walvi-APP---Edificate-Inteligente?node-id=3584-2715</t>
  </si>
  <si>
    <t>M2-V28</t>
  </si>
  <si>
    <t>Confirmar cambio</t>
  </si>
  <si>
    <t>Usuario aprueba la nueva imagen</t>
  </si>
  <si>
    <t>Guardar y mostrar nueva foto en perfil.</t>
  </si>
  <si>
    <t>Botones de modal; copy exacto debe confirmarse</t>
  </si>
  <si>
    <t>Figma / regla de persistencia pendiente</t>
  </si>
  <si>
    <t>M2-V29</t>
  </si>
  <si>
    <t>Cancelar cambio</t>
  </si>
  <si>
    <t>Usuario cancela modal</t>
  </si>
  <si>
    <t>Cerrar sin aplicar cambios.</t>
  </si>
  <si>
    <t>Botones del modal</t>
  </si>
  <si>
    <t>M2-V30</t>
  </si>
  <si>
    <t>Archivo inválido/error de carga</t>
  </si>
  <si>
    <t>Formato/peso/archivo no aceptable</t>
  </si>
  <si>
    <t>Mostrar error y permitir nueva selección; formatos/peso deben definirse.</t>
  </si>
  <si>
    <t>No soportado por documento funcional revisado</t>
  </si>
  <si>
    <t>No se encontraron reglas de formato, peso o error</t>
  </si>
  <si>
    <t>Pendiente de definición Producto/Técnica</t>
  </si>
  <si>
    <t>M2-V31</t>
  </si>
  <si>
    <t>Seguridad / Biometría</t>
  </si>
  <si>
    <t>Face ID disponible</t>
  </si>
  <si>
    <t>Dispositivo soporta Face ID</t>
  </si>
  <si>
    <t>Mostrar toggle/alternativa correspondiente.</t>
  </si>
  <si>
    <t>Gestión de biometría desde Mis Datos</t>
  </si>
  <si>
    <t>4232:5846</t>
  </si>
  <si>
    <t>https://www.figma.com/design/v45c4HTKnPnU0XABMa5vjY/Walvi-APP---Edificate-Inteligente?node-id=4232-5846</t>
  </si>
  <si>
    <t>M2-V32</t>
  </si>
  <si>
    <t>Huella disponible</t>
  </si>
  <si>
    <t>Dispositivo soporta huella</t>
  </si>
  <si>
    <t>4232:5853</t>
  </si>
  <si>
    <t>https://www.figma.com/design/v45c4HTKnPnU0XABMa5vjY/Walvi-APP---Edificate-Inteligente?node-id=4232-5853</t>
  </si>
  <si>
    <t>M2-V33</t>
  </si>
  <si>
    <t>Activar biometría</t>
  </si>
  <si>
    <t>Preferencia está desactivada y usuario activa toggle</t>
  </si>
  <si>
    <t>Solicitar/autenticar según mecanismo del SO y persistir si es exitoso.</t>
  </si>
  <si>
    <t>Regla operativa no encontrada en documentación M2</t>
  </si>
  <si>
    <t>M2-V34</t>
  </si>
  <si>
    <t>Desactivar biometría</t>
  </si>
  <si>
    <t>Preferencia está activada y usuario desactiva toggle</t>
  </si>
  <si>
    <t>Deshabilitar uso biométrico para siguientes accesos.</t>
  </si>
  <si>
    <t>M2-V35</t>
  </si>
  <si>
    <t>Dispositivo no compatible</t>
  </si>
  <si>
    <t>No existe Face ID/huella compatible</t>
  </si>
  <si>
    <t>Definir si se oculta, deshabilita o explica la opción.</t>
  </si>
  <si>
    <t>No soportado por fuentes revisadas</t>
  </si>
  <si>
    <t>Decisión pendiente</t>
  </si>
  <si>
    <t>Pendiente Producto/Técnica</t>
  </si>
  <si>
    <t>M2-V36</t>
  </si>
  <si>
    <t>Permiso biométrico rechazado</t>
  </si>
  <si>
    <t>SO/usuario niega autorización</t>
  </si>
  <si>
    <t>Definir mensaje, fallback y estado del toggle.</t>
  </si>
  <si>
    <t>M2-V37</t>
  </si>
  <si>
    <t>Actualizar contraseña</t>
  </si>
  <si>
    <t>Estado inicial</t>
  </si>
  <si>
    <t>Usuario ingresa a Actualizar contraseña</t>
  </si>
  <si>
    <t>Mostrar contraseña actual, nueva, confirmación y CTA según habilitación.</t>
  </si>
  <si>
    <t>Flujo de contraseña detallado en Módulo 2</t>
  </si>
  <si>
    <t>3395:4885</t>
  </si>
  <si>
    <t>https://www.figma.com/design/v45c4HTKnPnU0XABMa5vjY/Walvi-APP---Edificate-Inteligente?node-id=3395-4885</t>
  </si>
  <si>
    <t>M2-V38</t>
  </si>
  <si>
    <t>Contraseña actual incorrecta</t>
  </si>
  <si>
    <t>Credencial actual no valida</t>
  </si>
  <si>
    <t>Mostrar “Contraseña incorrecta”; mantener nuevos campos/CTA no habilitados según diseño.</t>
  </si>
  <si>
    <t>Estado explícito</t>
  </si>
  <si>
    <t>3980:3922</t>
  </si>
  <si>
    <t>https://www.figma.com/design/v45c4HTKnPnU0XABMa5vjY/Walvi-APP---Edificate-Inteligente?node-id=3980-3922</t>
  </si>
  <si>
    <t>Confirmado Figma</t>
  </si>
  <si>
    <t>M2-V39</t>
  </si>
  <si>
    <t>Nueva contraseña no cumple requisitos</t>
  </si>
  <si>
    <t>Alguna regla mínima no se cumple</t>
  </si>
  <si>
    <t>Mostrar checklist de requisitos y no habilitar actualización.</t>
  </si>
  <si>
    <t>Requisitos explícitos: al menos 8 caracteres, una mayúscula y un número</t>
  </si>
  <si>
    <t>3980:3563</t>
  </si>
  <si>
    <t>https://www.figma.com/design/v45c4HTKnPnU0XABMa5vjY/Walvi-APP---Edificate-Inteligente?node-id=3980-3563</t>
  </si>
  <si>
    <t>Confirmado Figma / formalizar como regla</t>
  </si>
  <si>
    <t>M2-V40</t>
  </si>
  <si>
    <t>Nueva contraseña cumple requisitos</t>
  </si>
  <si>
    <t>Se cumplen 8 caracteres + mayúscula + número</t>
  </si>
  <si>
    <t>Habilitar confirmación y continuar validación.</t>
  </si>
  <si>
    <t>Checklist de requisitos completo</t>
  </si>
  <si>
    <t>3980:3665</t>
  </si>
  <si>
    <t>https://www.figma.com/design/v45c4HTKnPnU0XABMa5vjY/Walvi-APP---Edificate-Inteligente?node-id=3980-3665</t>
  </si>
  <si>
    <t>M2-V41</t>
  </si>
  <si>
    <t>Confirmación no coincide</t>
  </si>
  <si>
    <t>Nueva contraseña y confirmación difieren</t>
  </si>
  <si>
    <t>Mostrar “Contraseña no coincide”; botón Actualizar deshabilitado.</t>
  </si>
  <si>
    <t>M2-V42</t>
  </si>
  <si>
    <t>Formulario válido</t>
  </si>
  <si>
    <t>Contraseña actual válida + nueva cumple reglas + confirmación coincide</t>
  </si>
  <si>
    <t>Habilitar botón Actualizar.</t>
  </si>
  <si>
    <t>Estado con CTA habilitado</t>
  </si>
  <si>
    <t>3980:4017</t>
  </si>
  <si>
    <t>https://www.figma.com/design/v45c4HTKnPnU0XABMa5vjY/Walvi-APP---Edificate-Inteligente?node-id=3980-4017</t>
  </si>
  <si>
    <t>M2-V43</t>
  </si>
  <si>
    <t>Actualización exitosa</t>
  </si>
  <si>
    <t>Backend acepta cambio</t>
  </si>
  <si>
    <t>Mostrar mensaje “Tu contraseña ha sido actualizada con éxito”.</t>
  </si>
  <si>
    <t>Estado éxito</t>
  </si>
  <si>
    <t>3980:4245</t>
  </si>
  <si>
    <t>https://www.figma.com/design/v45c4HTKnPnU0XABMa5vjY/Walvi-APP---Edificate-Inteligente?node-id=3980-4245</t>
  </si>
  <si>
    <t>M2-V44</t>
  </si>
  <si>
    <t>Reglas no visibles en Figma</t>
  </si>
  <si>
    <t>Cambio a misma contraseña, límite de intentos, cierre de sesiones, notificación de seguridad</t>
  </si>
  <si>
    <t>Definir comportamiento antes de cierre de alcance/QA.</t>
  </si>
  <si>
    <t>Brecha funcional</t>
  </si>
  <si>
    <t>Pendiente de Producto/Seguridad</t>
  </si>
  <si>
    <t>M2-V45</t>
  </si>
  <si>
    <t>Foco del Mes</t>
  </si>
  <si>
    <t>Bajar deuda</t>
  </si>
  <si>
    <t>Usuario selecciona objetivo</t>
  </si>
  <si>
    <t>Foco activo = Bajar deuda; CTA normal asociado Ver Ruta Despeje/Revisar deudas salvo señal crítica superior.</t>
  </si>
  <si>
    <t>Regla Priorización CTA por Foco del Mes + Figma</t>
  </si>
  <si>
    <t>Catálogo oficial y matriz Foco–Indicadores–CTA</t>
  </si>
  <si>
    <t>3993:5128</t>
  </si>
  <si>
    <t>https://www.figma.com/design/v45c4HTKnPnU0XABMa5vjY/Walvi-APP---Edificate-Inteligente?node-id=3993-5128</t>
  </si>
  <si>
    <t>M2-V46</t>
  </si>
  <si>
    <t>Ahorrar un monto</t>
  </si>
  <si>
    <t>Foco activo; CTA normal Crear meta de ahorro, si no hay señal crítica.</t>
  </si>
  <si>
    <t>Catálogo oficial</t>
  </si>
  <si>
    <t>M2-V47</t>
  </si>
  <si>
    <t>Aumentar margen</t>
  </si>
  <si>
    <t>Foco activo; CTA normal Revisar recurrentes, si no hay señal crítica.</t>
  </si>
  <si>
    <t>M2-V48</t>
  </si>
  <si>
    <t>Evitar atrasos</t>
  </si>
  <si>
    <t>Foco activo; CTA normal Revisar pagos próximos.</t>
  </si>
  <si>
    <t>M2-V49</t>
  </si>
  <si>
    <t>Cumplir presupuesto</t>
  </si>
  <si>
    <t>Foco activo; CTA normal Revisar presupuesto si no hay señal crítica.</t>
  </si>
  <si>
    <t>M2-V50</t>
  </si>
  <si>
    <t>Ordenar compromisos</t>
  </si>
  <si>
    <t>Foco activo; CTA normal Revisar compromisos.</t>
  </si>
  <si>
    <t>M2-V51</t>
  </si>
  <si>
    <t>Foco ya vigente</t>
  </si>
  <si>
    <t>Usuario vuelve a Mi foco del mes con un foco activo</t>
  </si>
  <si>
    <t>Mostrar foco activo, contexto y acción principal.</t>
  </si>
  <si>
    <t>Regla Priorización CTA + Figma</t>
  </si>
  <si>
    <t>Aplicación por pantalla Mi Foco del Mes</t>
  </si>
  <si>
    <t>3993:5304</t>
  </si>
  <si>
    <t>https://www.figma.com/design/v45c4HTKnPnU0XABMa5vjY/Walvi-APP---Edificate-Inteligente?node-id=3993-5304</t>
  </si>
  <si>
    <t>M2-V52</t>
  </si>
  <si>
    <t>Cambiar foco</t>
  </si>
  <si>
    <t>Usuario modifica foco activo</t>
  </si>
  <si>
    <t>Permitir cambio; advertir si existe señal crítica más prioritaria.</t>
  </si>
  <si>
    <t>Regla Priorización CTA por Foco del Mes</t>
  </si>
  <si>
    <t>RB-FM-010</t>
  </si>
  <si>
    <t>3993:5216</t>
  </si>
  <si>
    <t>https://www.figma.com/design/v45c4HTKnPnU0XABMa5vjY/Walvi-APP---Edificate-Inteligente?node-id=3993-5216</t>
  </si>
  <si>
    <t>Documentado + Figma de selección</t>
  </si>
  <si>
    <t>M2-V53</t>
  </si>
  <si>
    <t>Sin foco declarado / foco sugerido</t>
  </si>
  <si>
    <t>No hay foco activo</t>
  </si>
  <si>
    <t>Walvy puede sugerir uno según Perfil Financiero; señal crítica prevalece.</t>
  </si>
  <si>
    <t>Jerarquía: señal crítica &gt; foco declarado &gt; foco sugerido</t>
  </si>
  <si>
    <t>Documento / comportamiento UI a validar</t>
  </si>
  <si>
    <t>M2-V54</t>
  </si>
  <si>
    <t>Salud de Deuda</t>
  </si>
  <si>
    <t>Sana</t>
  </si>
  <si>
    <t>Base suficiente y deuda manejable o sin deudas visibles confirmadas/detectadas</t>
  </si>
  <si>
    <t>Mostrar estado Sana y copy prudente; no dominar CTA si otra acción aporta más valor.</t>
  </si>
  <si>
    <t>Perfil Financiero consolidado + Reglas Salud de Deuda</t>
  </si>
  <si>
    <t>PF-SD-001; estado Sana</t>
  </si>
  <si>
    <t>6745:6016</t>
  </si>
  <si>
    <t>https://www.figma.com/design/v45c4HTKnPnU0XABMa5vjY/Walvi-APP---Edificate-Inteligente?node-id=6745-6016</t>
  </si>
  <si>
    <t>Documento; nombre visual Figma a validar</t>
  </si>
  <si>
    <t>M2-V55</t>
  </si>
  <si>
    <t>Requiere atención</t>
  </si>
  <si>
    <t>Deuda manejable pero reduce holgura o se acerca a límites</t>
  </si>
  <si>
    <t>Mostrar explicación y CTA Revisar deudas.</t>
  </si>
  <si>
    <t>Estado Requiere atención</t>
  </si>
  <si>
    <t>Doc + Figma conceptual</t>
  </si>
  <si>
    <t>M2-V56</t>
  </si>
  <si>
    <t>Presionada</t>
  </si>
  <si>
    <t>Mora/recargo/pago mínimo recurrente o presión atribuible a deuda</t>
  </si>
  <si>
    <t>Puede dominar CTA con Ver Ruta Despeje cuando sea la señal más relevante y exista base suficiente.</t>
  </si>
  <si>
    <t>Estado Presionada</t>
  </si>
  <si>
    <t>Documento; representación Figma incompleta</t>
  </si>
  <si>
    <t>M2-V57</t>
  </si>
  <si>
    <t>Sin datos suficientes</t>
  </si>
  <si>
    <t>No existe base suficiente para evaluar deuda/ingreso</t>
  </si>
  <si>
    <t>No afirmar ausencia de deuda; CTA completar/mejorar precisión.</t>
  </si>
  <si>
    <t>PF-SD-002; estado Sin datos suficientes</t>
  </si>
  <si>
    <t>M2-V58</t>
  </si>
  <si>
    <t>Diferencia de nomenclatura Figma vs documento</t>
  </si>
  <si>
    <t>Figma muestra “En control” / “Lectura parcial”; documento define Sana/Requiere atención/Presionada/Sin datos</t>
  </si>
  <si>
    <t>Definir nomenclatura final y dueño de regla antes de QA/cierre.</t>
  </si>
  <si>
    <t>Figma + Perfil Financiero + Reglas Salud de Deuda</t>
  </si>
  <si>
    <t>Anotación Figma: estados finales Salud de Deuda/Ruta Despeje se definen en M4</t>
  </si>
  <si>
    <t>No aplica hasta decisión</t>
  </si>
  <si>
    <t>Contradicción / alta prioridad PO</t>
  </si>
  <si>
    <t>M2-V59</t>
  </si>
  <si>
    <t>Ruta Despeje</t>
  </si>
  <si>
    <t>Aún no disponible</t>
  </si>
  <si>
    <t>Datos insuficientes para activar Ruta</t>
  </si>
  <si>
    <t>No simular plan; orientar a completar información.</t>
  </si>
  <si>
    <t>Ruta Despeje + Perfil Financiero + Figma</t>
  </si>
  <si>
    <t>Datos insuficientes → completar información</t>
  </si>
  <si>
    <t>Doc + Figma</t>
  </si>
  <si>
    <t>M2-V60</t>
  </si>
  <si>
    <t>Por definir / Datos por confirmar</t>
  </si>
  <si>
    <t>Existe base parcial o deuda pendiente</t>
  </si>
  <si>
    <t>Mostrar estado limitado/pendiente y mejorar precisión/confirmar.</t>
  </si>
  <si>
    <t>Ruta Despeje + Perfil Financiero</t>
  </si>
  <si>
    <t>Ruta activa limitada / deuda detectada no confirmada</t>
  </si>
  <si>
    <t>M2-V61</t>
  </si>
  <si>
    <t>Revisión sugerida</t>
  </si>
  <si>
    <t>Salud requiere atención o señal de deuda relevante</t>
  </si>
  <si>
    <t>Mostrar CTA local Revisar deudas, salvo prioridad superior.</t>
  </si>
  <si>
    <t>Ruta Despeje + Salud de Deuda</t>
  </si>
  <si>
    <t>M2-V62</t>
  </si>
  <si>
    <t>En marcha</t>
  </si>
  <si>
    <t>Existe Ruta activa con datos suficientes</t>
  </si>
  <si>
    <t>Mostrar acceso/resumen contextual; Perfil no debe ejecutar el plan completo.</t>
  </si>
  <si>
    <t>Ruta activa; Perfil refleja resultado</t>
  </si>
  <si>
    <t>M2-V63</t>
  </si>
  <si>
    <t>Estados finales propiedad M4</t>
  </si>
  <si>
    <t>Diseño M2 consume Salud/Ruta</t>
  </si>
  <si>
    <t>Confirmar contrato y nombres finales desde M4; M2 no debe inventar estados propios.</t>
  </si>
  <si>
    <t>Figma + documentos de Salud/Ruta</t>
  </si>
  <si>
    <t>Anotación Figma y relación modular</t>
  </si>
  <si>
    <t>Dependencia M4 / decisión PO</t>
  </si>
  <si>
    <t>M2-V64</t>
  </si>
  <si>
    <t>CTA / Próxima acción</t>
  </si>
  <si>
    <t>Señal crítica prevalece</t>
  </si>
  <si>
    <t>Hay deuda presionada, mora, vencimiento crítico, disponible negativo o dato crítico faltante</t>
  </si>
  <si>
    <t>Mostrar CTA que reduce mayor riesgo inmediato.</t>
  </si>
  <si>
    <t>Jerarquía Nivel 1</t>
  </si>
  <si>
    <t>Regla documental</t>
  </si>
  <si>
    <t>M2-V65</t>
  </si>
  <si>
    <t>Foco declarado prioriza CTA</t>
  </si>
  <si>
    <t>No hay señal crítica y existe foco activo</t>
  </si>
  <si>
    <t>Mostrar CTA alineado al foco.</t>
  </si>
  <si>
    <t>Jerarquía Nivel 2</t>
  </si>
  <si>
    <t>Regla documental + Figma</t>
  </si>
  <si>
    <t>M2-V66</t>
  </si>
  <si>
    <t>Foco sugerido por Walvy</t>
  </si>
  <si>
    <t>No hay foco declarado o no se sostiene con datos</t>
  </si>
  <si>
    <t>Sugerir foco y CTA según indicadores.</t>
  </si>
  <si>
    <t>Jerarquía Nivel 3</t>
  </si>
  <si>
    <t>Documento / UI a validar</t>
  </si>
  <si>
    <t>M2-V67</t>
  </si>
  <si>
    <t>Catálogo Figma marcado como pendiente</t>
  </si>
  <si>
    <t>Nota de Figma indica catálogo/priorización desde M4/M5/M6 pendiente</t>
  </si>
  <si>
    <t>Resolver si la nota de Figma quedó desactualizada frente al documento posterior de priorización CTA.</t>
  </si>
  <si>
    <t>Figma + Regla Priorización CTA</t>
  </si>
  <si>
    <t>Diferencia de fuentes/temporalidad</t>
  </si>
  <si>
    <t>Diferencia documental / decisión PO</t>
  </si>
  <si>
    <t>M2-V68</t>
  </si>
  <si>
    <t>Suscripción</t>
  </si>
  <si>
    <t>Período inicial</t>
  </si>
  <si>
    <t>Usuario está en período inicial</t>
  </si>
  <si>
    <t>Mostrar “Tus primeros 30 días” según diseño.</t>
  </si>
  <si>
    <t>No se encontró documento funcional formal de suscripción entre fuentes revisadas</t>
  </si>
  <si>
    <t>6757:6017</t>
  </si>
  <si>
    <t>https://www.figma.com/design/v45c4HTKnPnU0XABMa5vjY/Walvi-APP---Edificate-Inteligente?node-id=6757-6017</t>
  </si>
  <si>
    <t>M2-V69</t>
  </si>
  <si>
    <t>Período activo – días restantes</t>
  </si>
  <si>
    <t>Suscripción/prueba activa</t>
  </si>
  <si>
    <t>Mostrar días restantes (ejemplo visual 14 días).</t>
  </si>
  <si>
    <t>Regla de cálculo/fecha pendiente</t>
  </si>
  <si>
    <t>M2-V70</t>
  </si>
  <si>
    <t>Quedan 5 días</t>
  </si>
  <si>
    <t>Cuenta regresiva llega a 5 días</t>
  </si>
  <si>
    <t>Cambiar barra/estado visual a amarillo según Figma.</t>
  </si>
  <si>
    <t>Umbral formal no documentado fuera de Figma</t>
  </si>
  <si>
    <t>Figma solamente / validar umbral</t>
  </si>
  <si>
    <t>M2-V71</t>
  </si>
  <si>
    <t>Quedan 0 días / acceso vencido</t>
  </si>
  <si>
    <t>Periodo finaliza</t>
  </si>
  <si>
    <t>Mostrar estado rojo y tratamiento de acceso vencido.</t>
  </si>
  <si>
    <t>Regla formal no documentada fuera de Figma</t>
  </si>
  <si>
    <t>Figma solamente / validar regla</t>
  </si>
  <si>
    <t>M2-V72</t>
  </si>
  <si>
    <t>Acceso vencido sin contratación</t>
  </si>
  <si>
    <t>Periodo venció y no existe plan contratado</t>
  </si>
  <si>
    <t>Según nota Figma, mantener acceso a app sin interacciones hasta contratar; confirmar alcance exacto.</t>
  </si>
  <si>
    <t>No se encontró regla formal de capacidades bloqueadas</t>
  </si>
  <si>
    <t>M2-V73</t>
  </si>
  <si>
    <t>Seleccionar plan mensual</t>
  </si>
  <si>
    <t>Usuario elige plan mensual</t>
  </si>
  <si>
    <t>Mostrar/continuar contratación mensual; precio mostrado en Figma debe validarse como dato comercial vigente.</t>
  </si>
  <si>
    <t>Precio y vigencia no formalizados en documentos revisados</t>
  </si>
  <si>
    <t>Figma / validar negocio</t>
  </si>
  <si>
    <t>M2-V74</t>
  </si>
  <si>
    <t>Seleccionar plan anual</t>
  </si>
  <si>
    <t>Usuario elige plan anual</t>
  </si>
  <si>
    <t>Mostrar/continuar contratación anual; precio/equivalencia mensual deben validarse.</t>
  </si>
  <si>
    <t>Precio y vigencia no formalizados</t>
  </si>
  <si>
    <t>M2-V75</t>
  </si>
  <si>
    <t>Redirección a pasarela</t>
  </si>
  <si>
    <t>Usuario confirma contratación/cambio</t>
  </si>
  <si>
    <t>Redirigir a pasarela de pago.</t>
  </si>
  <si>
    <t>Integración/reglas técnicas de error no detalladas en documentos revisados</t>
  </si>
  <si>
    <t>Figma / formalizar integración</t>
  </si>
  <si>
    <t>M2-V76</t>
  </si>
  <si>
    <t>Contratación mensual exitosa</t>
  </si>
  <si>
    <t>Pago/alta mensual confirmada</t>
  </si>
  <si>
    <t>Mostrar confirmación/welcome y próximo pago.</t>
  </si>
  <si>
    <t>Regla formal de backend pendiente de enlazar</t>
  </si>
  <si>
    <t>M2-V77</t>
  </si>
  <si>
    <t>Contratación anual exitosa</t>
  </si>
  <si>
    <t>Pago/alta anual confirmada</t>
  </si>
  <si>
    <t>Mostrar confirmación/welcome y próxima renovación.</t>
  </si>
  <si>
    <t>M2-V78</t>
  </si>
  <si>
    <t>Suscripción mensual activa</t>
  </si>
  <si>
    <t>Usuario tiene plan mensual vigente</t>
  </si>
  <si>
    <t>Mostrar próximo pago.</t>
  </si>
  <si>
    <t>No se encontró especificación funcional de ciclo de cobro</t>
  </si>
  <si>
    <t>M2-V79</t>
  </si>
  <si>
    <t>Suscripción anual activa</t>
  </si>
  <si>
    <t>Usuario tiene plan anual vigente</t>
  </si>
  <si>
    <t>Mostrar próxima renovación.</t>
  </si>
  <si>
    <t>No se encontró especificación funcional de ciclo de renovación</t>
  </si>
  <si>
    <t>M2-V80</t>
  </si>
  <si>
    <t>Cambio mensual a anual</t>
  </si>
  <si>
    <t>Usuario mensual decide cambiar a anual</t>
  </si>
  <si>
    <t>Mostrar modal de cambio/ahorro y procesar cambio según política.</t>
  </si>
  <si>
    <t>Prorrateo/vigencia/fecha efectiva no documentados en fuentes revisadas</t>
  </si>
  <si>
    <t>M2-V81</t>
  </si>
  <si>
    <t>Cancelar suscripción</t>
  </si>
  <si>
    <t>Usuario solicita cancelar</t>
  </si>
  <si>
    <t>Mostrar modal de confirmación antes de cancelar.</t>
  </si>
  <si>
    <t>Regla de cancelación formal no encontrada</t>
  </si>
  <si>
    <t>M2-V82</t>
  </si>
  <si>
    <t>Cancelación confirmada</t>
  </si>
  <si>
    <t>Usuario confirma cancelación</t>
  </si>
  <si>
    <t>Mostrar estado cancelado y mantener servicio hasta fecha indicada según diseño.</t>
  </si>
  <si>
    <t>Regla de fecha efectiva y reactivación pendiente</t>
  </si>
  <si>
    <t>M2-V83</t>
  </si>
  <si>
    <t>Datos/plan actualizados</t>
  </si>
  <si>
    <t>Cambio de suscripción procesado</t>
  </si>
  <si>
    <t>Mostrar feedback “Datos Actualizados” según diseño.</t>
  </si>
  <si>
    <t>No se encontró especificación formal del evento</t>
  </si>
  <si>
    <t>M2-V84</t>
  </si>
  <si>
    <t>Error/rechazo de pasarela</t>
  </si>
  <si>
    <t>Pago es rechazado, cancelado o falla pasarela</t>
  </si>
  <si>
    <t>Definir retorno, mensaje, reintento y estado de suscripción.</t>
  </si>
  <si>
    <t>Brecha funcional crítica para QA</t>
  </si>
  <si>
    <t>M2 – Resumen de validación</t>
  </si>
  <si>
    <t>Indicador</t>
  </si>
  <si>
    <t>Valor</t>
  </si>
  <si>
    <t>Total variantes</t>
  </si>
  <si>
    <t>Pendientes</t>
  </si>
  <si>
    <t>Aprobadas</t>
  </si>
  <si>
    <t>Ajustar</t>
  </si>
  <si>
    <t>Fuera de alcance</t>
  </si>
  <si>
    <t>N° variantes</t>
  </si>
  <si>
    <t>Comentario</t>
  </si>
  <si>
    <t>Revisar filas correspondientes en Matriz Validación</t>
  </si>
  <si>
    <t>M2 – Catálogo de fuentes utilizadas</t>
  </si>
  <si>
    <t>Tipo</t>
  </si>
  <si>
    <t>Fuente</t>
  </si>
  <si>
    <t>Uso en matriz</t>
  </si>
  <si>
    <t>Estado/advertencia</t>
  </si>
  <si>
    <t>Referencia</t>
  </si>
  <si>
    <t>M2 – Perfil Financiero</t>
  </si>
  <si>
    <t>Casos A/B/C/D, estados visibles, cards Salud/Ruta y CTA</t>
  </si>
  <si>
    <t>Fuente visual; estados finales Salud/Ruta dependen de definición funcional</t>
  </si>
  <si>
    <t>M2 – Suscripción</t>
  </si>
  <si>
    <t>Estados de prueba/suscripción, planes, pago, cancelación</t>
  </si>
  <si>
    <t>Reglas formales de negocio no identificadas en documentos revisados</t>
  </si>
  <si>
    <t>M2 – Módulo 2 / Mi Perfil</t>
  </si>
  <si>
    <t>Mi Perfil, Mis Datos, foto, biometría, contraseña, Foco del Mes, preferencias</t>
  </si>
  <si>
    <t>Varias reglas requieren formalización de Producto</t>
  </si>
  <si>
    <t>https://www.figma.com/design/v45c4HTKnPnU0XABMa5vjY/Walvi-APP---Edificate-Inteligente?node-id=3395-1985</t>
  </si>
  <si>
    <t>Documento</t>
  </si>
  <si>
    <t>Walvy_Especificacion_UX_Perfil_Financiero_v1.0_consolidado.pdf</t>
  </si>
  <si>
    <t>Estados A/B/C/D, bloques obligatorios, Salud de Deuda, calidad, Ruta contextual</t>
  </si>
  <si>
    <t>Documento en elaboración para QA</t>
  </si>
  <si>
    <t>Archivo entregado por cliente</t>
  </si>
  <si>
    <t>Walvy_Reglas_Salud_Deuda_v1.0.pdf</t>
  </si>
  <si>
    <t>Estados Sana/Requiere atención/Presionada/Sin datos suficientes</t>
  </si>
  <si>
    <t>Documento de trabajo para QA interno; requiere aprobación</t>
  </si>
  <si>
    <t>Walvy_Ruta_Despeje_v1.0.pdf</t>
  </si>
  <si>
    <t>Activación, relación con Perfil, precisión limitada/activa</t>
  </si>
  <si>
    <t>Documento funcional en elaboración</t>
  </si>
  <si>
    <t>Walvy_Regla_Priorizacion_CTA_por_Foco_Mes_v1_0.docx</t>
  </si>
  <si>
    <t>Seis focos y prioridad señal crítica &gt; foco declarado &gt; foco sugerido</t>
  </si>
  <si>
    <t>Borrador corregido para QA/aprobación</t>
  </si>
  <si>
    <t>Walvy_Onboarding_Deudas_v1.0.pdf</t>
  </si>
  <si>
    <t>Subflujo de deuda y relación con Perfil/Ruta</t>
  </si>
  <si>
    <t>No reemplaza onboarding general; documento en elaboración</t>
  </si>
  <si>
    <t>Aprobado</t>
  </si>
  <si>
    <t>Requiere análisis</t>
  </si>
  <si>
    <t>WALVY | M2 – Matriz de variantes para validación/ Dueño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</si>
</sst>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sz val="10"/>
      <color rgb="FF103F43"/>
      <name val="Carlito"/>
    </font>
    <font>
      <b/>
      <sz val="10"/>
      <color rgb="FFFFFFFF"/>
      <name val="Carlito"/>
    </font>
    <font>
      <sz val="9"/>
      <name val="Carlito"/>
    </font>
    <font>
      <b/>
      <sz val="11"/>
      <color rgb="FFFFFFFF"/>
      <name val="Carlito"/>
    </font>
    <font>
      <sz val="11"/>
      <color rgb="FF103F4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5B61"/>
      </patternFill>
    </fill>
    <fill>
      <patternFill patternType="solid">
        <fgColor rgb="FFE7F2F1"/>
      </patternFill>
    </fill>
    <fill>
      <patternFill patternType="solid">
        <fgColor rgb="FF1B6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6" fillId="3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7">
    <dxf>
      <font>
        <color rgb="FF8A2633"/>
      </font>
      <fill>
        <patternFill patternType="solid">
          <bgColor rgb="FFFBE0E3"/>
        </patternFill>
      </fill>
    </dxf>
    <dxf>
      <font>
        <color rgb="FF555555"/>
      </font>
      <fill>
        <patternFill patternType="solid">
          <bgColor rgb="FFE8E8E8"/>
        </patternFill>
      </fill>
    </dxf>
    <dxf>
      <font>
        <color rgb="FF7A5200"/>
      </font>
      <fill>
        <patternFill patternType="solid">
          <bgColor rgb="FFFFF0CC"/>
        </patternFill>
      </fill>
    </dxf>
    <dxf>
      <font>
        <color rgb="FF245A2A"/>
      </font>
      <fill>
        <patternFill patternType="solid">
          <bgColor rgb="FFDDF4DF"/>
        </patternFill>
      </fill>
    </dxf>
    <dxf>
      <fill>
        <patternFill patternType="solid">
          <bgColor rgb="FFFDE2E2"/>
        </patternFill>
      </fill>
    </dxf>
    <dxf>
      <fill>
        <patternFill patternType="solid">
          <bgColor rgb="FFFFF4D6"/>
        </patternFill>
      </fill>
    </dxf>
    <dxf>
      <fill>
        <patternFill patternType="solid"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2_Variantes" displayName="M2_Variantes" ref="A4:M88">
  <tableColumns count="13">
    <tableColumn id="1" xr3:uid="{00000000-0010-0000-0000-000001000000}" name="ID Variante"/>
    <tableColumn id="2" xr3:uid="{00000000-0010-0000-0000-000002000000}" name="Flujo / Subflujo"/>
    <tableColumn id="3" xr3:uid="{00000000-0010-0000-0000-000003000000}" name="Variante / Escenario"/>
    <tableColumn id="4" xr3:uid="{00000000-0010-0000-0000-000004000000}" name="Condición / Disparador"/>
    <tableColumn id="5" xr3:uid="{00000000-0010-0000-0000-000005000000}" name="Comportamiento esperado"/>
    <tableColumn id="6" xr3:uid="{00000000-0010-0000-0000-000006000000}" name="Fuente documental"/>
    <tableColumn id="7" xr3:uid="{00000000-0010-0000-0000-000007000000}" name="Referencia / sección"/>
    <tableColumn id="8" xr3:uid="{00000000-0010-0000-0000-000008000000}" name="Nodo Figma"/>
    <tableColumn id="9" xr3:uid="{00000000-0010-0000-0000-000009000000}" name="URL Figma"/>
    <tableColumn id="10" xr3:uid="{00000000-0010-0000-0000-00000A000000}" name="Cobertura QA / evidencia"/>
    <tableColumn id="11" xr3:uid="{00000000-0010-0000-0000-00000B000000}" name="Clasificación de soporte"/>
    <tableColumn id="12" xr3:uid="{00000000-0010-0000-0000-00000C000000}" name="Validación Cliente"/>
    <tableColumn id="13" xr3:uid="{00000000-0010-0000-0000-00000D000000}" name="Decisión PO / Comentari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workbookViewId="0">
      <selection activeCell="D8" sqref="D8"/>
    </sheetView>
  </sheetViews>
  <sheetFormatPr baseColWidth="10" defaultColWidth="8.83203125" defaultRowHeight="14"/>
  <cols>
    <col min="1" max="1" width="11" customWidth="1"/>
    <col min="2" max="2" width="21" customWidth="1"/>
    <col min="3" max="3" width="26" customWidth="1"/>
    <col min="4" max="4" width="34" customWidth="1"/>
    <col min="5" max="5" width="42" customWidth="1"/>
    <col min="6" max="6" width="32" customWidth="1"/>
    <col min="7" max="7" width="34" customWidth="1"/>
    <col min="8" max="8" width="13" customWidth="1"/>
    <col min="9" max="9" width="38" customWidth="1"/>
    <col min="10" max="10" width="28" customWidth="1"/>
    <col min="11" max="11" width="30" customWidth="1"/>
    <col min="12" max="12" width="18" customWidth="1"/>
    <col min="13" max="13" width="38" customWidth="1"/>
  </cols>
  <sheetData>
    <row r="1" spans="1:13" ht="34.75" customHeight="1">
      <c r="A1" s="7" t="s">
        <v>605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45.25" customHeight="1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48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1:13" ht="39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/>
    </row>
    <row r="6" spans="1:13" ht="39">
      <c r="A6" s="4" t="s">
        <v>26</v>
      </c>
      <c r="B6" s="4" t="s">
        <v>15</v>
      </c>
      <c r="C6" s="4" t="s">
        <v>27</v>
      </c>
      <c r="D6" s="4" t="s">
        <v>28</v>
      </c>
      <c r="E6" s="4" t="s">
        <v>29</v>
      </c>
      <c r="F6" s="4" t="s">
        <v>19</v>
      </c>
      <c r="G6" s="4" t="s">
        <v>30</v>
      </c>
      <c r="H6" s="4" t="s">
        <v>31</v>
      </c>
      <c r="I6" s="4" t="s">
        <v>32</v>
      </c>
      <c r="J6" s="4" t="s">
        <v>23</v>
      </c>
      <c r="K6" s="4" t="s">
        <v>33</v>
      </c>
      <c r="L6" s="4" t="s">
        <v>25</v>
      </c>
      <c r="M6" s="4"/>
    </row>
    <row r="7" spans="1:13" ht="39">
      <c r="A7" s="4" t="s">
        <v>34</v>
      </c>
      <c r="B7" s="4" t="s">
        <v>15</v>
      </c>
      <c r="C7" s="4" t="s">
        <v>35</v>
      </c>
      <c r="D7" s="4" t="s">
        <v>36</v>
      </c>
      <c r="E7" s="4" t="s">
        <v>37</v>
      </c>
      <c r="F7" s="4" t="s">
        <v>19</v>
      </c>
      <c r="G7" s="4" t="s">
        <v>38</v>
      </c>
      <c r="H7" s="4" t="s">
        <v>39</v>
      </c>
      <c r="I7" s="4" t="s">
        <v>40</v>
      </c>
      <c r="J7" s="4" t="s">
        <v>23</v>
      </c>
      <c r="K7" s="4" t="s">
        <v>24</v>
      </c>
      <c r="L7" s="4" t="s">
        <v>25</v>
      </c>
      <c r="M7" s="4"/>
    </row>
    <row r="8" spans="1:13" ht="39">
      <c r="A8" s="4" t="s">
        <v>41</v>
      </c>
      <c r="B8" s="4" t="s">
        <v>15</v>
      </c>
      <c r="C8" s="4" t="s">
        <v>42</v>
      </c>
      <c r="D8" s="4" t="s">
        <v>43</v>
      </c>
      <c r="E8" s="4" t="s">
        <v>44</v>
      </c>
      <c r="F8" s="4" t="s">
        <v>19</v>
      </c>
      <c r="G8" s="4" t="s">
        <v>45</v>
      </c>
      <c r="H8" s="4" t="s">
        <v>46</v>
      </c>
      <c r="I8" s="4" t="s">
        <v>47</v>
      </c>
      <c r="J8" s="4" t="s">
        <v>23</v>
      </c>
      <c r="K8" s="4" t="s">
        <v>24</v>
      </c>
      <c r="L8" s="4" t="s">
        <v>25</v>
      </c>
      <c r="M8" s="4"/>
    </row>
    <row r="9" spans="1:13" ht="3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25</v>
      </c>
      <c r="M9" s="4"/>
    </row>
    <row r="10" spans="1:13" ht="39">
      <c r="A10" s="4" t="s">
        <v>59</v>
      </c>
      <c r="B10" s="4" t="s">
        <v>49</v>
      </c>
      <c r="C10" s="4" t="s">
        <v>60</v>
      </c>
      <c r="D10" s="4" t="s">
        <v>61</v>
      </c>
      <c r="E10" s="4" t="s">
        <v>62</v>
      </c>
      <c r="F10" s="4" t="s">
        <v>53</v>
      </c>
      <c r="G10" s="4" t="s">
        <v>63</v>
      </c>
      <c r="H10" s="4" t="s">
        <v>64</v>
      </c>
      <c r="I10" s="4" t="s">
        <v>65</v>
      </c>
      <c r="J10" s="4" t="s">
        <v>57</v>
      </c>
      <c r="K10" s="4" t="s">
        <v>66</v>
      </c>
      <c r="L10" s="4" t="s">
        <v>25</v>
      </c>
      <c r="M10" s="4"/>
    </row>
    <row r="11" spans="1:13" ht="39">
      <c r="A11" s="4" t="s">
        <v>67</v>
      </c>
      <c r="B11" s="4" t="s">
        <v>49</v>
      </c>
      <c r="C11" s="4" t="s">
        <v>68</v>
      </c>
      <c r="D11" s="4" t="s">
        <v>69</v>
      </c>
      <c r="E11" s="4" t="s">
        <v>70</v>
      </c>
      <c r="F11" s="4" t="s">
        <v>53</v>
      </c>
      <c r="G11" s="4" t="s">
        <v>71</v>
      </c>
      <c r="H11" s="4" t="s">
        <v>55</v>
      </c>
      <c r="I11" s="4" t="s">
        <v>56</v>
      </c>
      <c r="J11" s="4" t="s">
        <v>57</v>
      </c>
      <c r="K11" s="4" t="s">
        <v>72</v>
      </c>
      <c r="L11" s="4" t="s">
        <v>25</v>
      </c>
      <c r="M11" s="4"/>
    </row>
    <row r="12" spans="1:13" ht="39">
      <c r="A12" s="4" t="s">
        <v>73</v>
      </c>
      <c r="B12" s="4" t="s">
        <v>49</v>
      </c>
      <c r="C12" s="4" t="s">
        <v>74</v>
      </c>
      <c r="D12" s="4" t="s">
        <v>75</v>
      </c>
      <c r="E12" s="4" t="s">
        <v>76</v>
      </c>
      <c r="F12" s="4" t="s">
        <v>53</v>
      </c>
      <c r="G12" s="4" t="s">
        <v>77</v>
      </c>
      <c r="H12" s="4" t="s">
        <v>78</v>
      </c>
      <c r="I12" s="4" t="s">
        <v>79</v>
      </c>
      <c r="J12" s="4" t="s">
        <v>57</v>
      </c>
      <c r="K12" s="4" t="s">
        <v>66</v>
      </c>
      <c r="L12" s="4" t="s">
        <v>25</v>
      </c>
      <c r="M12" s="4"/>
    </row>
    <row r="13" spans="1:13" ht="39">
      <c r="A13" s="4" t="s">
        <v>80</v>
      </c>
      <c r="B13" s="4" t="s">
        <v>49</v>
      </c>
      <c r="C13" s="4" t="s">
        <v>81</v>
      </c>
      <c r="D13" s="4" t="s">
        <v>82</v>
      </c>
      <c r="E13" s="4" t="s">
        <v>83</v>
      </c>
      <c r="F13" s="4" t="s">
        <v>84</v>
      </c>
      <c r="G13" s="4" t="s">
        <v>85</v>
      </c>
      <c r="H13" s="4" t="s">
        <v>86</v>
      </c>
      <c r="I13" s="4" t="s">
        <v>87</v>
      </c>
      <c r="J13" s="4" t="s">
        <v>57</v>
      </c>
      <c r="K13" s="4" t="s">
        <v>88</v>
      </c>
      <c r="L13" s="4" t="s">
        <v>25</v>
      </c>
      <c r="M13" s="4"/>
    </row>
    <row r="14" spans="1:13" ht="39">
      <c r="A14" s="4" t="s">
        <v>89</v>
      </c>
      <c r="B14" s="4" t="s">
        <v>49</v>
      </c>
      <c r="C14" s="4" t="s">
        <v>90</v>
      </c>
      <c r="D14" s="4" t="s">
        <v>91</v>
      </c>
      <c r="E14" s="4" t="s">
        <v>92</v>
      </c>
      <c r="F14" s="4" t="s">
        <v>93</v>
      </c>
      <c r="G14" s="4" t="s">
        <v>94</v>
      </c>
      <c r="H14" s="4" t="s">
        <v>95</v>
      </c>
      <c r="I14" s="4" t="s">
        <v>96</v>
      </c>
      <c r="J14" s="4" t="s">
        <v>57</v>
      </c>
      <c r="K14" s="4" t="s">
        <v>24</v>
      </c>
      <c r="L14" s="4" t="s">
        <v>25</v>
      </c>
      <c r="M14" s="4"/>
    </row>
    <row r="15" spans="1:13" ht="39">
      <c r="A15" s="4" t="s">
        <v>97</v>
      </c>
      <c r="B15" s="4" t="s">
        <v>49</v>
      </c>
      <c r="C15" s="4" t="s">
        <v>98</v>
      </c>
      <c r="D15" s="4" t="s">
        <v>99</v>
      </c>
      <c r="E15" s="4" t="s">
        <v>100</v>
      </c>
      <c r="F15" s="4" t="s">
        <v>53</v>
      </c>
      <c r="G15" s="4" t="s">
        <v>101</v>
      </c>
      <c r="H15" s="4" t="s">
        <v>102</v>
      </c>
      <c r="I15" s="4" t="s">
        <v>103</v>
      </c>
      <c r="J15" s="4" t="s">
        <v>57</v>
      </c>
      <c r="K15" s="4" t="s">
        <v>104</v>
      </c>
      <c r="L15" s="4" t="s">
        <v>25</v>
      </c>
      <c r="M15" s="4"/>
    </row>
    <row r="16" spans="1:13" ht="39">
      <c r="A16" s="4" t="s">
        <v>105</v>
      </c>
      <c r="B16" s="4" t="s">
        <v>49</v>
      </c>
      <c r="C16" s="4" t="s">
        <v>106</v>
      </c>
      <c r="D16" s="4" t="s">
        <v>107</v>
      </c>
      <c r="E16" s="4" t="s">
        <v>108</v>
      </c>
      <c r="F16" s="4" t="s">
        <v>53</v>
      </c>
      <c r="G16" s="4" t="s">
        <v>109</v>
      </c>
      <c r="H16" s="4" t="s">
        <v>110</v>
      </c>
      <c r="I16" s="4" t="s">
        <v>111</v>
      </c>
      <c r="J16" s="4" t="s">
        <v>57</v>
      </c>
      <c r="K16" s="4" t="s">
        <v>112</v>
      </c>
      <c r="L16" s="4" t="s">
        <v>25</v>
      </c>
      <c r="M16" s="4"/>
    </row>
    <row r="17" spans="1:13" ht="39">
      <c r="A17" s="4" t="s">
        <v>113</v>
      </c>
      <c r="B17" s="4" t="s">
        <v>49</v>
      </c>
      <c r="C17" s="4" t="s">
        <v>114</v>
      </c>
      <c r="D17" s="4" t="s">
        <v>115</v>
      </c>
      <c r="E17" s="4" t="s">
        <v>116</v>
      </c>
      <c r="F17" s="4" t="s">
        <v>53</v>
      </c>
      <c r="G17" s="4" t="s">
        <v>117</v>
      </c>
      <c r="H17" s="4" t="s">
        <v>118</v>
      </c>
      <c r="I17" s="4" t="s">
        <v>119</v>
      </c>
      <c r="J17" s="4" t="s">
        <v>57</v>
      </c>
      <c r="K17" s="4" t="s">
        <v>104</v>
      </c>
      <c r="L17" s="4" t="s">
        <v>25</v>
      </c>
      <c r="M17" s="4"/>
    </row>
    <row r="18" spans="1:13" ht="39">
      <c r="A18" s="4" t="s">
        <v>120</v>
      </c>
      <c r="B18" s="4" t="s">
        <v>49</v>
      </c>
      <c r="C18" s="4" t="s">
        <v>121</v>
      </c>
      <c r="D18" s="4" t="s">
        <v>122</v>
      </c>
      <c r="E18" s="4" t="s">
        <v>123</v>
      </c>
      <c r="F18" s="4" t="s">
        <v>53</v>
      </c>
      <c r="G18" s="4" t="s">
        <v>124</v>
      </c>
      <c r="H18" s="4" t="s">
        <v>125</v>
      </c>
      <c r="I18" s="4" t="s">
        <v>126</v>
      </c>
      <c r="J18" s="4" t="s">
        <v>57</v>
      </c>
      <c r="K18" s="4" t="s">
        <v>127</v>
      </c>
      <c r="L18" s="4" t="s">
        <v>25</v>
      </c>
      <c r="M18" s="4"/>
    </row>
    <row r="19" spans="1:13" ht="39">
      <c r="A19" s="4" t="s">
        <v>128</v>
      </c>
      <c r="B19" s="4" t="s">
        <v>129</v>
      </c>
      <c r="C19" s="4" t="s">
        <v>130</v>
      </c>
      <c r="D19" s="4" t="s">
        <v>131</v>
      </c>
      <c r="E19" s="4" t="s">
        <v>132</v>
      </c>
      <c r="F19" s="4" t="s">
        <v>53</v>
      </c>
      <c r="G19" s="4" t="s">
        <v>133</v>
      </c>
      <c r="H19" s="4" t="s">
        <v>134</v>
      </c>
      <c r="I19" s="4" t="s">
        <v>135</v>
      </c>
      <c r="J19" s="4" t="s">
        <v>57</v>
      </c>
      <c r="K19" s="4" t="s">
        <v>136</v>
      </c>
      <c r="L19" s="4" t="s">
        <v>25</v>
      </c>
      <c r="M19" s="4"/>
    </row>
    <row r="20" spans="1:13" ht="39">
      <c r="A20" s="4" t="s">
        <v>137</v>
      </c>
      <c r="B20" s="4" t="s">
        <v>129</v>
      </c>
      <c r="C20" s="4" t="s">
        <v>138</v>
      </c>
      <c r="D20" s="4" t="s">
        <v>139</v>
      </c>
      <c r="E20" s="4" t="s">
        <v>140</v>
      </c>
      <c r="F20" s="4" t="s">
        <v>53</v>
      </c>
      <c r="G20" s="4" t="s">
        <v>141</v>
      </c>
      <c r="H20" s="4" t="s">
        <v>142</v>
      </c>
      <c r="I20" s="4" t="s">
        <v>143</v>
      </c>
      <c r="J20" s="4" t="s">
        <v>57</v>
      </c>
      <c r="K20" s="4" t="s">
        <v>144</v>
      </c>
      <c r="L20" s="4" t="s">
        <v>25</v>
      </c>
      <c r="M20" s="4"/>
    </row>
    <row r="21" spans="1:13" ht="39">
      <c r="A21" s="4" t="s">
        <v>145</v>
      </c>
      <c r="B21" s="4" t="s">
        <v>129</v>
      </c>
      <c r="C21" s="4" t="s">
        <v>146</v>
      </c>
      <c r="D21" s="4" t="s">
        <v>147</v>
      </c>
      <c r="E21" s="4" t="s">
        <v>148</v>
      </c>
      <c r="F21" s="4" t="s">
        <v>53</v>
      </c>
      <c r="G21" s="4" t="s">
        <v>149</v>
      </c>
      <c r="H21" s="4" t="s">
        <v>150</v>
      </c>
      <c r="I21" s="4" t="s">
        <v>151</v>
      </c>
      <c r="J21" s="4" t="s">
        <v>57</v>
      </c>
      <c r="K21" s="4" t="s">
        <v>152</v>
      </c>
      <c r="L21" s="4" t="s">
        <v>25</v>
      </c>
      <c r="M21" s="4"/>
    </row>
    <row r="22" spans="1:13" ht="39">
      <c r="A22" s="4" t="s">
        <v>153</v>
      </c>
      <c r="B22" s="4" t="s">
        <v>129</v>
      </c>
      <c r="C22" s="4" t="s">
        <v>154</v>
      </c>
      <c r="D22" s="4" t="s">
        <v>155</v>
      </c>
      <c r="E22" s="4" t="s">
        <v>156</v>
      </c>
      <c r="F22" s="4" t="s">
        <v>53</v>
      </c>
      <c r="G22" s="4" t="s">
        <v>157</v>
      </c>
      <c r="H22" s="4" t="s">
        <v>158</v>
      </c>
      <c r="I22" s="4" t="s">
        <v>159</v>
      </c>
      <c r="J22" s="4" t="s">
        <v>57</v>
      </c>
      <c r="K22" s="4" t="s">
        <v>160</v>
      </c>
      <c r="L22" s="4" t="s">
        <v>25</v>
      </c>
      <c r="M22" s="4"/>
    </row>
    <row r="23" spans="1:13" ht="39">
      <c r="A23" s="4" t="s">
        <v>161</v>
      </c>
      <c r="B23" s="4" t="s">
        <v>129</v>
      </c>
      <c r="C23" s="4" t="s">
        <v>162</v>
      </c>
      <c r="D23" s="4" t="s">
        <v>163</v>
      </c>
      <c r="E23" s="4" t="s">
        <v>164</v>
      </c>
      <c r="F23" s="4" t="s">
        <v>53</v>
      </c>
      <c r="G23" s="4" t="s">
        <v>165</v>
      </c>
      <c r="H23" s="4" t="s">
        <v>166</v>
      </c>
      <c r="I23" s="4" t="s">
        <v>167</v>
      </c>
      <c r="J23" s="4" t="s">
        <v>57</v>
      </c>
      <c r="K23" s="4" t="s">
        <v>168</v>
      </c>
      <c r="L23" s="4" t="s">
        <v>25</v>
      </c>
      <c r="M23" s="4"/>
    </row>
    <row r="24" spans="1:13" ht="39">
      <c r="A24" s="4" t="s">
        <v>169</v>
      </c>
      <c r="B24" s="4" t="s">
        <v>129</v>
      </c>
      <c r="C24" s="4" t="s">
        <v>170</v>
      </c>
      <c r="D24" s="4" t="s">
        <v>171</v>
      </c>
      <c r="E24" s="4" t="s">
        <v>172</v>
      </c>
      <c r="F24" s="4" t="s">
        <v>53</v>
      </c>
      <c r="G24" s="4" t="s">
        <v>173</v>
      </c>
      <c r="H24" s="4" t="s">
        <v>134</v>
      </c>
      <c r="I24" s="4" t="s">
        <v>135</v>
      </c>
      <c r="J24" s="4" t="s">
        <v>57</v>
      </c>
      <c r="K24" s="4" t="s">
        <v>174</v>
      </c>
      <c r="L24" s="4" t="s">
        <v>25</v>
      </c>
      <c r="M24" s="4"/>
    </row>
    <row r="25" spans="1:13" ht="39">
      <c r="A25" s="4" t="s">
        <v>175</v>
      </c>
      <c r="B25" s="4" t="s">
        <v>129</v>
      </c>
      <c r="C25" s="4" t="s">
        <v>176</v>
      </c>
      <c r="D25" s="4" t="s">
        <v>177</v>
      </c>
      <c r="E25" s="4" t="s">
        <v>178</v>
      </c>
      <c r="F25" s="4" t="s">
        <v>53</v>
      </c>
      <c r="G25" s="4" t="s">
        <v>179</v>
      </c>
      <c r="H25" s="4" t="s">
        <v>134</v>
      </c>
      <c r="I25" s="4" t="s">
        <v>135</v>
      </c>
      <c r="J25" s="4" t="s">
        <v>57</v>
      </c>
      <c r="K25" s="4" t="s">
        <v>180</v>
      </c>
      <c r="L25" s="4" t="s">
        <v>25</v>
      </c>
      <c r="M25" s="4"/>
    </row>
    <row r="26" spans="1:13" ht="39">
      <c r="A26" s="4" t="s">
        <v>181</v>
      </c>
      <c r="B26" s="4" t="s">
        <v>129</v>
      </c>
      <c r="C26" s="4" t="s">
        <v>182</v>
      </c>
      <c r="D26" s="4" t="s">
        <v>183</v>
      </c>
      <c r="E26" s="4" t="s">
        <v>184</v>
      </c>
      <c r="F26" s="4" t="s">
        <v>53</v>
      </c>
      <c r="G26" s="4" t="s">
        <v>185</v>
      </c>
      <c r="H26" s="4" t="s">
        <v>186</v>
      </c>
      <c r="I26" s="4" t="s">
        <v>187</v>
      </c>
      <c r="J26" s="4" t="s">
        <v>188</v>
      </c>
      <c r="K26" s="4" t="s">
        <v>189</v>
      </c>
      <c r="L26" s="4" t="s">
        <v>25</v>
      </c>
      <c r="M26" s="4"/>
    </row>
    <row r="27" spans="1:13" ht="39">
      <c r="A27" s="4" t="s">
        <v>190</v>
      </c>
      <c r="B27" s="4" t="s">
        <v>191</v>
      </c>
      <c r="C27" s="4" t="s">
        <v>192</v>
      </c>
      <c r="D27" s="4" t="s">
        <v>193</v>
      </c>
      <c r="E27" s="4" t="s">
        <v>194</v>
      </c>
      <c r="F27" s="4" t="s">
        <v>53</v>
      </c>
      <c r="G27" s="4" t="s">
        <v>195</v>
      </c>
      <c r="H27" s="4" t="s">
        <v>142</v>
      </c>
      <c r="I27" s="4" t="s">
        <v>143</v>
      </c>
      <c r="J27" s="4" t="s">
        <v>57</v>
      </c>
      <c r="K27" s="4" t="s">
        <v>66</v>
      </c>
      <c r="L27" s="4" t="s">
        <v>25</v>
      </c>
      <c r="M27" s="4"/>
    </row>
    <row r="28" spans="1:13" ht="39">
      <c r="A28" s="4" t="s">
        <v>196</v>
      </c>
      <c r="B28" s="4" t="s">
        <v>191</v>
      </c>
      <c r="C28" s="4" t="s">
        <v>197</v>
      </c>
      <c r="D28" s="4" t="s">
        <v>198</v>
      </c>
      <c r="E28" s="4" t="s">
        <v>199</v>
      </c>
      <c r="F28" s="4" t="s">
        <v>53</v>
      </c>
      <c r="G28" s="4" t="s">
        <v>200</v>
      </c>
      <c r="H28" s="4" t="s">
        <v>201</v>
      </c>
      <c r="I28" s="4" t="s">
        <v>202</v>
      </c>
      <c r="J28" s="4" t="s">
        <v>57</v>
      </c>
      <c r="K28" s="4" t="s">
        <v>66</v>
      </c>
      <c r="L28" s="4" t="s">
        <v>25</v>
      </c>
      <c r="M28" s="4"/>
    </row>
    <row r="29" spans="1:13" ht="39">
      <c r="A29" s="4" t="s">
        <v>203</v>
      </c>
      <c r="B29" s="4" t="s">
        <v>191</v>
      </c>
      <c r="C29" s="4" t="s">
        <v>204</v>
      </c>
      <c r="D29" s="4" t="s">
        <v>205</v>
      </c>
      <c r="E29" s="4" t="s">
        <v>206</v>
      </c>
      <c r="F29" s="4" t="s">
        <v>53</v>
      </c>
      <c r="G29" s="4" t="s">
        <v>207</v>
      </c>
      <c r="H29" s="4" t="s">
        <v>201</v>
      </c>
      <c r="I29" s="4" t="s">
        <v>202</v>
      </c>
      <c r="J29" s="4" t="s">
        <v>57</v>
      </c>
      <c r="K29" s="4" t="s">
        <v>66</v>
      </c>
      <c r="L29" s="4" t="s">
        <v>25</v>
      </c>
      <c r="M29" s="4"/>
    </row>
    <row r="30" spans="1:13" ht="39">
      <c r="A30" s="4" t="s">
        <v>208</v>
      </c>
      <c r="B30" s="4" t="s">
        <v>191</v>
      </c>
      <c r="C30" s="4" t="s">
        <v>209</v>
      </c>
      <c r="D30" s="4" t="s">
        <v>210</v>
      </c>
      <c r="E30" s="4" t="s">
        <v>211</v>
      </c>
      <c r="F30" s="4" t="s">
        <v>53</v>
      </c>
      <c r="G30" s="4" t="s">
        <v>212</v>
      </c>
      <c r="H30" s="4" t="s">
        <v>213</v>
      </c>
      <c r="I30" s="4" t="s">
        <v>214</v>
      </c>
      <c r="J30" s="4" t="s">
        <v>57</v>
      </c>
      <c r="K30" s="4" t="s">
        <v>66</v>
      </c>
      <c r="L30" s="4" t="s">
        <v>25</v>
      </c>
      <c r="M30" s="4"/>
    </row>
    <row r="31" spans="1:13" ht="39">
      <c r="A31" s="4" t="s">
        <v>215</v>
      </c>
      <c r="B31" s="4" t="s">
        <v>191</v>
      </c>
      <c r="C31" s="4" t="s">
        <v>216</v>
      </c>
      <c r="D31" s="4" t="s">
        <v>217</v>
      </c>
      <c r="E31" s="4" t="s">
        <v>218</v>
      </c>
      <c r="F31" s="4" t="s">
        <v>53</v>
      </c>
      <c r="G31" s="4" t="s">
        <v>219</v>
      </c>
      <c r="H31" s="4" t="s">
        <v>220</v>
      </c>
      <c r="I31" s="4" t="s">
        <v>221</v>
      </c>
      <c r="J31" s="4" t="s">
        <v>57</v>
      </c>
      <c r="K31" s="4" t="s">
        <v>66</v>
      </c>
      <c r="L31" s="4" t="s">
        <v>25</v>
      </c>
      <c r="M31" s="4"/>
    </row>
    <row r="32" spans="1:13" ht="39">
      <c r="A32" s="4" t="s">
        <v>222</v>
      </c>
      <c r="B32" s="4" t="s">
        <v>191</v>
      </c>
      <c r="C32" s="4" t="s">
        <v>223</v>
      </c>
      <c r="D32" s="4" t="s">
        <v>224</v>
      </c>
      <c r="E32" s="4" t="s">
        <v>225</v>
      </c>
      <c r="F32" s="4" t="s">
        <v>53</v>
      </c>
      <c r="G32" s="4" t="s">
        <v>226</v>
      </c>
      <c r="H32" s="4" t="s">
        <v>220</v>
      </c>
      <c r="I32" s="4" t="s">
        <v>221</v>
      </c>
      <c r="J32" s="4" t="s">
        <v>57</v>
      </c>
      <c r="K32" s="4" t="s">
        <v>227</v>
      </c>
      <c r="L32" s="4" t="s">
        <v>25</v>
      </c>
      <c r="M32" s="4"/>
    </row>
    <row r="33" spans="1:13" ht="39">
      <c r="A33" s="4" t="s">
        <v>228</v>
      </c>
      <c r="B33" s="4" t="s">
        <v>191</v>
      </c>
      <c r="C33" s="4" t="s">
        <v>229</v>
      </c>
      <c r="D33" s="4" t="s">
        <v>230</v>
      </c>
      <c r="E33" s="4" t="s">
        <v>231</v>
      </c>
      <c r="F33" s="4" t="s">
        <v>53</v>
      </c>
      <c r="G33" s="4" t="s">
        <v>232</v>
      </c>
      <c r="H33" s="4" t="s">
        <v>201</v>
      </c>
      <c r="I33" s="4" t="s">
        <v>202</v>
      </c>
      <c r="J33" s="4" t="s">
        <v>57</v>
      </c>
      <c r="K33" s="4" t="s">
        <v>66</v>
      </c>
      <c r="L33" s="4" t="s">
        <v>25</v>
      </c>
      <c r="M33" s="4"/>
    </row>
    <row r="34" spans="1:13" ht="39">
      <c r="A34" s="4" t="s">
        <v>233</v>
      </c>
      <c r="B34" s="4" t="s">
        <v>191</v>
      </c>
      <c r="C34" s="4" t="s">
        <v>234</v>
      </c>
      <c r="D34" s="4" t="s">
        <v>235</v>
      </c>
      <c r="E34" s="4" t="s">
        <v>236</v>
      </c>
      <c r="F34" s="4" t="s">
        <v>237</v>
      </c>
      <c r="G34" s="4" t="s">
        <v>238</v>
      </c>
      <c r="H34" s="4" t="s">
        <v>201</v>
      </c>
      <c r="I34" s="4" t="s">
        <v>202</v>
      </c>
      <c r="J34" s="4" t="s">
        <v>57</v>
      </c>
      <c r="K34" s="4" t="s">
        <v>239</v>
      </c>
      <c r="L34" s="4" t="s">
        <v>25</v>
      </c>
      <c r="M34" s="4"/>
    </row>
    <row r="35" spans="1:13" ht="39">
      <c r="A35" s="4" t="s">
        <v>240</v>
      </c>
      <c r="B35" s="4" t="s">
        <v>241</v>
      </c>
      <c r="C35" s="4" t="s">
        <v>242</v>
      </c>
      <c r="D35" s="4" t="s">
        <v>243</v>
      </c>
      <c r="E35" s="4" t="s">
        <v>244</v>
      </c>
      <c r="F35" s="4" t="s">
        <v>53</v>
      </c>
      <c r="G35" s="4" t="s">
        <v>245</v>
      </c>
      <c r="H35" s="4" t="s">
        <v>246</v>
      </c>
      <c r="I35" s="4" t="s">
        <v>247</v>
      </c>
      <c r="J35" s="4" t="s">
        <v>57</v>
      </c>
      <c r="K35" s="4" t="s">
        <v>58</v>
      </c>
      <c r="L35" s="4" t="s">
        <v>25</v>
      </c>
      <c r="M35" s="4"/>
    </row>
    <row r="36" spans="1:13" ht="39">
      <c r="A36" s="4" t="s">
        <v>248</v>
      </c>
      <c r="B36" s="4" t="s">
        <v>241</v>
      </c>
      <c r="C36" s="4" t="s">
        <v>249</v>
      </c>
      <c r="D36" s="4" t="s">
        <v>250</v>
      </c>
      <c r="E36" s="4" t="s">
        <v>244</v>
      </c>
      <c r="F36" s="4" t="s">
        <v>53</v>
      </c>
      <c r="G36" s="4" t="s">
        <v>245</v>
      </c>
      <c r="H36" s="4" t="s">
        <v>251</v>
      </c>
      <c r="I36" s="4" t="s">
        <v>252</v>
      </c>
      <c r="J36" s="4" t="s">
        <v>57</v>
      </c>
      <c r="K36" s="4" t="s">
        <v>58</v>
      </c>
      <c r="L36" s="4" t="s">
        <v>25</v>
      </c>
      <c r="M36" s="4"/>
    </row>
    <row r="37" spans="1:13" ht="39">
      <c r="A37" s="4" t="s">
        <v>253</v>
      </c>
      <c r="B37" s="4" t="s">
        <v>241</v>
      </c>
      <c r="C37" s="4" t="s">
        <v>254</v>
      </c>
      <c r="D37" s="4" t="s">
        <v>255</v>
      </c>
      <c r="E37" s="4" t="s">
        <v>256</v>
      </c>
      <c r="F37" s="4" t="s">
        <v>53</v>
      </c>
      <c r="G37" s="4" t="s">
        <v>257</v>
      </c>
      <c r="H37" s="4" t="s">
        <v>134</v>
      </c>
      <c r="I37" s="4" t="s">
        <v>135</v>
      </c>
      <c r="J37" s="4" t="s">
        <v>57</v>
      </c>
      <c r="K37" s="4" t="s">
        <v>174</v>
      </c>
      <c r="L37" s="4" t="s">
        <v>25</v>
      </c>
      <c r="M37" s="4"/>
    </row>
    <row r="38" spans="1:13" ht="39">
      <c r="A38" s="4" t="s">
        <v>258</v>
      </c>
      <c r="B38" s="4" t="s">
        <v>241</v>
      </c>
      <c r="C38" s="4" t="s">
        <v>259</v>
      </c>
      <c r="D38" s="4" t="s">
        <v>260</v>
      </c>
      <c r="E38" s="4" t="s">
        <v>261</v>
      </c>
      <c r="F38" s="4" t="s">
        <v>53</v>
      </c>
      <c r="G38" s="4" t="s">
        <v>257</v>
      </c>
      <c r="H38" s="4" t="s">
        <v>134</v>
      </c>
      <c r="I38" s="4" t="s">
        <v>135</v>
      </c>
      <c r="J38" s="4" t="s">
        <v>57</v>
      </c>
      <c r="K38" s="4" t="s">
        <v>174</v>
      </c>
      <c r="L38" s="4" t="s">
        <v>25</v>
      </c>
      <c r="M38" s="4"/>
    </row>
    <row r="39" spans="1:13" ht="39">
      <c r="A39" s="4" t="s">
        <v>262</v>
      </c>
      <c r="B39" s="4" t="s">
        <v>241</v>
      </c>
      <c r="C39" s="4" t="s">
        <v>263</v>
      </c>
      <c r="D39" s="4" t="s">
        <v>264</v>
      </c>
      <c r="E39" s="4" t="s">
        <v>265</v>
      </c>
      <c r="F39" s="4" t="s">
        <v>266</v>
      </c>
      <c r="G39" s="4" t="s">
        <v>267</v>
      </c>
      <c r="H39" s="4" t="s">
        <v>134</v>
      </c>
      <c r="I39" s="4" t="s">
        <v>135</v>
      </c>
      <c r="J39" s="4" t="s">
        <v>57</v>
      </c>
      <c r="K39" s="4" t="s">
        <v>268</v>
      </c>
      <c r="L39" s="4" t="s">
        <v>25</v>
      </c>
      <c r="M39" s="4"/>
    </row>
    <row r="40" spans="1:13" ht="39">
      <c r="A40" s="4" t="s">
        <v>269</v>
      </c>
      <c r="B40" s="4" t="s">
        <v>241</v>
      </c>
      <c r="C40" s="4" t="s">
        <v>270</v>
      </c>
      <c r="D40" s="4" t="s">
        <v>271</v>
      </c>
      <c r="E40" s="4" t="s">
        <v>272</v>
      </c>
      <c r="F40" s="4" t="s">
        <v>266</v>
      </c>
      <c r="G40" s="4" t="s">
        <v>267</v>
      </c>
      <c r="H40" s="4" t="s">
        <v>134</v>
      </c>
      <c r="I40" s="4" t="s">
        <v>135</v>
      </c>
      <c r="J40" s="4" t="s">
        <v>57</v>
      </c>
      <c r="K40" s="4" t="s">
        <v>268</v>
      </c>
      <c r="L40" s="4" t="s">
        <v>25</v>
      </c>
      <c r="M40" s="4"/>
    </row>
    <row r="41" spans="1:13" ht="39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53</v>
      </c>
      <c r="G41" s="4" t="s">
        <v>278</v>
      </c>
      <c r="H41" s="4" t="s">
        <v>279</v>
      </c>
      <c r="I41" s="4" t="s">
        <v>280</v>
      </c>
      <c r="J41" s="4" t="s">
        <v>57</v>
      </c>
      <c r="K41" s="4" t="s">
        <v>58</v>
      </c>
      <c r="L41" s="4" t="s">
        <v>25</v>
      </c>
      <c r="M41" s="4"/>
    </row>
    <row r="42" spans="1:13" ht="39">
      <c r="A42" s="4" t="s">
        <v>281</v>
      </c>
      <c r="B42" s="4" t="s">
        <v>274</v>
      </c>
      <c r="C42" s="4" t="s">
        <v>282</v>
      </c>
      <c r="D42" s="4" t="s">
        <v>283</v>
      </c>
      <c r="E42" s="4" t="s">
        <v>284</v>
      </c>
      <c r="F42" s="4" t="s">
        <v>53</v>
      </c>
      <c r="G42" s="4" t="s">
        <v>285</v>
      </c>
      <c r="H42" s="4" t="s">
        <v>286</v>
      </c>
      <c r="I42" s="4" t="s">
        <v>287</v>
      </c>
      <c r="J42" s="4" t="s">
        <v>57</v>
      </c>
      <c r="K42" s="4" t="s">
        <v>288</v>
      </c>
      <c r="L42" s="4" t="s">
        <v>25</v>
      </c>
      <c r="M42" s="4"/>
    </row>
    <row r="43" spans="1:13" ht="39">
      <c r="A43" s="4" t="s">
        <v>289</v>
      </c>
      <c r="B43" s="4" t="s">
        <v>274</v>
      </c>
      <c r="C43" s="4" t="s">
        <v>290</v>
      </c>
      <c r="D43" s="4" t="s">
        <v>291</v>
      </c>
      <c r="E43" s="4" t="s">
        <v>292</v>
      </c>
      <c r="F43" s="4" t="s">
        <v>53</v>
      </c>
      <c r="G43" s="4" t="s">
        <v>293</v>
      </c>
      <c r="H43" s="4" t="s">
        <v>294</v>
      </c>
      <c r="I43" s="4" t="s">
        <v>295</v>
      </c>
      <c r="J43" s="4" t="s">
        <v>57</v>
      </c>
      <c r="K43" s="4" t="s">
        <v>296</v>
      </c>
      <c r="L43" s="4" t="s">
        <v>25</v>
      </c>
      <c r="M43" s="4"/>
    </row>
    <row r="44" spans="1:13" ht="39">
      <c r="A44" s="4" t="s">
        <v>297</v>
      </c>
      <c r="B44" s="4" t="s">
        <v>274</v>
      </c>
      <c r="C44" s="4" t="s">
        <v>298</v>
      </c>
      <c r="D44" s="4" t="s">
        <v>299</v>
      </c>
      <c r="E44" s="4" t="s">
        <v>300</v>
      </c>
      <c r="F44" s="4" t="s">
        <v>53</v>
      </c>
      <c r="G44" s="4" t="s">
        <v>301</v>
      </c>
      <c r="H44" s="4" t="s">
        <v>302</v>
      </c>
      <c r="I44" s="4" t="s">
        <v>303</v>
      </c>
      <c r="J44" s="4" t="s">
        <v>57</v>
      </c>
      <c r="K44" s="4" t="s">
        <v>288</v>
      </c>
      <c r="L44" s="4" t="s">
        <v>25</v>
      </c>
      <c r="M44" s="4"/>
    </row>
    <row r="45" spans="1:13" ht="39">
      <c r="A45" s="4" t="s">
        <v>304</v>
      </c>
      <c r="B45" s="4" t="s">
        <v>274</v>
      </c>
      <c r="C45" s="4" t="s">
        <v>305</v>
      </c>
      <c r="D45" s="4" t="s">
        <v>306</v>
      </c>
      <c r="E45" s="4" t="s">
        <v>307</v>
      </c>
      <c r="F45" s="4" t="s">
        <v>53</v>
      </c>
      <c r="G45" s="4" t="s">
        <v>285</v>
      </c>
      <c r="H45" s="4" t="s">
        <v>302</v>
      </c>
      <c r="I45" s="4" t="s">
        <v>303</v>
      </c>
      <c r="J45" s="4" t="s">
        <v>57</v>
      </c>
      <c r="K45" s="4" t="s">
        <v>288</v>
      </c>
      <c r="L45" s="4" t="s">
        <v>25</v>
      </c>
      <c r="M45" s="4"/>
    </row>
    <row r="46" spans="1:13" ht="39">
      <c r="A46" s="4" t="s">
        <v>308</v>
      </c>
      <c r="B46" s="4" t="s">
        <v>274</v>
      </c>
      <c r="C46" s="4" t="s">
        <v>309</v>
      </c>
      <c r="D46" s="4" t="s">
        <v>310</v>
      </c>
      <c r="E46" s="4" t="s">
        <v>311</v>
      </c>
      <c r="F46" s="4" t="s">
        <v>53</v>
      </c>
      <c r="G46" s="4" t="s">
        <v>312</v>
      </c>
      <c r="H46" s="4" t="s">
        <v>313</v>
      </c>
      <c r="I46" s="4" t="s">
        <v>314</v>
      </c>
      <c r="J46" s="4" t="s">
        <v>57</v>
      </c>
      <c r="K46" s="4" t="s">
        <v>288</v>
      </c>
      <c r="L46" s="4" t="s">
        <v>25</v>
      </c>
      <c r="M46" s="4"/>
    </row>
    <row r="47" spans="1:13" ht="39">
      <c r="A47" s="4" t="s">
        <v>315</v>
      </c>
      <c r="B47" s="4" t="s">
        <v>274</v>
      </c>
      <c r="C47" s="4" t="s">
        <v>316</v>
      </c>
      <c r="D47" s="4" t="s">
        <v>317</v>
      </c>
      <c r="E47" s="4" t="s">
        <v>318</v>
      </c>
      <c r="F47" s="4" t="s">
        <v>53</v>
      </c>
      <c r="G47" s="4" t="s">
        <v>319</v>
      </c>
      <c r="H47" s="4" t="s">
        <v>320</v>
      </c>
      <c r="I47" s="4" t="s">
        <v>321</v>
      </c>
      <c r="J47" s="4" t="s">
        <v>57</v>
      </c>
      <c r="K47" s="4" t="s">
        <v>288</v>
      </c>
      <c r="L47" s="4" t="s">
        <v>25</v>
      </c>
      <c r="M47" s="4"/>
    </row>
    <row r="48" spans="1:13" ht="39">
      <c r="A48" s="4" t="s">
        <v>322</v>
      </c>
      <c r="B48" s="4" t="s">
        <v>274</v>
      </c>
      <c r="C48" s="4" t="s">
        <v>323</v>
      </c>
      <c r="D48" s="4" t="s">
        <v>324</v>
      </c>
      <c r="E48" s="4" t="s">
        <v>325</v>
      </c>
      <c r="F48" s="4" t="s">
        <v>266</v>
      </c>
      <c r="G48" s="4" t="s">
        <v>326</v>
      </c>
      <c r="H48" s="4" t="s">
        <v>279</v>
      </c>
      <c r="I48" s="4" t="s">
        <v>280</v>
      </c>
      <c r="J48" s="4" t="s">
        <v>188</v>
      </c>
      <c r="K48" s="4" t="s">
        <v>327</v>
      </c>
      <c r="L48" s="4" t="s">
        <v>25</v>
      </c>
      <c r="M48" s="4"/>
    </row>
    <row r="49" spans="1:13" ht="39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4" t="s">
        <v>334</v>
      </c>
      <c r="H49" s="4" t="s">
        <v>335</v>
      </c>
      <c r="I49" s="4" t="s">
        <v>336</v>
      </c>
      <c r="J49" s="4" t="s">
        <v>57</v>
      </c>
      <c r="K49" s="4" t="s">
        <v>24</v>
      </c>
      <c r="L49" s="4" t="s">
        <v>25</v>
      </c>
      <c r="M49" s="4"/>
    </row>
    <row r="50" spans="1:13" ht="39">
      <c r="A50" s="4" t="s">
        <v>337</v>
      </c>
      <c r="B50" s="4" t="s">
        <v>329</v>
      </c>
      <c r="C50" s="4" t="s">
        <v>338</v>
      </c>
      <c r="D50" s="4" t="s">
        <v>331</v>
      </c>
      <c r="E50" s="4" t="s">
        <v>339</v>
      </c>
      <c r="F50" s="4" t="s">
        <v>333</v>
      </c>
      <c r="G50" s="4" t="s">
        <v>340</v>
      </c>
      <c r="H50" s="4" t="s">
        <v>335</v>
      </c>
      <c r="I50" s="4" t="s">
        <v>336</v>
      </c>
      <c r="J50" s="4" t="s">
        <v>57</v>
      </c>
      <c r="K50" s="4" t="s">
        <v>24</v>
      </c>
      <c r="L50" s="4" t="s">
        <v>25</v>
      </c>
      <c r="M50" s="4"/>
    </row>
    <row r="51" spans="1:13" ht="39">
      <c r="A51" s="4" t="s">
        <v>341</v>
      </c>
      <c r="B51" s="4" t="s">
        <v>329</v>
      </c>
      <c r="C51" s="4" t="s">
        <v>342</v>
      </c>
      <c r="D51" s="4" t="s">
        <v>331</v>
      </c>
      <c r="E51" s="4" t="s">
        <v>343</v>
      </c>
      <c r="F51" s="4" t="s">
        <v>333</v>
      </c>
      <c r="G51" s="4" t="s">
        <v>340</v>
      </c>
      <c r="H51" s="4" t="s">
        <v>335</v>
      </c>
      <c r="I51" s="4" t="s">
        <v>336</v>
      </c>
      <c r="J51" s="4" t="s">
        <v>57</v>
      </c>
      <c r="K51" s="4" t="s">
        <v>24</v>
      </c>
      <c r="L51" s="4" t="s">
        <v>25</v>
      </c>
      <c r="M51" s="4"/>
    </row>
    <row r="52" spans="1:13" ht="39">
      <c r="A52" s="4" t="s">
        <v>344</v>
      </c>
      <c r="B52" s="4" t="s">
        <v>329</v>
      </c>
      <c r="C52" s="4" t="s">
        <v>345</v>
      </c>
      <c r="D52" s="4" t="s">
        <v>331</v>
      </c>
      <c r="E52" s="4" t="s">
        <v>346</v>
      </c>
      <c r="F52" s="4" t="s">
        <v>333</v>
      </c>
      <c r="G52" s="4" t="s">
        <v>340</v>
      </c>
      <c r="H52" s="4" t="s">
        <v>335</v>
      </c>
      <c r="I52" s="4" t="s">
        <v>336</v>
      </c>
      <c r="J52" s="4" t="s">
        <v>57</v>
      </c>
      <c r="K52" s="4" t="s">
        <v>24</v>
      </c>
      <c r="L52" s="4" t="s">
        <v>25</v>
      </c>
      <c r="M52" s="4"/>
    </row>
    <row r="53" spans="1:13" ht="39">
      <c r="A53" s="4" t="s">
        <v>347</v>
      </c>
      <c r="B53" s="4" t="s">
        <v>329</v>
      </c>
      <c r="C53" s="4" t="s">
        <v>348</v>
      </c>
      <c r="D53" s="4" t="s">
        <v>331</v>
      </c>
      <c r="E53" s="4" t="s">
        <v>349</v>
      </c>
      <c r="F53" s="4" t="s">
        <v>333</v>
      </c>
      <c r="G53" s="4" t="s">
        <v>340</v>
      </c>
      <c r="H53" s="4" t="s">
        <v>335</v>
      </c>
      <c r="I53" s="4" t="s">
        <v>336</v>
      </c>
      <c r="J53" s="4" t="s">
        <v>57</v>
      </c>
      <c r="K53" s="4" t="s">
        <v>24</v>
      </c>
      <c r="L53" s="4" t="s">
        <v>25</v>
      </c>
      <c r="M53" s="4"/>
    </row>
    <row r="54" spans="1:13" ht="39">
      <c r="A54" s="4" t="s">
        <v>350</v>
      </c>
      <c r="B54" s="4" t="s">
        <v>329</v>
      </c>
      <c r="C54" s="4" t="s">
        <v>351</v>
      </c>
      <c r="D54" s="4" t="s">
        <v>331</v>
      </c>
      <c r="E54" s="4" t="s">
        <v>352</v>
      </c>
      <c r="F54" s="4" t="s">
        <v>333</v>
      </c>
      <c r="G54" s="4" t="s">
        <v>340</v>
      </c>
      <c r="H54" s="4" t="s">
        <v>335</v>
      </c>
      <c r="I54" s="4" t="s">
        <v>336</v>
      </c>
      <c r="J54" s="4" t="s">
        <v>57</v>
      </c>
      <c r="K54" s="4" t="s">
        <v>24</v>
      </c>
      <c r="L54" s="4" t="s">
        <v>25</v>
      </c>
      <c r="M54" s="4"/>
    </row>
    <row r="55" spans="1:13" ht="39">
      <c r="A55" s="4" t="s">
        <v>353</v>
      </c>
      <c r="B55" s="4" t="s">
        <v>329</v>
      </c>
      <c r="C55" s="4" t="s">
        <v>354</v>
      </c>
      <c r="D55" s="4" t="s">
        <v>355</v>
      </c>
      <c r="E55" s="4" t="s">
        <v>356</v>
      </c>
      <c r="F55" s="4" t="s">
        <v>357</v>
      </c>
      <c r="G55" s="4" t="s">
        <v>358</v>
      </c>
      <c r="H55" s="4" t="s">
        <v>359</v>
      </c>
      <c r="I55" s="4" t="s">
        <v>360</v>
      </c>
      <c r="J55" s="4" t="s">
        <v>57</v>
      </c>
      <c r="K55" s="4" t="s">
        <v>24</v>
      </c>
      <c r="L55" s="4" t="s">
        <v>25</v>
      </c>
      <c r="M55" s="4"/>
    </row>
    <row r="56" spans="1:13" ht="39">
      <c r="A56" s="4" t="s">
        <v>361</v>
      </c>
      <c r="B56" s="4" t="s">
        <v>329</v>
      </c>
      <c r="C56" s="4" t="s">
        <v>362</v>
      </c>
      <c r="D56" s="4" t="s">
        <v>363</v>
      </c>
      <c r="E56" s="4" t="s">
        <v>364</v>
      </c>
      <c r="F56" s="4" t="s">
        <v>365</v>
      </c>
      <c r="G56" s="4" t="s">
        <v>366</v>
      </c>
      <c r="H56" s="4" t="s">
        <v>367</v>
      </c>
      <c r="I56" s="4" t="s">
        <v>368</v>
      </c>
      <c r="J56" s="4" t="s">
        <v>57</v>
      </c>
      <c r="K56" s="4" t="s">
        <v>369</v>
      </c>
      <c r="L56" s="4" t="s">
        <v>25</v>
      </c>
      <c r="M56" s="4"/>
    </row>
    <row r="57" spans="1:13" ht="39">
      <c r="A57" s="4" t="s">
        <v>370</v>
      </c>
      <c r="B57" s="4" t="s">
        <v>329</v>
      </c>
      <c r="C57" s="4" t="s">
        <v>371</v>
      </c>
      <c r="D57" s="4" t="s">
        <v>372</v>
      </c>
      <c r="E57" s="4" t="s">
        <v>373</v>
      </c>
      <c r="F57" s="4" t="s">
        <v>365</v>
      </c>
      <c r="G57" s="4" t="s">
        <v>374</v>
      </c>
      <c r="H57" s="4" t="s">
        <v>335</v>
      </c>
      <c r="I57" s="4" t="s">
        <v>336</v>
      </c>
      <c r="J57" s="4" t="s">
        <v>57</v>
      </c>
      <c r="K57" s="4" t="s">
        <v>375</v>
      </c>
      <c r="L57" s="4" t="s">
        <v>25</v>
      </c>
      <c r="M57" s="4"/>
    </row>
    <row r="58" spans="1:13" ht="39">
      <c r="A58" s="4" t="s">
        <v>376</v>
      </c>
      <c r="B58" s="4" t="s">
        <v>377</v>
      </c>
      <c r="C58" s="4" t="s">
        <v>378</v>
      </c>
      <c r="D58" s="4" t="s">
        <v>379</v>
      </c>
      <c r="E58" s="4" t="s">
        <v>380</v>
      </c>
      <c r="F58" s="4" t="s">
        <v>381</v>
      </c>
      <c r="G58" s="4" t="s">
        <v>382</v>
      </c>
      <c r="H58" s="4" t="s">
        <v>383</v>
      </c>
      <c r="I58" s="4" t="s">
        <v>384</v>
      </c>
      <c r="J58" s="4" t="s">
        <v>57</v>
      </c>
      <c r="K58" s="4" t="s">
        <v>385</v>
      </c>
      <c r="L58" s="4" t="s">
        <v>25</v>
      </c>
      <c r="M58" s="4"/>
    </row>
    <row r="59" spans="1:13" ht="39">
      <c r="A59" s="4" t="s">
        <v>386</v>
      </c>
      <c r="B59" s="4" t="s">
        <v>377</v>
      </c>
      <c r="C59" s="4" t="s">
        <v>387</v>
      </c>
      <c r="D59" s="4" t="s">
        <v>388</v>
      </c>
      <c r="E59" s="4" t="s">
        <v>389</v>
      </c>
      <c r="F59" s="4" t="s">
        <v>381</v>
      </c>
      <c r="G59" s="4" t="s">
        <v>390</v>
      </c>
      <c r="H59" s="4" t="s">
        <v>383</v>
      </c>
      <c r="I59" s="4" t="s">
        <v>384</v>
      </c>
      <c r="J59" s="4" t="s">
        <v>57</v>
      </c>
      <c r="K59" s="4" t="s">
        <v>391</v>
      </c>
      <c r="L59" s="4" t="s">
        <v>25</v>
      </c>
      <c r="M59" s="4"/>
    </row>
    <row r="60" spans="1:13" ht="39">
      <c r="A60" s="4" t="s">
        <v>392</v>
      </c>
      <c r="B60" s="4" t="s">
        <v>377</v>
      </c>
      <c r="C60" s="4" t="s">
        <v>393</v>
      </c>
      <c r="D60" s="4" t="s">
        <v>394</v>
      </c>
      <c r="E60" s="4" t="s">
        <v>395</v>
      </c>
      <c r="F60" s="4" t="s">
        <v>381</v>
      </c>
      <c r="G60" s="4" t="s">
        <v>396</v>
      </c>
      <c r="H60" s="4" t="s">
        <v>383</v>
      </c>
      <c r="I60" s="4" t="s">
        <v>384</v>
      </c>
      <c r="J60" s="4" t="s">
        <v>57</v>
      </c>
      <c r="K60" s="4" t="s">
        <v>397</v>
      </c>
      <c r="L60" s="4" t="s">
        <v>25</v>
      </c>
      <c r="M60" s="4"/>
    </row>
    <row r="61" spans="1:13" ht="39">
      <c r="A61" s="4" t="s">
        <v>398</v>
      </c>
      <c r="B61" s="4" t="s">
        <v>377</v>
      </c>
      <c r="C61" s="4" t="s">
        <v>399</v>
      </c>
      <c r="D61" s="4" t="s">
        <v>400</v>
      </c>
      <c r="E61" s="4" t="s">
        <v>401</v>
      </c>
      <c r="F61" s="4" t="s">
        <v>381</v>
      </c>
      <c r="G61" s="4" t="s">
        <v>402</v>
      </c>
      <c r="H61" s="4" t="s">
        <v>21</v>
      </c>
      <c r="I61" s="4" t="s">
        <v>22</v>
      </c>
      <c r="J61" s="4" t="s">
        <v>57</v>
      </c>
      <c r="K61" s="4" t="s">
        <v>24</v>
      </c>
      <c r="L61" s="4" t="s">
        <v>25</v>
      </c>
      <c r="M61" s="4"/>
    </row>
    <row r="62" spans="1:13" ht="39">
      <c r="A62" s="4" t="s">
        <v>403</v>
      </c>
      <c r="B62" s="4" t="s">
        <v>377</v>
      </c>
      <c r="C62" s="4" t="s">
        <v>404</v>
      </c>
      <c r="D62" s="4" t="s">
        <v>405</v>
      </c>
      <c r="E62" s="4" t="s">
        <v>406</v>
      </c>
      <c r="F62" s="4" t="s">
        <v>407</v>
      </c>
      <c r="G62" s="4" t="s">
        <v>408</v>
      </c>
      <c r="H62" s="4" t="s">
        <v>383</v>
      </c>
      <c r="I62" s="4" t="s">
        <v>384</v>
      </c>
      <c r="J62" s="4" t="s">
        <v>409</v>
      </c>
      <c r="K62" s="4" t="s">
        <v>410</v>
      </c>
      <c r="L62" s="4" t="s">
        <v>25</v>
      </c>
      <c r="M62" s="4"/>
    </row>
    <row r="63" spans="1:13" ht="39">
      <c r="A63" s="4" t="s">
        <v>411</v>
      </c>
      <c r="B63" s="4" t="s">
        <v>412</v>
      </c>
      <c r="C63" s="4" t="s">
        <v>413</v>
      </c>
      <c r="D63" s="4" t="s">
        <v>414</v>
      </c>
      <c r="E63" s="4" t="s">
        <v>415</v>
      </c>
      <c r="F63" s="4" t="s">
        <v>416</v>
      </c>
      <c r="G63" s="4" t="s">
        <v>417</v>
      </c>
      <c r="H63" s="4" t="s">
        <v>383</v>
      </c>
      <c r="I63" s="4" t="s">
        <v>384</v>
      </c>
      <c r="J63" s="4" t="s">
        <v>57</v>
      </c>
      <c r="K63" s="4" t="s">
        <v>418</v>
      </c>
      <c r="L63" s="4" t="s">
        <v>25</v>
      </c>
      <c r="M63" s="4"/>
    </row>
    <row r="64" spans="1:13" ht="39">
      <c r="A64" s="4" t="s">
        <v>419</v>
      </c>
      <c r="B64" s="4" t="s">
        <v>412</v>
      </c>
      <c r="C64" s="4" t="s">
        <v>420</v>
      </c>
      <c r="D64" s="4" t="s">
        <v>421</v>
      </c>
      <c r="E64" s="4" t="s">
        <v>422</v>
      </c>
      <c r="F64" s="4" t="s">
        <v>423</v>
      </c>
      <c r="G64" s="4" t="s">
        <v>424</v>
      </c>
      <c r="H64" s="4" t="s">
        <v>383</v>
      </c>
      <c r="I64" s="4" t="s">
        <v>384</v>
      </c>
      <c r="J64" s="4" t="s">
        <v>57</v>
      </c>
      <c r="K64" s="4" t="s">
        <v>391</v>
      </c>
      <c r="L64" s="4" t="s">
        <v>25</v>
      </c>
      <c r="M64" s="4"/>
    </row>
    <row r="65" spans="1:13" ht="39">
      <c r="A65" s="4" t="s">
        <v>425</v>
      </c>
      <c r="B65" s="4" t="s">
        <v>412</v>
      </c>
      <c r="C65" s="4" t="s">
        <v>426</v>
      </c>
      <c r="D65" s="4" t="s">
        <v>427</v>
      </c>
      <c r="E65" s="4" t="s">
        <v>428</v>
      </c>
      <c r="F65" s="4" t="s">
        <v>429</v>
      </c>
      <c r="G65" s="4" t="s">
        <v>387</v>
      </c>
      <c r="H65" s="4" t="s">
        <v>383</v>
      </c>
      <c r="I65" s="4" t="s">
        <v>384</v>
      </c>
      <c r="J65" s="4" t="s">
        <v>57</v>
      </c>
      <c r="K65" s="4" t="s">
        <v>391</v>
      </c>
      <c r="L65" s="4" t="s">
        <v>25</v>
      </c>
      <c r="M65" s="4"/>
    </row>
    <row r="66" spans="1:13" ht="39">
      <c r="A66" s="4" t="s">
        <v>430</v>
      </c>
      <c r="B66" s="4" t="s">
        <v>412</v>
      </c>
      <c r="C66" s="4" t="s">
        <v>431</v>
      </c>
      <c r="D66" s="4" t="s">
        <v>432</v>
      </c>
      <c r="E66" s="4" t="s">
        <v>433</v>
      </c>
      <c r="F66" s="4" t="s">
        <v>423</v>
      </c>
      <c r="G66" s="4" t="s">
        <v>434</v>
      </c>
      <c r="H66" s="4" t="s">
        <v>383</v>
      </c>
      <c r="I66" s="4" t="s">
        <v>384</v>
      </c>
      <c r="J66" s="4" t="s">
        <v>57</v>
      </c>
      <c r="K66" s="4" t="s">
        <v>391</v>
      </c>
      <c r="L66" s="4" t="s">
        <v>25</v>
      </c>
      <c r="M66" s="4"/>
    </row>
    <row r="67" spans="1:13" ht="39">
      <c r="A67" s="4" t="s">
        <v>435</v>
      </c>
      <c r="B67" s="4" t="s">
        <v>412</v>
      </c>
      <c r="C67" s="4" t="s">
        <v>436</v>
      </c>
      <c r="D67" s="4" t="s">
        <v>437</v>
      </c>
      <c r="E67" s="4" t="s">
        <v>438</v>
      </c>
      <c r="F67" s="4" t="s">
        <v>439</v>
      </c>
      <c r="G67" s="4" t="s">
        <v>440</v>
      </c>
      <c r="H67" s="4" t="s">
        <v>383</v>
      </c>
      <c r="I67" s="4" t="s">
        <v>384</v>
      </c>
      <c r="J67" s="4" t="s">
        <v>409</v>
      </c>
      <c r="K67" s="4" t="s">
        <v>441</v>
      </c>
      <c r="L67" s="4" t="s">
        <v>25</v>
      </c>
      <c r="M67" s="4"/>
    </row>
    <row r="68" spans="1:13" ht="39">
      <c r="A68" s="4" t="s">
        <v>442</v>
      </c>
      <c r="B68" s="4" t="s">
        <v>443</v>
      </c>
      <c r="C68" s="4" t="s">
        <v>444</v>
      </c>
      <c r="D68" s="4" t="s">
        <v>445</v>
      </c>
      <c r="E68" s="4" t="s">
        <v>446</v>
      </c>
      <c r="F68" s="4" t="s">
        <v>365</v>
      </c>
      <c r="G68" s="4" t="s">
        <v>447</v>
      </c>
      <c r="H68" s="4" t="s">
        <v>383</v>
      </c>
      <c r="I68" s="4" t="s">
        <v>384</v>
      </c>
      <c r="J68" s="4" t="s">
        <v>57</v>
      </c>
      <c r="K68" s="4" t="s">
        <v>448</v>
      </c>
      <c r="L68" s="4" t="s">
        <v>25</v>
      </c>
      <c r="M68" s="4"/>
    </row>
    <row r="69" spans="1:13" ht="39">
      <c r="A69" s="4" t="s">
        <v>449</v>
      </c>
      <c r="B69" s="4" t="s">
        <v>443</v>
      </c>
      <c r="C69" s="4" t="s">
        <v>450</v>
      </c>
      <c r="D69" s="4" t="s">
        <v>451</v>
      </c>
      <c r="E69" s="4" t="s">
        <v>452</v>
      </c>
      <c r="F69" s="4" t="s">
        <v>365</v>
      </c>
      <c r="G69" s="4" t="s">
        <v>453</v>
      </c>
      <c r="H69" s="4" t="s">
        <v>383</v>
      </c>
      <c r="I69" s="4" t="s">
        <v>384</v>
      </c>
      <c r="J69" s="4" t="s">
        <v>57</v>
      </c>
      <c r="K69" s="4" t="s">
        <v>454</v>
      </c>
      <c r="L69" s="4" t="s">
        <v>25</v>
      </c>
      <c r="M69" s="4"/>
    </row>
    <row r="70" spans="1:13" ht="39">
      <c r="A70" s="4" t="s">
        <v>455</v>
      </c>
      <c r="B70" s="4" t="s">
        <v>443</v>
      </c>
      <c r="C70" s="4" t="s">
        <v>456</v>
      </c>
      <c r="D70" s="4" t="s">
        <v>457</v>
      </c>
      <c r="E70" s="4" t="s">
        <v>458</v>
      </c>
      <c r="F70" s="4" t="s">
        <v>365</v>
      </c>
      <c r="G70" s="4" t="s">
        <v>459</v>
      </c>
      <c r="H70" s="4" t="s">
        <v>383</v>
      </c>
      <c r="I70" s="4" t="s">
        <v>384</v>
      </c>
      <c r="J70" s="4" t="s">
        <v>57</v>
      </c>
      <c r="K70" s="4" t="s">
        <v>460</v>
      </c>
      <c r="L70" s="4" t="s">
        <v>25</v>
      </c>
      <c r="M70" s="4"/>
    </row>
    <row r="71" spans="1:13" ht="39">
      <c r="A71" s="4" t="s">
        <v>461</v>
      </c>
      <c r="B71" s="4" t="s">
        <v>443</v>
      </c>
      <c r="C71" s="4" t="s">
        <v>462</v>
      </c>
      <c r="D71" s="4" t="s">
        <v>463</v>
      </c>
      <c r="E71" s="4" t="s">
        <v>464</v>
      </c>
      <c r="F71" s="4" t="s">
        <v>465</v>
      </c>
      <c r="G71" s="4" t="s">
        <v>466</v>
      </c>
      <c r="H71" s="4" t="s">
        <v>383</v>
      </c>
      <c r="I71" s="4" t="s">
        <v>384</v>
      </c>
      <c r="J71" s="4" t="s">
        <v>409</v>
      </c>
      <c r="K71" s="4" t="s">
        <v>467</v>
      </c>
      <c r="L71" s="4" t="s">
        <v>25</v>
      </c>
      <c r="M71" s="4"/>
    </row>
    <row r="72" spans="1:13" ht="39">
      <c r="A72" s="4" t="s">
        <v>468</v>
      </c>
      <c r="B72" s="4" t="s">
        <v>469</v>
      </c>
      <c r="C72" s="4" t="s">
        <v>470</v>
      </c>
      <c r="D72" s="4" t="s">
        <v>471</v>
      </c>
      <c r="E72" s="4" t="s">
        <v>472</v>
      </c>
      <c r="F72" s="4" t="s">
        <v>53</v>
      </c>
      <c r="G72" s="4" t="s">
        <v>473</v>
      </c>
      <c r="H72" s="4" t="s">
        <v>474</v>
      </c>
      <c r="I72" s="4" t="s">
        <v>475</v>
      </c>
      <c r="J72" s="4" t="s">
        <v>57</v>
      </c>
      <c r="K72" s="4" t="s">
        <v>58</v>
      </c>
      <c r="L72" s="4" t="s">
        <v>25</v>
      </c>
      <c r="M72" s="4"/>
    </row>
    <row r="73" spans="1:13" ht="39">
      <c r="A73" s="4" t="s">
        <v>476</v>
      </c>
      <c r="B73" s="4" t="s">
        <v>469</v>
      </c>
      <c r="C73" s="4" t="s">
        <v>477</v>
      </c>
      <c r="D73" s="4" t="s">
        <v>478</v>
      </c>
      <c r="E73" s="4" t="s">
        <v>479</v>
      </c>
      <c r="F73" s="4" t="s">
        <v>53</v>
      </c>
      <c r="G73" s="4" t="s">
        <v>480</v>
      </c>
      <c r="H73" s="4" t="s">
        <v>474</v>
      </c>
      <c r="I73" s="4" t="s">
        <v>475</v>
      </c>
      <c r="J73" s="4" t="s">
        <v>57</v>
      </c>
      <c r="K73" s="4" t="s">
        <v>66</v>
      </c>
      <c r="L73" s="4" t="s">
        <v>25</v>
      </c>
      <c r="M73" s="4"/>
    </row>
    <row r="74" spans="1:13" ht="39">
      <c r="A74" s="4" t="s">
        <v>481</v>
      </c>
      <c r="B74" s="4" t="s">
        <v>469</v>
      </c>
      <c r="C74" s="4" t="s">
        <v>482</v>
      </c>
      <c r="D74" s="4" t="s">
        <v>483</v>
      </c>
      <c r="E74" s="4" t="s">
        <v>484</v>
      </c>
      <c r="F74" s="4" t="s">
        <v>53</v>
      </c>
      <c r="G74" s="4" t="s">
        <v>485</v>
      </c>
      <c r="H74" s="4" t="s">
        <v>474</v>
      </c>
      <c r="I74" s="4" t="s">
        <v>475</v>
      </c>
      <c r="J74" s="4" t="s">
        <v>57</v>
      </c>
      <c r="K74" s="4" t="s">
        <v>486</v>
      </c>
      <c r="L74" s="4" t="s">
        <v>25</v>
      </c>
      <c r="M74" s="4"/>
    </row>
    <row r="75" spans="1:13" ht="39">
      <c r="A75" s="4" t="s">
        <v>487</v>
      </c>
      <c r="B75" s="4" t="s">
        <v>469</v>
      </c>
      <c r="C75" s="4" t="s">
        <v>488</v>
      </c>
      <c r="D75" s="4" t="s">
        <v>489</v>
      </c>
      <c r="E75" s="4" t="s">
        <v>490</v>
      </c>
      <c r="F75" s="4" t="s">
        <v>53</v>
      </c>
      <c r="G75" s="4" t="s">
        <v>491</v>
      </c>
      <c r="H75" s="4" t="s">
        <v>474</v>
      </c>
      <c r="I75" s="4" t="s">
        <v>475</v>
      </c>
      <c r="J75" s="4" t="s">
        <v>57</v>
      </c>
      <c r="K75" s="4" t="s">
        <v>492</v>
      </c>
      <c r="L75" s="4" t="s">
        <v>25</v>
      </c>
      <c r="M75" s="4"/>
    </row>
    <row r="76" spans="1:13" ht="39">
      <c r="A76" s="4" t="s">
        <v>493</v>
      </c>
      <c r="B76" s="4" t="s">
        <v>469</v>
      </c>
      <c r="C76" s="4" t="s">
        <v>494</v>
      </c>
      <c r="D76" s="4" t="s">
        <v>495</v>
      </c>
      <c r="E76" s="4" t="s">
        <v>496</v>
      </c>
      <c r="F76" s="4" t="s">
        <v>53</v>
      </c>
      <c r="G76" s="4" t="s">
        <v>497</v>
      </c>
      <c r="H76" s="4" t="s">
        <v>474</v>
      </c>
      <c r="I76" s="4" t="s">
        <v>475</v>
      </c>
      <c r="J76" s="4" t="s">
        <v>57</v>
      </c>
      <c r="K76" s="4" t="s">
        <v>168</v>
      </c>
      <c r="L76" s="4" t="s">
        <v>25</v>
      </c>
      <c r="M76" s="4"/>
    </row>
    <row r="77" spans="1:13" ht="39">
      <c r="A77" s="4" t="s">
        <v>498</v>
      </c>
      <c r="B77" s="4" t="s">
        <v>469</v>
      </c>
      <c r="C77" s="4" t="s">
        <v>499</v>
      </c>
      <c r="D77" s="4" t="s">
        <v>500</v>
      </c>
      <c r="E77" s="4" t="s">
        <v>501</v>
      </c>
      <c r="F77" s="4" t="s">
        <v>53</v>
      </c>
      <c r="G77" s="4" t="s">
        <v>502</v>
      </c>
      <c r="H77" s="4" t="s">
        <v>474</v>
      </c>
      <c r="I77" s="4" t="s">
        <v>475</v>
      </c>
      <c r="J77" s="4" t="s">
        <v>57</v>
      </c>
      <c r="K77" s="4" t="s">
        <v>503</v>
      </c>
      <c r="L77" s="4" t="s">
        <v>25</v>
      </c>
      <c r="M77" s="4"/>
    </row>
    <row r="78" spans="1:13" ht="39">
      <c r="A78" s="4" t="s">
        <v>504</v>
      </c>
      <c r="B78" s="4" t="s">
        <v>469</v>
      </c>
      <c r="C78" s="4" t="s">
        <v>505</v>
      </c>
      <c r="D78" s="4" t="s">
        <v>506</v>
      </c>
      <c r="E78" s="4" t="s">
        <v>507</v>
      </c>
      <c r="F78" s="4" t="s">
        <v>53</v>
      </c>
      <c r="G78" s="4" t="s">
        <v>508</v>
      </c>
      <c r="H78" s="4" t="s">
        <v>474</v>
      </c>
      <c r="I78" s="4" t="s">
        <v>475</v>
      </c>
      <c r="J78" s="4" t="s">
        <v>57</v>
      </c>
      <c r="K78" s="4" t="s">
        <v>503</v>
      </c>
      <c r="L78" s="4" t="s">
        <v>25</v>
      </c>
      <c r="M78" s="4"/>
    </row>
    <row r="79" spans="1:13" ht="39">
      <c r="A79" s="4" t="s">
        <v>509</v>
      </c>
      <c r="B79" s="4" t="s">
        <v>469</v>
      </c>
      <c r="C79" s="4" t="s">
        <v>510</v>
      </c>
      <c r="D79" s="4" t="s">
        <v>511</v>
      </c>
      <c r="E79" s="4" t="s">
        <v>512</v>
      </c>
      <c r="F79" s="4" t="s">
        <v>53</v>
      </c>
      <c r="G79" s="4" t="s">
        <v>513</v>
      </c>
      <c r="H79" s="4" t="s">
        <v>474</v>
      </c>
      <c r="I79" s="4" t="s">
        <v>475</v>
      </c>
      <c r="J79" s="4" t="s">
        <v>57</v>
      </c>
      <c r="K79" s="4" t="s">
        <v>514</v>
      </c>
      <c r="L79" s="4" t="s">
        <v>25</v>
      </c>
      <c r="M79" s="4"/>
    </row>
    <row r="80" spans="1:13" ht="39">
      <c r="A80" s="4" t="s">
        <v>515</v>
      </c>
      <c r="B80" s="4" t="s">
        <v>469</v>
      </c>
      <c r="C80" s="4" t="s">
        <v>516</v>
      </c>
      <c r="D80" s="4" t="s">
        <v>517</v>
      </c>
      <c r="E80" s="4" t="s">
        <v>518</v>
      </c>
      <c r="F80" s="4" t="s">
        <v>53</v>
      </c>
      <c r="G80" s="4" t="s">
        <v>519</v>
      </c>
      <c r="H80" s="4" t="s">
        <v>474</v>
      </c>
      <c r="I80" s="4" t="s">
        <v>475</v>
      </c>
      <c r="J80" s="4" t="s">
        <v>57</v>
      </c>
      <c r="K80" s="4" t="s">
        <v>66</v>
      </c>
      <c r="L80" s="4" t="s">
        <v>25</v>
      </c>
      <c r="M80" s="4"/>
    </row>
    <row r="81" spans="1:13" ht="39">
      <c r="A81" s="4" t="s">
        <v>520</v>
      </c>
      <c r="B81" s="4" t="s">
        <v>469</v>
      </c>
      <c r="C81" s="4" t="s">
        <v>521</v>
      </c>
      <c r="D81" s="4" t="s">
        <v>522</v>
      </c>
      <c r="E81" s="4" t="s">
        <v>523</v>
      </c>
      <c r="F81" s="4" t="s">
        <v>53</v>
      </c>
      <c r="G81" s="4" t="s">
        <v>519</v>
      </c>
      <c r="H81" s="4" t="s">
        <v>474</v>
      </c>
      <c r="I81" s="4" t="s">
        <v>475</v>
      </c>
      <c r="J81" s="4" t="s">
        <v>57</v>
      </c>
      <c r="K81" s="4" t="s">
        <v>66</v>
      </c>
      <c r="L81" s="4" t="s">
        <v>25</v>
      </c>
      <c r="M81" s="4"/>
    </row>
    <row r="82" spans="1:13" ht="39">
      <c r="A82" s="4" t="s">
        <v>524</v>
      </c>
      <c r="B82" s="4" t="s">
        <v>469</v>
      </c>
      <c r="C82" s="4" t="s">
        <v>525</v>
      </c>
      <c r="D82" s="4" t="s">
        <v>526</v>
      </c>
      <c r="E82" s="4" t="s">
        <v>527</v>
      </c>
      <c r="F82" s="4" t="s">
        <v>53</v>
      </c>
      <c r="G82" s="4" t="s">
        <v>528</v>
      </c>
      <c r="H82" s="4" t="s">
        <v>474</v>
      </c>
      <c r="I82" s="4" t="s">
        <v>475</v>
      </c>
      <c r="J82" s="4" t="s">
        <v>57</v>
      </c>
      <c r="K82" s="4" t="s">
        <v>58</v>
      </c>
      <c r="L82" s="4" t="s">
        <v>25</v>
      </c>
      <c r="M82" s="4"/>
    </row>
    <row r="83" spans="1:13" ht="39">
      <c r="A83" s="4" t="s">
        <v>529</v>
      </c>
      <c r="B83" s="4" t="s">
        <v>469</v>
      </c>
      <c r="C83" s="4" t="s">
        <v>530</v>
      </c>
      <c r="D83" s="4" t="s">
        <v>531</v>
      </c>
      <c r="E83" s="4" t="s">
        <v>532</v>
      </c>
      <c r="F83" s="4" t="s">
        <v>53</v>
      </c>
      <c r="G83" s="4" t="s">
        <v>533</v>
      </c>
      <c r="H83" s="4" t="s">
        <v>474</v>
      </c>
      <c r="I83" s="4" t="s">
        <v>475</v>
      </c>
      <c r="J83" s="4" t="s">
        <v>57</v>
      </c>
      <c r="K83" s="4" t="s">
        <v>58</v>
      </c>
      <c r="L83" s="4" t="s">
        <v>25</v>
      </c>
      <c r="M83" s="4"/>
    </row>
    <row r="84" spans="1:13" ht="39">
      <c r="A84" s="4" t="s">
        <v>534</v>
      </c>
      <c r="B84" s="4" t="s">
        <v>469</v>
      </c>
      <c r="C84" s="4" t="s">
        <v>535</v>
      </c>
      <c r="D84" s="4" t="s">
        <v>536</v>
      </c>
      <c r="E84" s="4" t="s">
        <v>537</v>
      </c>
      <c r="F84" s="4" t="s">
        <v>53</v>
      </c>
      <c r="G84" s="4" t="s">
        <v>538</v>
      </c>
      <c r="H84" s="4" t="s">
        <v>474</v>
      </c>
      <c r="I84" s="4" t="s">
        <v>475</v>
      </c>
      <c r="J84" s="4" t="s">
        <v>57</v>
      </c>
      <c r="K84" s="4" t="s">
        <v>168</v>
      </c>
      <c r="L84" s="4" t="s">
        <v>25</v>
      </c>
      <c r="M84" s="4"/>
    </row>
    <row r="85" spans="1:13" ht="39">
      <c r="A85" s="4" t="s">
        <v>539</v>
      </c>
      <c r="B85" s="4" t="s">
        <v>469</v>
      </c>
      <c r="C85" s="4" t="s">
        <v>540</v>
      </c>
      <c r="D85" s="4" t="s">
        <v>541</v>
      </c>
      <c r="E85" s="4" t="s">
        <v>542</v>
      </c>
      <c r="F85" s="4" t="s">
        <v>53</v>
      </c>
      <c r="G85" s="4" t="s">
        <v>543</v>
      </c>
      <c r="H85" s="4" t="s">
        <v>474</v>
      </c>
      <c r="I85" s="4" t="s">
        <v>475</v>
      </c>
      <c r="J85" s="4" t="s">
        <v>57</v>
      </c>
      <c r="K85" s="4" t="s">
        <v>58</v>
      </c>
      <c r="L85" s="4" t="s">
        <v>25</v>
      </c>
      <c r="M85" s="4"/>
    </row>
    <row r="86" spans="1:13" ht="39">
      <c r="A86" s="4" t="s">
        <v>544</v>
      </c>
      <c r="B86" s="4" t="s">
        <v>469</v>
      </c>
      <c r="C86" s="4" t="s">
        <v>545</v>
      </c>
      <c r="D86" s="4" t="s">
        <v>546</v>
      </c>
      <c r="E86" s="4" t="s">
        <v>547</v>
      </c>
      <c r="F86" s="4" t="s">
        <v>53</v>
      </c>
      <c r="G86" s="4" t="s">
        <v>548</v>
      </c>
      <c r="H86" s="4" t="s">
        <v>474</v>
      </c>
      <c r="I86" s="4" t="s">
        <v>475</v>
      </c>
      <c r="J86" s="4" t="s">
        <v>57</v>
      </c>
      <c r="K86" s="4" t="s">
        <v>503</v>
      </c>
      <c r="L86" s="4" t="s">
        <v>25</v>
      </c>
      <c r="M86" s="4"/>
    </row>
    <row r="87" spans="1:13" ht="39">
      <c r="A87" s="4" t="s">
        <v>549</v>
      </c>
      <c r="B87" s="4" t="s">
        <v>469</v>
      </c>
      <c r="C87" s="4" t="s">
        <v>550</v>
      </c>
      <c r="D87" s="4" t="s">
        <v>551</v>
      </c>
      <c r="E87" s="4" t="s">
        <v>552</v>
      </c>
      <c r="F87" s="4" t="s">
        <v>53</v>
      </c>
      <c r="G87" s="4" t="s">
        <v>553</v>
      </c>
      <c r="H87" s="4" t="s">
        <v>474</v>
      </c>
      <c r="I87" s="4" t="s">
        <v>475</v>
      </c>
      <c r="J87" s="4" t="s">
        <v>57</v>
      </c>
      <c r="K87" s="4" t="s">
        <v>66</v>
      </c>
      <c r="L87" s="4" t="s">
        <v>25</v>
      </c>
      <c r="M87" s="4"/>
    </row>
    <row r="88" spans="1:13" ht="39">
      <c r="A88" s="4" t="s">
        <v>554</v>
      </c>
      <c r="B88" s="4" t="s">
        <v>469</v>
      </c>
      <c r="C88" s="4" t="s">
        <v>555</v>
      </c>
      <c r="D88" s="4" t="s">
        <v>556</v>
      </c>
      <c r="E88" s="4" t="s">
        <v>557</v>
      </c>
      <c r="F88" s="4" t="s">
        <v>266</v>
      </c>
      <c r="G88" s="4" t="s">
        <v>558</v>
      </c>
      <c r="H88" s="4" t="s">
        <v>474</v>
      </c>
      <c r="I88" s="4" t="s">
        <v>475</v>
      </c>
      <c r="J88" s="4" t="s">
        <v>188</v>
      </c>
      <c r="K88" s="4" t="s">
        <v>268</v>
      </c>
      <c r="L88" s="4" t="s">
        <v>25</v>
      </c>
      <c r="M88" s="4"/>
    </row>
  </sheetData>
  <mergeCells count="2">
    <mergeCell ref="A1:M1"/>
    <mergeCell ref="A2:M2"/>
  </mergeCells>
  <conditionalFormatting sqref="K5:K88">
    <cfRule type="expression" dxfId="6" priority="5">
      <formula>ISNUMBER(SEARCH("Confirmado",K5))</formula>
    </cfRule>
    <cfRule type="expression" dxfId="5" priority="6">
      <formula>ISNUMBER(SEARCH("pendiente",LOWER(K5)))</formula>
    </cfRule>
    <cfRule type="expression" dxfId="4" priority="7">
      <formula>OR(ISNUMBER(SEARCH("Contradicción",K5)),ISNUMBER(SEARCH("Diferencia",K5)))</formula>
    </cfRule>
  </conditionalFormatting>
  <conditionalFormatting sqref="L5:L88">
    <cfRule type="expression" dxfId="3" priority="1">
      <formula>L5="Aprobado"</formula>
    </cfRule>
    <cfRule type="expression" dxfId="2" priority="2">
      <formula>L5="Ajustar"</formula>
    </cfRule>
    <cfRule type="expression" dxfId="1" priority="3">
      <formula>L5="Fuera de alcance"</formula>
    </cfRule>
    <cfRule type="expression" dxfId="0" priority="4">
      <formula>L5="Requiere análisis"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_Listas!$A$1:$A$5</xm:f>
          </x14:formula1>
          <xm:sqref>L5:L88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A25" sqref="A25:F25"/>
    </sheetView>
  </sheetViews>
  <sheetFormatPr baseColWidth="10" defaultColWidth="8.83203125" defaultRowHeight="14"/>
  <cols>
    <col min="1" max="1" width="28" customWidth="1"/>
    <col min="2" max="2" width="14" customWidth="1"/>
    <col min="3" max="3" width="42" customWidth="1"/>
  </cols>
  <sheetData>
    <row r="1" spans="1:6" ht="34.75" customHeight="1">
      <c r="A1" s="10" t="s">
        <v>559</v>
      </c>
      <c r="B1" s="10"/>
      <c r="C1" s="10"/>
      <c r="D1" s="1"/>
      <c r="E1" s="1"/>
      <c r="F1" s="1"/>
    </row>
    <row r="3" spans="1:6" ht="15">
      <c r="A3" s="5" t="s">
        <v>560</v>
      </c>
      <c r="B3" s="5" t="s">
        <v>561</v>
      </c>
    </row>
    <row r="4" spans="1:6">
      <c r="A4" t="s">
        <v>562</v>
      </c>
      <c r="B4">
        <v>84</v>
      </c>
    </row>
    <row r="5" spans="1:6">
      <c r="A5" t="s">
        <v>563</v>
      </c>
      <c r="B5">
        <f>COUNTIF('Matriz Validación'!$L$5:$L$88,"Pendiente")</f>
        <v>84</v>
      </c>
    </row>
    <row r="6" spans="1:6">
      <c r="A6" t="s">
        <v>564</v>
      </c>
      <c r="B6">
        <f>COUNTIF('Matriz Validación'!$L$5:$L$88,"Aprobado")</f>
        <v>0</v>
      </c>
    </row>
    <row r="7" spans="1:6">
      <c r="A7" t="s">
        <v>565</v>
      </c>
      <c r="B7">
        <f>COUNTIF('Matriz Validación'!$L$5:$L$88,"Ajustar")</f>
        <v>0</v>
      </c>
    </row>
    <row r="8" spans="1:6">
      <c r="A8" t="s">
        <v>566</v>
      </c>
      <c r="B8">
        <f>COUNTIF('Matriz Validación'!$L$5:$L$88,"Fuera de alcance")</f>
        <v>0</v>
      </c>
    </row>
    <row r="11" spans="1:6" ht="15">
      <c r="A11" s="5" t="s">
        <v>2</v>
      </c>
      <c r="B11" s="5" t="s">
        <v>567</v>
      </c>
      <c r="C11" s="5" t="s">
        <v>568</v>
      </c>
    </row>
    <row r="12" spans="1:6">
      <c r="A12" t="s">
        <v>15</v>
      </c>
      <c r="B12">
        <v>4</v>
      </c>
      <c r="C12" t="s">
        <v>569</v>
      </c>
    </row>
    <row r="13" spans="1:6">
      <c r="A13" t="s">
        <v>49</v>
      </c>
      <c r="B13">
        <v>10</v>
      </c>
      <c r="C13" t="s">
        <v>569</v>
      </c>
    </row>
    <row r="14" spans="1:6">
      <c r="A14" t="s">
        <v>129</v>
      </c>
      <c r="B14">
        <v>8</v>
      </c>
      <c r="C14" t="s">
        <v>569</v>
      </c>
    </row>
    <row r="15" spans="1:6">
      <c r="A15" t="s">
        <v>191</v>
      </c>
      <c r="B15">
        <v>8</v>
      </c>
      <c r="C15" t="s">
        <v>569</v>
      </c>
    </row>
    <row r="16" spans="1:6">
      <c r="A16" t="s">
        <v>241</v>
      </c>
      <c r="B16">
        <v>6</v>
      </c>
      <c r="C16" t="s">
        <v>569</v>
      </c>
    </row>
    <row r="17" spans="1:6">
      <c r="A17" t="s">
        <v>274</v>
      </c>
      <c r="B17">
        <v>8</v>
      </c>
      <c r="C17" t="s">
        <v>569</v>
      </c>
    </row>
    <row r="18" spans="1:6">
      <c r="A18" t="s">
        <v>329</v>
      </c>
      <c r="B18">
        <v>9</v>
      </c>
      <c r="C18" t="s">
        <v>569</v>
      </c>
    </row>
    <row r="19" spans="1:6">
      <c r="A19" t="s">
        <v>377</v>
      </c>
      <c r="B19">
        <v>5</v>
      </c>
      <c r="C19" t="s">
        <v>569</v>
      </c>
    </row>
    <row r="20" spans="1:6">
      <c r="A20" t="s">
        <v>412</v>
      </c>
      <c r="B20">
        <v>5</v>
      </c>
      <c r="C20" t="s">
        <v>569</v>
      </c>
    </row>
    <row r="21" spans="1:6">
      <c r="A21" t="s">
        <v>443</v>
      </c>
      <c r="B21">
        <v>4</v>
      </c>
      <c r="C21" t="s">
        <v>569</v>
      </c>
    </row>
    <row r="22" spans="1:6">
      <c r="A22" t="s">
        <v>469</v>
      </c>
      <c r="B22">
        <v>17</v>
      </c>
      <c r="C22" t="s">
        <v>569</v>
      </c>
    </row>
    <row r="25" spans="1:6">
      <c r="A25" s="9"/>
      <c r="B25" s="9"/>
      <c r="C25" s="9"/>
      <c r="D25" s="9"/>
      <c r="E25" s="9"/>
      <c r="F25" s="9"/>
    </row>
  </sheetData>
  <mergeCells count="2">
    <mergeCell ref="A25:F25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sqref="A1:E1"/>
    </sheetView>
  </sheetViews>
  <sheetFormatPr baseColWidth="10" defaultColWidth="8.83203125" defaultRowHeight="14"/>
  <cols>
    <col min="1" max="1" width="14" customWidth="1"/>
    <col min="2" max="2" width="45" customWidth="1"/>
    <col min="3" max="3" width="55" customWidth="1"/>
    <col min="4" max="4" width="38" customWidth="1"/>
    <col min="5" max="5" width="58" customWidth="1"/>
  </cols>
  <sheetData>
    <row r="1" spans="1:5" ht="18">
      <c r="A1" s="11" t="s">
        <v>570</v>
      </c>
      <c r="B1" s="11"/>
      <c r="C1" s="11"/>
      <c r="D1" s="11"/>
      <c r="E1" s="11"/>
    </row>
    <row r="3" spans="1:5" ht="16">
      <c r="A3" s="6" t="s">
        <v>571</v>
      </c>
      <c r="B3" s="6" t="s">
        <v>572</v>
      </c>
      <c r="C3" s="6" t="s">
        <v>573</v>
      </c>
      <c r="D3" s="6" t="s">
        <v>574</v>
      </c>
      <c r="E3" s="6" t="s">
        <v>575</v>
      </c>
    </row>
    <row r="4" spans="1:5" ht="30">
      <c r="A4" s="3" t="s">
        <v>53</v>
      </c>
      <c r="B4" s="3" t="s">
        <v>576</v>
      </c>
      <c r="C4" s="3" t="s">
        <v>577</v>
      </c>
      <c r="D4" s="3" t="s">
        <v>578</v>
      </c>
      <c r="E4" s="3" t="s">
        <v>384</v>
      </c>
    </row>
    <row r="5" spans="1:5" ht="30">
      <c r="A5" s="3" t="s">
        <v>53</v>
      </c>
      <c r="B5" s="3" t="s">
        <v>579</v>
      </c>
      <c r="C5" s="3" t="s">
        <v>580</v>
      </c>
      <c r="D5" s="3" t="s">
        <v>581</v>
      </c>
      <c r="E5" s="3" t="s">
        <v>475</v>
      </c>
    </row>
    <row r="6" spans="1:5" ht="30">
      <c r="A6" s="3" t="s">
        <v>53</v>
      </c>
      <c r="B6" s="3" t="s">
        <v>582</v>
      </c>
      <c r="C6" s="3" t="s">
        <v>583</v>
      </c>
      <c r="D6" s="3" t="s">
        <v>584</v>
      </c>
      <c r="E6" s="3" t="s">
        <v>585</v>
      </c>
    </row>
    <row r="7" spans="1:5" ht="30">
      <c r="A7" s="3" t="s">
        <v>586</v>
      </c>
      <c r="B7" s="3" t="s">
        <v>587</v>
      </c>
      <c r="C7" s="3" t="s">
        <v>588</v>
      </c>
      <c r="D7" s="3" t="s">
        <v>589</v>
      </c>
      <c r="E7" s="3" t="s">
        <v>590</v>
      </c>
    </row>
    <row r="8" spans="1:5" ht="30">
      <c r="A8" s="3" t="s">
        <v>586</v>
      </c>
      <c r="B8" s="3" t="s">
        <v>591</v>
      </c>
      <c r="C8" s="3" t="s">
        <v>592</v>
      </c>
      <c r="D8" s="3" t="s">
        <v>593</v>
      </c>
      <c r="E8" s="3" t="s">
        <v>590</v>
      </c>
    </row>
    <row r="9" spans="1:5" ht="15">
      <c r="A9" s="3" t="s">
        <v>586</v>
      </c>
      <c r="B9" s="3" t="s">
        <v>594</v>
      </c>
      <c r="C9" s="3" t="s">
        <v>595</v>
      </c>
      <c r="D9" s="3" t="s">
        <v>596</v>
      </c>
      <c r="E9" s="3" t="s">
        <v>590</v>
      </c>
    </row>
    <row r="10" spans="1:5" ht="30">
      <c r="A10" s="3" t="s">
        <v>586</v>
      </c>
      <c r="B10" s="3" t="s">
        <v>597</v>
      </c>
      <c r="C10" s="3" t="s">
        <v>598</v>
      </c>
      <c r="D10" s="3" t="s">
        <v>599</v>
      </c>
      <c r="E10" s="3" t="s">
        <v>590</v>
      </c>
    </row>
    <row r="11" spans="1:5" ht="30">
      <c r="A11" s="3" t="s">
        <v>586</v>
      </c>
      <c r="B11" s="3" t="s">
        <v>600</v>
      </c>
      <c r="C11" s="3" t="s">
        <v>601</v>
      </c>
      <c r="D11" s="3" t="s">
        <v>602</v>
      </c>
      <c r="E11" s="3" t="s">
        <v>590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baseColWidth="10" defaultColWidth="8.83203125" defaultRowHeight="14"/>
  <sheetData>
    <row r="1" spans="1:1">
      <c r="A1" t="s">
        <v>25</v>
      </c>
    </row>
    <row r="2" spans="1:1">
      <c r="A2" t="s">
        <v>603</v>
      </c>
    </row>
    <row r="3" spans="1:1">
      <c r="A3" t="s">
        <v>565</v>
      </c>
    </row>
    <row r="4" spans="1:1">
      <c r="A4" t="s">
        <v>566</v>
      </c>
    </row>
    <row r="5" spans="1:1">
      <c r="A5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Validación</vt:lpstr>
      <vt:lpstr>Resumen</vt:lpstr>
      <vt:lpstr>Fuentes</vt:lpstr>
      <vt:lpstr>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Soto Lobos</cp:lastModifiedBy>
  <dcterms:modified xsi:type="dcterms:W3CDTF">2026-08-07T16:02:48Z</dcterms:modified>
</cp:coreProperties>
</file>